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Yakima\Y2022\Fall\"/>
    </mc:Choice>
  </mc:AlternateContent>
  <xr:revisionPtr revIDLastSave="0" documentId="13_ncr:1_{8FA2EEAB-60CD-441B-BBF1-30D51D6F3CC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ummary" sheetId="1" r:id="rId1"/>
    <sheet name="Sheet2" sheetId="2" r:id="rId2"/>
    <sheet name="Table inc C&amp;R" sheetId="3" r:id="rId3"/>
    <sheet name="Sheet1" sheetId="4" r:id="rId4"/>
  </sheets>
  <definedNames>
    <definedName name="_xlnm.Print_Area" localSheetId="1">Sheet2!$A$11:$Q$24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3" l="1"/>
  <c r="L19" i="3"/>
  <c r="K19" i="3"/>
  <c r="J19" i="3"/>
  <c r="I19" i="3"/>
  <c r="H19" i="3"/>
  <c r="G19" i="3"/>
  <c r="F19" i="3"/>
  <c r="E19" i="3"/>
  <c r="D19" i="3"/>
  <c r="L12" i="1" l="1"/>
  <c r="J14" i="4" l="1"/>
  <c r="G14" i="4"/>
  <c r="F14" i="4"/>
  <c r="C14" i="4"/>
  <c r="I14" i="4"/>
  <c r="K14" i="4" s="1"/>
  <c r="H14" i="4"/>
  <c r="E14" i="4"/>
  <c r="D14" i="4"/>
  <c r="M14" i="4" l="1"/>
  <c r="AG31" i="2" l="1"/>
  <c r="AB31" i="2"/>
  <c r="X31" i="2"/>
  <c r="T31" i="2"/>
  <c r="O21" i="2" s="1"/>
  <c r="P31" i="2"/>
  <c r="H21" i="2" s="1"/>
  <c r="H31" i="2"/>
  <c r="M20" i="2" s="1"/>
  <c r="AE31" i="2"/>
  <c r="AA31" i="2"/>
  <c r="W31" i="2"/>
  <c r="S31" i="2"/>
  <c r="N21" i="2" s="1"/>
  <c r="O31" i="2"/>
  <c r="G21" i="2" s="1"/>
  <c r="K31" i="2"/>
  <c r="P20" i="2" s="1"/>
  <c r="G31" i="2"/>
  <c r="L20" i="2" s="1"/>
  <c r="B6" i="2"/>
  <c r="B14" i="2" s="1"/>
  <c r="C6" i="2"/>
  <c r="C14" i="2" s="1"/>
  <c r="D6" i="2"/>
  <c r="D14" i="2" s="1"/>
  <c r="E6" i="2"/>
  <c r="E14" i="2" s="1"/>
  <c r="F6" i="2"/>
  <c r="F14" i="2" s="1"/>
  <c r="G6" i="2"/>
  <c r="G14" i="2" s="1"/>
  <c r="H6" i="2"/>
  <c r="H14" i="2" s="1"/>
  <c r="I6" i="2"/>
  <c r="I14" i="2" s="1"/>
  <c r="J6" i="2"/>
  <c r="J14" i="2" s="1"/>
  <c r="K6" i="2"/>
  <c r="K14" i="2" s="1"/>
  <c r="L6" i="2"/>
  <c r="L14" i="2" s="1"/>
  <c r="M6" i="2"/>
  <c r="M14" i="2" s="1"/>
  <c r="N6" i="2"/>
  <c r="N14" i="2" s="1"/>
  <c r="O6" i="2"/>
  <c r="O14" i="2" s="1"/>
  <c r="P6" i="2"/>
  <c r="P14" i="2" s="1"/>
  <c r="Q6" i="2"/>
  <c r="Q14" i="2" s="1"/>
  <c r="R6" i="2"/>
  <c r="B15" i="2" s="1"/>
  <c r="S6" i="2"/>
  <c r="C15" i="2" s="1"/>
  <c r="T6" i="2"/>
  <c r="D15" i="2" s="1"/>
  <c r="U6" i="2"/>
  <c r="E15" i="2" s="1"/>
  <c r="V6" i="2"/>
  <c r="F15" i="2" s="1"/>
  <c r="W6" i="2"/>
  <c r="G15" i="2" s="1"/>
  <c r="X6" i="2"/>
  <c r="H15" i="2" s="1"/>
  <c r="Y6" i="2"/>
  <c r="I15" i="2" s="1"/>
  <c r="Z6" i="2"/>
  <c r="J15" i="2" s="1"/>
  <c r="AA6" i="2"/>
  <c r="K15" i="2" s="1"/>
  <c r="AB6" i="2"/>
  <c r="L15" i="2" s="1"/>
  <c r="AC6" i="2"/>
  <c r="M15" i="2" s="1"/>
  <c r="AD6" i="2"/>
  <c r="N15" i="2" s="1"/>
  <c r="AE6" i="2"/>
  <c r="O15" i="2" s="1"/>
  <c r="AF6" i="2"/>
  <c r="P15" i="2" s="1"/>
  <c r="AG6" i="2"/>
  <c r="Q15" i="2" s="1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BA6" i="2"/>
  <c r="BB6" i="2"/>
  <c r="BC6" i="2"/>
  <c r="BD6" i="2"/>
  <c r="BE6" i="2"/>
  <c r="BF6" i="2"/>
  <c r="BG6" i="2"/>
  <c r="BH6" i="2"/>
  <c r="BI6" i="2"/>
  <c r="BJ6" i="2"/>
  <c r="BK6" i="2"/>
  <c r="BL6" i="2"/>
  <c r="BM6" i="2"/>
  <c r="BP6" i="2"/>
  <c r="BQ6" i="2"/>
  <c r="BR6" i="2"/>
  <c r="BS6" i="2"/>
  <c r="BT6" i="2"/>
  <c r="BU6" i="2"/>
  <c r="BV6" i="2"/>
  <c r="BW6" i="2"/>
  <c r="CB6" i="2"/>
  <c r="CC6" i="2"/>
  <c r="CD6" i="2"/>
  <c r="CE6" i="2"/>
  <c r="CF6" i="2"/>
  <c r="CG6" i="2"/>
  <c r="CH6" i="2"/>
  <c r="CI6" i="2"/>
  <c r="CN6" i="2"/>
  <c r="CP6" i="2"/>
  <c r="B31" i="2"/>
  <c r="D20" i="2" s="1"/>
  <c r="E31" i="2"/>
  <c r="G20" i="2" s="1"/>
  <c r="F31" i="2"/>
  <c r="H20" i="2" s="1"/>
  <c r="I31" i="2"/>
  <c r="N20" i="2" s="1"/>
  <c r="J31" i="2"/>
  <c r="O20" i="2" s="1"/>
  <c r="M31" i="2"/>
  <c r="E21" i="2" s="1"/>
  <c r="N31" i="2"/>
  <c r="F21" i="2" s="1"/>
  <c r="Q31" i="2"/>
  <c r="L21" i="2" s="1"/>
  <c r="R31" i="2"/>
  <c r="M21" i="2" s="1"/>
  <c r="U31" i="2"/>
  <c r="P21" i="2" s="1"/>
  <c r="V31" i="2"/>
  <c r="Y31" i="2"/>
  <c r="Z31" i="2"/>
  <c r="AC31" i="2"/>
  <c r="AD31" i="2"/>
  <c r="K17" i="2" l="1"/>
  <c r="J17" i="2"/>
  <c r="Q17" i="2"/>
  <c r="L23" i="2"/>
  <c r="O23" i="2"/>
  <c r="CL6" i="2"/>
  <c r="P23" i="2"/>
  <c r="L17" i="2"/>
  <c r="N23" i="2"/>
  <c r="O17" i="2"/>
  <c r="N17" i="2"/>
  <c r="M23" i="2"/>
  <c r="M17" i="2"/>
  <c r="P17" i="2"/>
  <c r="BY6" i="2"/>
  <c r="AF31" i="2"/>
  <c r="C17" i="2"/>
  <c r="H17" i="2"/>
  <c r="D17" i="2"/>
  <c r="CK6" i="2"/>
  <c r="I17" i="2"/>
  <c r="CA6" i="2"/>
  <c r="F17" i="2"/>
  <c r="B17" i="2"/>
  <c r="BZ6" i="2"/>
  <c r="CJ6" i="2"/>
  <c r="BX6" i="2"/>
  <c r="CM6" i="2"/>
  <c r="G17" i="2"/>
  <c r="E17" i="2"/>
  <c r="AH31" i="2"/>
  <c r="AI31" i="2"/>
  <c r="AJ31" i="2"/>
  <c r="C31" i="2"/>
  <c r="E20" i="2" s="1"/>
  <c r="L31" i="2"/>
  <c r="D21" i="2" s="1"/>
  <c r="D31" i="2"/>
  <c r="F20" i="2" s="1"/>
  <c r="G23" i="2"/>
  <c r="H23" i="2"/>
  <c r="M24" i="2" l="1"/>
  <c r="G8" i="1"/>
  <c r="C8" i="1"/>
  <c r="P24" i="2"/>
  <c r="B8" i="1"/>
  <c r="N24" i="2"/>
  <c r="I8" i="1"/>
  <c r="L24" i="2"/>
  <c r="H24" i="2"/>
  <c r="K8" i="1"/>
  <c r="H8" i="1"/>
  <c r="G24" i="2"/>
  <c r="J8" i="1"/>
  <c r="E8" i="1"/>
  <c r="D8" i="1" s="1"/>
  <c r="R8" i="1" s="1"/>
  <c r="O24" i="2"/>
  <c r="CO6" i="2"/>
  <c r="CQ6" i="2" s="1"/>
  <c r="E23" i="2"/>
  <c r="D23" i="2"/>
  <c r="F23" i="2"/>
  <c r="I12" i="1" l="1"/>
  <c r="J12" i="1"/>
  <c r="F8" i="1"/>
  <c r="P8" i="1"/>
  <c r="F24" i="2"/>
  <c r="G12" i="1"/>
  <c r="K12" i="1"/>
  <c r="D24" i="2"/>
  <c r="Q8" i="1"/>
  <c r="H12" i="1"/>
  <c r="E24" i="2"/>
  <c r="C12" i="1"/>
  <c r="E12" i="1"/>
  <c r="B12" i="1"/>
  <c r="P12" i="1" l="1"/>
  <c r="Q12" i="1"/>
  <c r="N8" i="1"/>
  <c r="D12" i="1"/>
  <c r="O8" i="1"/>
  <c r="M8" i="1"/>
  <c r="F12" i="1"/>
  <c r="R12" i="1"/>
  <c r="N12" i="1" l="1"/>
  <c r="M12" i="1"/>
  <c r="O12" i="1"/>
</calcChain>
</file>

<file path=xl/sharedStrings.xml><?xml version="1.0" encoding="utf-8"?>
<sst xmlns="http://schemas.openxmlformats.org/spreadsheetml/2006/main" count="343" uniqueCount="60">
  <si>
    <t>Season</t>
  </si>
  <si>
    <t>Harvest</t>
  </si>
  <si>
    <t>Catch &amp;</t>
  </si>
  <si>
    <t>Chinook</t>
  </si>
  <si>
    <t>Released</t>
  </si>
  <si>
    <t>Sampled</t>
  </si>
  <si>
    <t>Week</t>
  </si>
  <si>
    <t>Adult</t>
  </si>
  <si>
    <t>Jacks</t>
  </si>
  <si>
    <t>Coho</t>
  </si>
  <si>
    <t>Steelhead</t>
  </si>
  <si>
    <t>Anglers</t>
  </si>
  <si>
    <t>Hours</t>
  </si>
  <si>
    <t>Effort</t>
  </si>
  <si>
    <t>Creel</t>
  </si>
  <si>
    <t>Weekday</t>
  </si>
  <si>
    <t>Weekend</t>
  </si>
  <si>
    <t>Section</t>
  </si>
  <si>
    <t>Lower (Mouth to Horn Rapids)</t>
  </si>
  <si>
    <t>Middle (Benton City to Prosser)</t>
  </si>
  <si>
    <t>Upper (Granger to Parker)</t>
  </si>
  <si>
    <t>Total</t>
  </si>
  <si>
    <r>
      <t xml:space="preserve">Total  </t>
    </r>
    <r>
      <rPr>
        <sz val="12"/>
        <rFont val="Times New Roman"/>
        <family val="1"/>
      </rPr>
      <t>(Weekly)</t>
    </r>
  </si>
  <si>
    <t>Effort (Combined)</t>
  </si>
  <si>
    <t>%</t>
  </si>
  <si>
    <t>Lower</t>
  </si>
  <si>
    <t>Middle</t>
  </si>
  <si>
    <t>Upper</t>
  </si>
  <si>
    <r>
      <t xml:space="preserve">Total </t>
    </r>
    <r>
      <rPr>
        <sz val="12"/>
        <rFont val="Times New Roman"/>
        <family val="1"/>
      </rPr>
      <t>(Weekly)</t>
    </r>
  </si>
  <si>
    <r>
      <t>Total</t>
    </r>
    <r>
      <rPr>
        <sz val="12"/>
        <rFont val="Times New Roman"/>
        <family val="1"/>
      </rPr>
      <t xml:space="preserve"> (Season)</t>
    </r>
  </si>
  <si>
    <t>Running Season Total</t>
  </si>
  <si>
    <t>Jack</t>
  </si>
  <si>
    <t>StHead</t>
  </si>
  <si>
    <t>(Total)</t>
  </si>
  <si>
    <t>(pole hrs)</t>
  </si>
  <si>
    <t>Angler</t>
  </si>
  <si>
    <t>Trips</t>
  </si>
  <si>
    <t>Sept 1 - 8</t>
  </si>
  <si>
    <t>Sept 9 - 15</t>
  </si>
  <si>
    <t>Sept 16 - 22</t>
  </si>
  <si>
    <t>Sept 23 - 29</t>
  </si>
  <si>
    <t>Sept 30 - Oct 6</t>
  </si>
  <si>
    <t>Oct 7 - 13</t>
  </si>
  <si>
    <t>Oct 14 - 20</t>
  </si>
  <si>
    <t>Oct 21 - 22</t>
  </si>
  <si>
    <t>Data Summary</t>
  </si>
  <si>
    <t>Hours per</t>
  </si>
  <si>
    <t>Fish</t>
  </si>
  <si>
    <t>Wild</t>
  </si>
  <si>
    <t>Hatchery</t>
  </si>
  <si>
    <t>Adults</t>
  </si>
  <si>
    <t>Kept</t>
  </si>
  <si>
    <t>Hatch</t>
  </si>
  <si>
    <t>Day Lower</t>
  </si>
  <si>
    <t>End Lower</t>
  </si>
  <si>
    <t>Day Middle</t>
  </si>
  <si>
    <t>End Middle</t>
  </si>
  <si>
    <t>Oct 10 - 16</t>
  </si>
  <si>
    <t>Sept 23 - October 9</t>
  </si>
  <si>
    <t>2022 Yakima River Fall Salmon Sport Fishery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</si>
</sst>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%"/>
  </numFmts>
  <fonts count="8" x14ac:knownFonts="1">
    <font>
      <sz val="10"/>
      <name val="Times New Roman"/>
    </font>
    <font>
      <b/>
      <sz val="14"/>
      <name val="Times New Roman"/>
      <family val="1"/>
    </font>
    <font>
      <b/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Border="1"/>
    <xf numFmtId="0" fontId="2" fillId="0" borderId="0" xfId="0" applyFont="1" applyBorder="1"/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/>
    <xf numFmtId="0" fontId="4" fillId="0" borderId="8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/>
    </xf>
    <xf numFmtId="3" fontId="4" fillId="0" borderId="8" xfId="0" applyNumberFormat="1" applyFont="1" applyBorder="1" applyAlignment="1">
      <alignment horizontal="center"/>
    </xf>
    <xf numFmtId="0" fontId="3" fillId="0" borderId="11" xfId="0" applyFont="1" applyBorder="1"/>
    <xf numFmtId="0" fontId="3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3" fillId="0" borderId="16" xfId="0" applyFont="1" applyBorder="1"/>
    <xf numFmtId="0" fontId="4" fillId="0" borderId="17" xfId="0" applyFont="1" applyFill="1" applyBorder="1" applyAlignment="1">
      <alignment horizontal="center"/>
    </xf>
    <xf numFmtId="0" fontId="4" fillId="0" borderId="18" xfId="0" applyFont="1" applyBorder="1"/>
    <xf numFmtId="1" fontId="4" fillId="0" borderId="8" xfId="0" applyNumberFormat="1" applyFont="1" applyBorder="1" applyAlignment="1">
      <alignment horizontal="center"/>
    </xf>
    <xf numFmtId="0" fontId="4" fillId="0" borderId="19" xfId="0" applyFont="1" applyBorder="1"/>
    <xf numFmtId="0" fontId="3" fillId="0" borderId="20" xfId="0" applyFont="1" applyBorder="1"/>
    <xf numFmtId="0" fontId="0" fillId="0" borderId="21" xfId="0" applyBorder="1"/>
    <xf numFmtId="0" fontId="0" fillId="0" borderId="22" xfId="0" applyBorder="1"/>
    <xf numFmtId="1" fontId="4" fillId="0" borderId="6" xfId="0" applyNumberFormat="1" applyFont="1" applyBorder="1" applyAlignment="1">
      <alignment horizontal="center"/>
    </xf>
    <xf numFmtId="1" fontId="0" fillId="0" borderId="22" xfId="0" applyNumberFormat="1" applyBorder="1"/>
    <xf numFmtId="1" fontId="0" fillId="0" borderId="21" xfId="0" applyNumberFormat="1" applyBorder="1"/>
    <xf numFmtId="1" fontId="0" fillId="0" borderId="0" xfId="0" applyNumberFormat="1" applyBorder="1"/>
    <xf numFmtId="0" fontId="0" fillId="0" borderId="26" xfId="0" applyBorder="1"/>
    <xf numFmtId="0" fontId="0" fillId="0" borderId="27" xfId="0" applyBorder="1"/>
    <xf numFmtId="1" fontId="0" fillId="0" borderId="28" xfId="0" applyNumberFormat="1" applyBorder="1"/>
    <xf numFmtId="1" fontId="0" fillId="0" borderId="26" xfId="0" applyNumberFormat="1" applyBorder="1"/>
    <xf numFmtId="1" fontId="0" fillId="0" borderId="27" xfId="0" applyNumberFormat="1" applyBorder="1"/>
    <xf numFmtId="1" fontId="4" fillId="0" borderId="29" xfId="0" applyNumberFormat="1" applyFont="1" applyBorder="1" applyAlignment="1">
      <alignment horizontal="center"/>
    </xf>
    <xf numFmtId="0" fontId="0" fillId="0" borderId="28" xfId="0" applyBorder="1"/>
    <xf numFmtId="0" fontId="3" fillId="0" borderId="30" xfId="0" applyFont="1" applyBorder="1"/>
    <xf numFmtId="0" fontId="0" fillId="0" borderId="31" xfId="0" applyBorder="1"/>
    <xf numFmtId="0" fontId="0" fillId="0" borderId="32" xfId="0" applyBorder="1"/>
    <xf numFmtId="1" fontId="4" fillId="0" borderId="33" xfId="0" applyNumberFormat="1" applyFont="1" applyBorder="1" applyAlignment="1">
      <alignment horizontal="center"/>
    </xf>
    <xf numFmtId="1" fontId="0" fillId="0" borderId="34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4" xfId="0" applyBorder="1"/>
    <xf numFmtId="0" fontId="3" fillId="0" borderId="35" xfId="0" applyFont="1" applyBorder="1"/>
    <xf numFmtId="0" fontId="0" fillId="0" borderId="11" xfId="0" applyBorder="1"/>
    <xf numFmtId="0" fontId="0" fillId="0" borderId="36" xfId="0" applyBorder="1"/>
    <xf numFmtId="1" fontId="3" fillId="0" borderId="12" xfId="0" applyNumberFormat="1" applyFont="1" applyBorder="1" applyAlignment="1">
      <alignment horizontal="center"/>
    </xf>
    <xf numFmtId="1" fontId="0" fillId="0" borderId="37" xfId="0" applyNumberFormat="1" applyBorder="1"/>
    <xf numFmtId="1" fontId="0" fillId="0" borderId="11" xfId="0" applyNumberFormat="1" applyBorder="1"/>
    <xf numFmtId="1" fontId="0" fillId="0" borderId="36" xfId="0" applyNumberFormat="1" applyBorder="1"/>
    <xf numFmtId="0" fontId="0" fillId="0" borderId="37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4" fillId="0" borderId="29" xfId="0" applyNumberFormat="1" applyFont="1" applyBorder="1" applyAlignment="1">
      <alignment horizontal="center"/>
    </xf>
    <xf numFmtId="0" fontId="0" fillId="0" borderId="39" xfId="0" applyBorder="1"/>
    <xf numFmtId="0" fontId="0" fillId="0" borderId="8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1" fontId="0" fillId="0" borderId="0" xfId="0" applyNumberFormat="1"/>
    <xf numFmtId="3" fontId="4" fillId="0" borderId="17" xfId="0" applyNumberFormat="1" applyFont="1" applyBorder="1" applyAlignment="1">
      <alignment horizontal="center"/>
    </xf>
    <xf numFmtId="3" fontId="4" fillId="0" borderId="41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165" fontId="4" fillId="0" borderId="29" xfId="0" applyNumberFormat="1" applyFont="1" applyBorder="1" applyAlignment="1">
      <alignment horizontal="center"/>
    </xf>
    <xf numFmtId="165" fontId="3" fillId="0" borderId="12" xfId="0" applyNumberFormat="1" applyFont="1" applyBorder="1" applyAlignment="1">
      <alignment horizontal="center"/>
    </xf>
    <xf numFmtId="165" fontId="4" fillId="0" borderId="42" xfId="0" applyNumberFormat="1" applyFont="1" applyBorder="1" applyAlignment="1">
      <alignment horizontal="center"/>
    </xf>
    <xf numFmtId="165" fontId="4" fillId="0" borderId="43" xfId="0" applyNumberFormat="1" applyFont="1" applyBorder="1" applyAlignment="1">
      <alignment horizontal="center"/>
    </xf>
    <xf numFmtId="3" fontId="3" fillId="0" borderId="44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46" xfId="0" applyFont="1" applyBorder="1"/>
    <xf numFmtId="0" fontId="5" fillId="0" borderId="0" xfId="0" applyFont="1" applyBorder="1" applyAlignment="1">
      <alignment horizontal="left"/>
    </xf>
    <xf numFmtId="0" fontId="6" fillId="0" borderId="0" xfId="0" applyFont="1"/>
    <xf numFmtId="0" fontId="6" fillId="0" borderId="0" xfId="0" applyFont="1" applyBorder="1"/>
    <xf numFmtId="0" fontId="5" fillId="0" borderId="0" xfId="0" applyFont="1" applyBorder="1"/>
    <xf numFmtId="0" fontId="5" fillId="0" borderId="0" xfId="0" applyFont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4" fillId="0" borderId="6" xfId="0" applyFont="1" applyFill="1" applyBorder="1" applyAlignment="1">
      <alignment horizontal="center"/>
    </xf>
    <xf numFmtId="166" fontId="3" fillId="0" borderId="48" xfId="0" applyNumberFormat="1" applyFont="1" applyBorder="1" applyAlignment="1">
      <alignment horizontal="center"/>
    </xf>
    <xf numFmtId="166" fontId="3" fillId="0" borderId="9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4" fillId="0" borderId="49" xfId="0" applyFont="1" applyBorder="1"/>
    <xf numFmtId="10" fontId="2" fillId="0" borderId="0" xfId="0" applyNumberFormat="1" applyFont="1" applyBorder="1" applyAlignment="1">
      <alignment horizontal="center"/>
    </xf>
    <xf numFmtId="164" fontId="5" fillId="0" borderId="0" xfId="0" applyNumberFormat="1" applyFont="1" applyBorder="1"/>
    <xf numFmtId="0" fontId="5" fillId="0" borderId="13" xfId="0" applyFont="1" applyBorder="1" applyAlignment="1">
      <alignment horizontal="center"/>
    </xf>
    <xf numFmtId="3" fontId="5" fillId="0" borderId="14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3" fontId="3" fillId="0" borderId="20" xfId="0" applyNumberFormat="1" applyFont="1" applyFill="1" applyBorder="1" applyAlignment="1">
      <alignment horizontal="center"/>
    </xf>
    <xf numFmtId="0" fontId="3" fillId="0" borderId="61" xfId="0" applyFont="1" applyFill="1" applyBorder="1"/>
    <xf numFmtId="0" fontId="3" fillId="0" borderId="60" xfId="0" applyFont="1" applyFill="1" applyBorder="1" applyAlignment="1">
      <alignment horizontal="center"/>
    </xf>
    <xf numFmtId="0" fontId="1" fillId="0" borderId="0" xfId="0" applyFont="1" applyBorder="1"/>
    <xf numFmtId="3" fontId="4" fillId="0" borderId="8" xfId="0" applyNumberFormat="1" applyFont="1" applyBorder="1" applyAlignment="1">
      <alignment horizontal="right"/>
    </xf>
    <xf numFmtId="3" fontId="3" fillId="0" borderId="12" xfId="0" applyNumberFormat="1" applyFont="1" applyFill="1" applyBorder="1" applyAlignment="1">
      <alignment horizontal="right"/>
    </xf>
    <xf numFmtId="3" fontId="4" fillId="0" borderId="29" xfId="0" applyNumberFormat="1" applyFont="1" applyBorder="1" applyAlignment="1">
      <alignment horizontal="right"/>
    </xf>
    <xf numFmtId="1" fontId="4" fillId="0" borderId="8" xfId="0" applyNumberFormat="1" applyFont="1" applyFill="1" applyBorder="1" applyAlignment="1">
      <alignment horizontal="right"/>
    </xf>
    <xf numFmtId="166" fontId="4" fillId="0" borderId="10" xfId="0" applyNumberFormat="1" applyFont="1" applyBorder="1" applyAlignment="1">
      <alignment horizontal="right"/>
    </xf>
    <xf numFmtId="1" fontId="4" fillId="0" borderId="29" xfId="0" applyNumberFormat="1" applyFont="1" applyFill="1" applyBorder="1" applyAlignment="1">
      <alignment horizontal="right"/>
    </xf>
    <xf numFmtId="166" fontId="4" fillId="0" borderId="38" xfId="0" applyNumberFormat="1" applyFont="1" applyBorder="1" applyAlignment="1">
      <alignment horizontal="right"/>
    </xf>
    <xf numFmtId="166" fontId="3" fillId="0" borderId="40" xfId="0" applyNumberFormat="1" applyFont="1" applyBorder="1" applyAlignment="1">
      <alignment horizontal="right"/>
    </xf>
    <xf numFmtId="3" fontId="5" fillId="0" borderId="59" xfId="0" applyNumberFormat="1" applyFont="1" applyBorder="1" applyAlignment="1">
      <alignment horizontal="center"/>
    </xf>
    <xf numFmtId="0" fontId="4" fillId="0" borderId="8" xfId="0" applyFont="1" applyBorder="1"/>
    <xf numFmtId="0" fontId="5" fillId="0" borderId="0" xfId="0" applyFont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3" fontId="5" fillId="0" borderId="22" xfId="0" applyNumberFormat="1" applyFont="1" applyBorder="1" applyAlignment="1">
      <alignment horizontal="center"/>
    </xf>
    <xf numFmtId="3" fontId="5" fillId="0" borderId="28" xfId="0" applyNumberFormat="1" applyFont="1" applyBorder="1" applyAlignment="1">
      <alignment horizontal="center"/>
    </xf>
    <xf numFmtId="3" fontId="3" fillId="0" borderId="37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66" xfId="0" applyFont="1" applyBorder="1"/>
    <xf numFmtId="1" fontId="4" fillId="0" borderId="10" xfId="0" applyNumberFormat="1" applyFont="1" applyFill="1" applyBorder="1" applyAlignment="1">
      <alignment horizontal="right"/>
    </xf>
    <xf numFmtId="0" fontId="4" fillId="0" borderId="67" xfId="0" applyFont="1" applyBorder="1"/>
    <xf numFmtId="1" fontId="4" fillId="0" borderId="38" xfId="0" applyNumberFormat="1" applyFont="1" applyFill="1" applyBorder="1" applyAlignment="1">
      <alignment horizontal="right"/>
    </xf>
    <xf numFmtId="3" fontId="3" fillId="0" borderId="40" xfId="0" applyNumberFormat="1" applyFont="1" applyFill="1" applyBorder="1" applyAlignment="1">
      <alignment horizontal="right"/>
    </xf>
    <xf numFmtId="0" fontId="4" fillId="0" borderId="42" xfId="0" applyFont="1" applyFill="1" applyBorder="1" applyAlignment="1">
      <alignment horizontal="center"/>
    </xf>
    <xf numFmtId="1" fontId="4" fillId="0" borderId="42" xfId="0" applyNumberFormat="1" applyFont="1" applyFill="1" applyBorder="1" applyAlignment="1">
      <alignment horizontal="right"/>
    </xf>
    <xf numFmtId="3" fontId="3" fillId="0" borderId="68" xfId="0" applyNumberFormat="1" applyFont="1" applyFill="1" applyBorder="1" applyAlignment="1">
      <alignment horizontal="right"/>
    </xf>
    <xf numFmtId="1" fontId="4" fillId="0" borderId="17" xfId="0" applyNumberFormat="1" applyFont="1" applyFill="1" applyBorder="1" applyAlignment="1">
      <alignment horizontal="right"/>
    </xf>
    <xf numFmtId="1" fontId="4" fillId="0" borderId="41" xfId="0" applyNumberFormat="1" applyFont="1" applyFill="1" applyBorder="1" applyAlignment="1">
      <alignment horizontal="right"/>
    </xf>
    <xf numFmtId="3" fontId="3" fillId="0" borderId="44" xfId="0" applyNumberFormat="1" applyFont="1" applyFill="1" applyBorder="1" applyAlignment="1">
      <alignment horizontal="right"/>
    </xf>
    <xf numFmtId="3" fontId="6" fillId="0" borderId="0" xfId="0" applyNumberFormat="1" applyFont="1"/>
    <xf numFmtId="1" fontId="5" fillId="0" borderId="0" xfId="0" applyNumberFormat="1" applyFont="1"/>
    <xf numFmtId="165" fontId="5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50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7" xfId="0" applyBorder="1" applyAlignment="1">
      <alignment horizontal="center"/>
    </xf>
    <xf numFmtId="1" fontId="4" fillId="0" borderId="43" xfId="0" applyNumberFormat="1" applyFont="1" applyFill="1" applyBorder="1" applyAlignment="1">
      <alignment horizontal="right"/>
    </xf>
    <xf numFmtId="0" fontId="0" fillId="0" borderId="69" xfId="0" applyBorder="1"/>
    <xf numFmtId="0" fontId="0" fillId="0" borderId="70" xfId="0" applyBorder="1"/>
    <xf numFmtId="3" fontId="0" fillId="0" borderId="0" xfId="0" applyNumberFormat="1"/>
    <xf numFmtId="3" fontId="7" fillId="0" borderId="0" xfId="0" applyNumberFormat="1" applyFont="1"/>
    <xf numFmtId="164" fontId="0" fillId="0" borderId="0" xfId="0" applyNumberFormat="1"/>
    <xf numFmtId="165" fontId="4" fillId="0" borderId="10" xfId="0" applyNumberFormat="1" applyFont="1" applyBorder="1" applyAlignment="1">
      <alignment horizontal="center"/>
    </xf>
    <xf numFmtId="165" fontId="3" fillId="0" borderId="40" xfId="0" applyNumberFormat="1" applyFont="1" applyBorder="1" applyAlignment="1">
      <alignment horizontal="center"/>
    </xf>
    <xf numFmtId="165" fontId="4" fillId="0" borderId="38" xfId="0" applyNumberFormat="1" applyFont="1" applyBorder="1" applyAlignment="1">
      <alignment horizontal="center"/>
    </xf>
    <xf numFmtId="0" fontId="3" fillId="0" borderId="71" xfId="0" applyFont="1" applyFill="1" applyBorder="1"/>
    <xf numFmtId="0" fontId="0" fillId="0" borderId="51" xfId="0" applyBorder="1"/>
    <xf numFmtId="0" fontId="0" fillId="0" borderId="52" xfId="0" applyBorder="1"/>
    <xf numFmtId="0" fontId="5" fillId="0" borderId="53" xfId="0" applyFont="1" applyBorder="1"/>
    <xf numFmtId="0" fontId="5" fillId="0" borderId="51" xfId="0" applyFont="1" applyBorder="1"/>
    <xf numFmtId="0" fontId="5" fillId="0" borderId="52" xfId="0" applyFont="1" applyBorder="1"/>
    <xf numFmtId="0" fontId="0" fillId="0" borderId="53" xfId="0" applyBorder="1"/>
    <xf numFmtId="0" fontId="0" fillId="0" borderId="62" xfId="0" applyBorder="1"/>
    <xf numFmtId="0" fontId="0" fillId="0" borderId="63" xfId="0" applyBorder="1"/>
    <xf numFmtId="0" fontId="3" fillId="0" borderId="52" xfId="0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0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23" xfId="0" applyFont="1" applyFill="1" applyBorder="1" applyAlignment="1">
      <alignment horizontal="center"/>
    </xf>
    <xf numFmtId="0" fontId="3" fillId="0" borderId="24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51" xfId="0" applyFont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5" fillId="0" borderId="5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2" xfId="0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7" xfId="0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3" fillId="0" borderId="54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807"/>
  <sheetViews>
    <sheetView tabSelected="1" zoomScale="75" workbookViewId="0">
      <selection activeCell="O8" sqref="O8"/>
    </sheetView>
  </sheetViews>
  <sheetFormatPr defaultRowHeight="12.75" x14ac:dyDescent="0.2"/>
  <cols>
    <col min="1" max="1" width="43" customWidth="1"/>
    <col min="2" max="15" width="10.83203125" customWidth="1"/>
    <col min="16" max="16" width="15.83203125" customWidth="1"/>
    <col min="17" max="17" width="14.1640625" customWidth="1"/>
    <col min="18" max="19" width="10.83203125" customWidth="1"/>
  </cols>
  <sheetData>
    <row r="1" spans="1:2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20" ht="18.75" x14ac:dyDescent="0.3">
      <c r="A2" s="108" t="s">
        <v>59</v>
      </c>
      <c r="B2" s="89"/>
      <c r="C2" s="89"/>
      <c r="D2" s="89"/>
      <c r="E2" s="108"/>
      <c r="F2" s="89"/>
      <c r="G2" s="89"/>
      <c r="H2" s="89"/>
      <c r="I2" s="89"/>
      <c r="P2" s="88"/>
      <c r="Q2" s="88"/>
      <c r="R2" s="88"/>
    </row>
    <row r="3" spans="1:20" ht="13.5" thickBot="1" x14ac:dyDescent="0.25">
      <c r="A3" s="89"/>
      <c r="B3" s="87"/>
      <c r="C3" s="90"/>
      <c r="D3" s="89"/>
      <c r="E3" s="89"/>
      <c r="F3" s="87"/>
      <c r="G3" s="87"/>
      <c r="H3" s="90"/>
      <c r="I3" s="89"/>
      <c r="P3" s="88"/>
      <c r="Q3" s="88"/>
      <c r="R3" s="88"/>
    </row>
    <row r="4" spans="1:20" ht="16.5" thickBot="1" x14ac:dyDescent="0.3">
      <c r="A4" s="3" t="s">
        <v>0</v>
      </c>
      <c r="B4" s="175" t="s">
        <v>5</v>
      </c>
      <c r="C4" s="176"/>
      <c r="D4" s="175" t="s">
        <v>13</v>
      </c>
      <c r="E4" s="176"/>
      <c r="F4" s="85"/>
      <c r="G4" s="173" t="s">
        <v>5</v>
      </c>
      <c r="H4" s="166"/>
      <c r="I4" s="166"/>
      <c r="J4" s="166"/>
      <c r="K4" s="166"/>
      <c r="L4" s="174"/>
      <c r="M4" s="166" t="s">
        <v>1</v>
      </c>
      <c r="N4" s="166"/>
      <c r="O4" s="166"/>
      <c r="P4" s="167"/>
      <c r="Q4" s="85" t="s">
        <v>2</v>
      </c>
    </row>
    <row r="5" spans="1:20" ht="15.75" x14ac:dyDescent="0.25">
      <c r="A5" s="7"/>
      <c r="B5" s="177"/>
      <c r="C5" s="178"/>
      <c r="D5" s="177"/>
      <c r="E5" s="178"/>
      <c r="F5" s="96" t="s">
        <v>5</v>
      </c>
      <c r="G5" s="179" t="s">
        <v>3</v>
      </c>
      <c r="H5" s="169"/>
      <c r="I5" s="168" t="s">
        <v>9</v>
      </c>
      <c r="J5" s="169"/>
      <c r="K5" s="168" t="s">
        <v>10</v>
      </c>
      <c r="L5" s="180"/>
      <c r="M5" s="172" t="s">
        <v>3</v>
      </c>
      <c r="N5" s="169"/>
      <c r="O5" s="168" t="s">
        <v>9</v>
      </c>
      <c r="P5" s="169"/>
      <c r="Q5" s="125" t="s">
        <v>4</v>
      </c>
      <c r="R5" s="120" t="s">
        <v>35</v>
      </c>
      <c r="S5" s="119" t="s">
        <v>46</v>
      </c>
    </row>
    <row r="6" spans="1:20" ht="15.75" x14ac:dyDescent="0.25">
      <c r="A6" s="9" t="s">
        <v>6</v>
      </c>
      <c r="B6" s="10" t="s">
        <v>11</v>
      </c>
      <c r="C6" s="10" t="s">
        <v>12</v>
      </c>
      <c r="D6" s="10" t="s">
        <v>11</v>
      </c>
      <c r="E6" s="10" t="s">
        <v>12</v>
      </c>
      <c r="F6" s="97" t="s">
        <v>24</v>
      </c>
      <c r="G6" s="18" t="s">
        <v>7</v>
      </c>
      <c r="H6" s="10" t="s">
        <v>8</v>
      </c>
      <c r="I6" s="10" t="s">
        <v>7</v>
      </c>
      <c r="J6" s="10" t="s">
        <v>8</v>
      </c>
      <c r="K6" s="10" t="s">
        <v>48</v>
      </c>
      <c r="L6" s="126" t="s">
        <v>49</v>
      </c>
      <c r="M6" s="132" t="s">
        <v>7</v>
      </c>
      <c r="N6" s="10" t="s">
        <v>8</v>
      </c>
      <c r="O6" s="10" t="s">
        <v>7</v>
      </c>
      <c r="P6" s="10" t="s">
        <v>8</v>
      </c>
      <c r="Q6" s="126" t="s">
        <v>10</v>
      </c>
      <c r="R6" s="121" t="s">
        <v>36</v>
      </c>
      <c r="S6" s="119" t="s">
        <v>47</v>
      </c>
    </row>
    <row r="7" spans="1:20" ht="15.75" x14ac:dyDescent="0.25">
      <c r="A7" s="127" t="s">
        <v>58</v>
      </c>
      <c r="B7" s="109">
        <v>262</v>
      </c>
      <c r="C7" s="109">
        <v>649</v>
      </c>
      <c r="D7" s="109">
        <v>2016</v>
      </c>
      <c r="E7" s="109">
        <v>4877</v>
      </c>
      <c r="F7" s="113">
        <v>0.13307361082632765</v>
      </c>
      <c r="G7" s="135">
        <v>26</v>
      </c>
      <c r="H7" s="112">
        <v>3</v>
      </c>
      <c r="I7" s="112">
        <v>0</v>
      </c>
      <c r="J7" s="112">
        <v>1</v>
      </c>
      <c r="K7" s="112">
        <v>0</v>
      </c>
      <c r="L7" s="128">
        <v>0</v>
      </c>
      <c r="M7" s="133">
        <v>184</v>
      </c>
      <c r="N7" s="112">
        <v>40</v>
      </c>
      <c r="O7" s="112">
        <v>0</v>
      </c>
      <c r="P7" s="112">
        <v>7</v>
      </c>
      <c r="Q7" s="128">
        <v>0</v>
      </c>
      <c r="R7" s="122">
        <v>2016</v>
      </c>
      <c r="S7" s="66">
        <v>21.112554112554111</v>
      </c>
      <c r="T7" s="74"/>
    </row>
    <row r="8" spans="1:20" ht="15.75" x14ac:dyDescent="0.25">
      <c r="A8" s="127" t="s">
        <v>57</v>
      </c>
      <c r="B8" s="109">
        <f>B$22+J$22</f>
        <v>115</v>
      </c>
      <c r="C8" s="109">
        <f>C$22+K$22</f>
        <v>251.39999999999998</v>
      </c>
      <c r="D8" s="109">
        <f t="shared" ref="D8:D11" si="0">E8/(C8/B8)</f>
        <v>740.43143396976927</v>
      </c>
      <c r="E8" s="109">
        <f>I$22+Q$22</f>
        <v>1618.6475</v>
      </c>
      <c r="F8" s="113">
        <f t="shared" ref="F8:F12" si="1">C8/E8</f>
        <v>0.15531485391352964</v>
      </c>
      <c r="G8" s="135">
        <f>D$22+L$22</f>
        <v>11</v>
      </c>
      <c r="H8" s="112">
        <f>E$22+M$22</f>
        <v>1</v>
      </c>
      <c r="I8" s="112">
        <f>F$22+N$22</f>
        <v>3</v>
      </c>
      <c r="J8" s="112">
        <f>G$22+O$22</f>
        <v>0</v>
      </c>
      <c r="K8" s="112">
        <f>H$22+P$22</f>
        <v>0</v>
      </c>
      <c r="L8" s="128"/>
      <c r="M8" s="133">
        <f>D$28+L$28</f>
        <v>52.206805823111864</v>
      </c>
      <c r="N8" s="112">
        <f>E$28+M$28</f>
        <v>15.125804924242425</v>
      </c>
      <c r="O8" s="112">
        <f>F$28+N$28</f>
        <v>8.7439701625415207</v>
      </c>
      <c r="P8" s="112">
        <f>G$28+O$28</f>
        <v>0</v>
      </c>
      <c r="Q8" s="128">
        <f>H$28+P$28</f>
        <v>0</v>
      </c>
      <c r="R8" s="122">
        <f t="shared" ref="R8:R11" si="2">D8</f>
        <v>740.43143396976927</v>
      </c>
      <c r="S8" s="66">
        <v>39.788560394644108</v>
      </c>
      <c r="T8" s="74"/>
    </row>
    <row r="9" spans="1:20" ht="15.75" x14ac:dyDescent="0.25">
      <c r="A9" s="127"/>
      <c r="B9" s="109"/>
      <c r="C9" s="109"/>
      <c r="D9" s="109"/>
      <c r="E9" s="109"/>
      <c r="F9" s="113"/>
      <c r="G9" s="135"/>
      <c r="H9" s="112"/>
      <c r="I9" s="112"/>
      <c r="J9" s="112"/>
      <c r="K9" s="112"/>
      <c r="L9" s="128"/>
      <c r="M9" s="133"/>
      <c r="N9" s="112"/>
      <c r="O9" s="112"/>
      <c r="P9" s="112"/>
      <c r="Q9" s="128"/>
      <c r="R9" s="122"/>
      <c r="S9" s="66"/>
      <c r="T9" s="74"/>
    </row>
    <row r="10" spans="1:20" ht="15.75" x14ac:dyDescent="0.25">
      <c r="A10" s="127"/>
      <c r="B10" s="109"/>
      <c r="C10" s="109"/>
      <c r="D10" s="109"/>
      <c r="E10" s="109"/>
      <c r="F10" s="113"/>
      <c r="G10" s="135"/>
      <c r="H10" s="112"/>
      <c r="I10" s="112"/>
      <c r="J10" s="112"/>
      <c r="K10" s="112"/>
      <c r="L10" s="128"/>
      <c r="M10" s="133"/>
      <c r="N10" s="112"/>
      <c r="O10" s="112"/>
      <c r="P10" s="112"/>
      <c r="Q10" s="128"/>
      <c r="R10" s="122"/>
      <c r="S10" s="66"/>
      <c r="T10" s="74"/>
    </row>
    <row r="11" spans="1:20" ht="16.5" thickBot="1" x14ac:dyDescent="0.3">
      <c r="A11" s="129"/>
      <c r="B11" s="111"/>
      <c r="C11" s="111"/>
      <c r="D11" s="111"/>
      <c r="E11" s="111"/>
      <c r="F11" s="115"/>
      <c r="G11" s="136"/>
      <c r="H11" s="114"/>
      <c r="I11" s="114"/>
      <c r="J11" s="114"/>
      <c r="K11" s="114"/>
      <c r="L11" s="130"/>
      <c r="M11" s="148"/>
      <c r="N11" s="114"/>
      <c r="O11" s="114"/>
      <c r="P11" s="114"/>
      <c r="Q11" s="130"/>
      <c r="R11" s="123"/>
      <c r="S11" s="66"/>
      <c r="T11" s="74"/>
    </row>
    <row r="12" spans="1:20" ht="17.25" thickTop="1" thickBot="1" x14ac:dyDescent="0.3">
      <c r="A12" s="13" t="s">
        <v>0</v>
      </c>
      <c r="B12" s="110">
        <f>SUM(B7:B11)</f>
        <v>377</v>
      </c>
      <c r="C12" s="110">
        <f>SUM(C7:C11)</f>
        <v>900.4</v>
      </c>
      <c r="D12" s="110">
        <f>SUM(D7:D11)</f>
        <v>2756.4314339697694</v>
      </c>
      <c r="E12" s="110">
        <f>SUM(E7:E11)</f>
        <v>6495.6475</v>
      </c>
      <c r="F12" s="116">
        <f t="shared" si="1"/>
        <v>0.1386158962597647</v>
      </c>
      <c r="G12" s="137">
        <f>SUM(G7:G11)</f>
        <v>37</v>
      </c>
      <c r="H12" s="110">
        <f>SUM(H7:H11)</f>
        <v>4</v>
      </c>
      <c r="I12" s="110">
        <f>SUM(I7:I11)</f>
        <v>3</v>
      </c>
      <c r="J12" s="110">
        <f>SUM(J7:J11)</f>
        <v>1</v>
      </c>
      <c r="K12" s="110">
        <f>SUM(K7:K11)</f>
        <v>0</v>
      </c>
      <c r="L12" s="131">
        <f>SUM(L7:L11)</f>
        <v>0</v>
      </c>
      <c r="M12" s="134">
        <f>SUM(M7:M11)</f>
        <v>236.20680582311186</v>
      </c>
      <c r="N12" s="110">
        <f>SUM(N7:N11)</f>
        <v>55.125804924242424</v>
      </c>
      <c r="O12" s="110">
        <f>SUM(O7:O11)</f>
        <v>8.7439701625415207</v>
      </c>
      <c r="P12" s="110">
        <f>SUM(P7:P11)</f>
        <v>7</v>
      </c>
      <c r="Q12" s="131">
        <f>SUM(Q7:Q11)</f>
        <v>0</v>
      </c>
      <c r="R12" s="124">
        <f>SUM(R7:R11)</f>
        <v>2756.4314339697694</v>
      </c>
      <c r="T12" s="74"/>
    </row>
    <row r="13" spans="1:20" x14ac:dyDescent="0.2">
      <c r="A13" s="89"/>
      <c r="B13" s="87"/>
      <c r="C13" s="90"/>
      <c r="D13" s="89"/>
      <c r="E13" s="89"/>
      <c r="F13" s="87"/>
      <c r="G13" s="87"/>
      <c r="H13" s="101"/>
      <c r="I13" s="89"/>
      <c r="J13" s="89"/>
      <c r="K13" s="89"/>
      <c r="L13" s="89"/>
      <c r="P13" s="88"/>
      <c r="Q13" s="88"/>
      <c r="R13" s="88"/>
    </row>
    <row r="14" spans="1:20" x14ac:dyDescent="0.2">
      <c r="A14" s="89"/>
      <c r="B14" s="87"/>
      <c r="C14" s="90"/>
      <c r="D14" s="89"/>
      <c r="E14" s="89"/>
      <c r="F14" s="87"/>
      <c r="G14" s="87"/>
      <c r="H14" s="87"/>
      <c r="I14" s="87"/>
      <c r="J14" s="89"/>
      <c r="K14" s="88"/>
      <c r="L14" s="88"/>
      <c r="M14" s="138"/>
      <c r="N14" s="88"/>
      <c r="O14" s="88"/>
      <c r="P14" s="88"/>
      <c r="Q14" s="88"/>
      <c r="R14" s="88"/>
    </row>
    <row r="15" spans="1:20" ht="16.5" thickBot="1" x14ac:dyDescent="0.3">
      <c r="A15" s="68" t="s">
        <v>45</v>
      </c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</row>
    <row r="16" spans="1:20" ht="15.75" x14ac:dyDescent="0.25">
      <c r="A16" s="14"/>
      <c r="B16" s="173" t="s">
        <v>15</v>
      </c>
      <c r="C16" s="166"/>
      <c r="D16" s="166"/>
      <c r="E16" s="166"/>
      <c r="F16" s="166"/>
      <c r="G16" s="166"/>
      <c r="H16" s="166"/>
      <c r="I16" s="174"/>
      <c r="J16" s="173" t="s">
        <v>16</v>
      </c>
      <c r="K16" s="166"/>
      <c r="L16" s="166"/>
      <c r="M16" s="166"/>
      <c r="N16" s="166"/>
      <c r="O16" s="166"/>
      <c r="P16" s="166"/>
      <c r="Q16" s="174"/>
      <c r="R16" s="88"/>
    </row>
    <row r="17" spans="1:18" ht="15.75" x14ac:dyDescent="0.25">
      <c r="A17" s="15"/>
      <c r="B17" s="170" t="s">
        <v>5</v>
      </c>
      <c r="C17" s="171"/>
      <c r="D17" s="171"/>
      <c r="E17" s="171"/>
      <c r="F17" s="171"/>
      <c r="G17" s="171"/>
      <c r="H17" s="171"/>
      <c r="I17" s="16"/>
      <c r="J17" s="170" t="s">
        <v>5</v>
      </c>
      <c r="K17" s="171"/>
      <c r="L17" s="171"/>
      <c r="M17" s="171"/>
      <c r="N17" s="171"/>
      <c r="O17" s="171"/>
      <c r="P17" s="171"/>
      <c r="Q17" s="16"/>
      <c r="R17" s="88"/>
    </row>
    <row r="18" spans="1:18" ht="15.75" x14ac:dyDescent="0.25">
      <c r="A18" s="17" t="s">
        <v>17</v>
      </c>
      <c r="B18" s="92" t="s">
        <v>11</v>
      </c>
      <c r="C18" s="93" t="s">
        <v>12</v>
      </c>
      <c r="D18" s="93" t="s">
        <v>3</v>
      </c>
      <c r="E18" s="93" t="s">
        <v>8</v>
      </c>
      <c r="F18" s="93" t="s">
        <v>9</v>
      </c>
      <c r="G18" s="93" t="s">
        <v>8</v>
      </c>
      <c r="H18" s="93" t="s">
        <v>10</v>
      </c>
      <c r="I18" s="11" t="s">
        <v>13</v>
      </c>
      <c r="J18" s="92" t="s">
        <v>11</v>
      </c>
      <c r="K18" s="93" t="s">
        <v>12</v>
      </c>
      <c r="L18" s="93" t="s">
        <v>3</v>
      </c>
      <c r="M18" s="93" t="s">
        <v>8</v>
      </c>
      <c r="N18" s="93" t="s">
        <v>9</v>
      </c>
      <c r="O18" s="93" t="s">
        <v>8</v>
      </c>
      <c r="P18" s="93" t="s">
        <v>10</v>
      </c>
      <c r="Q18" s="11" t="s">
        <v>13</v>
      </c>
      <c r="R18" s="88"/>
    </row>
    <row r="19" spans="1:18" ht="15.75" x14ac:dyDescent="0.25">
      <c r="A19" s="19" t="s">
        <v>18</v>
      </c>
      <c r="B19" s="75">
        <v>5</v>
      </c>
      <c r="C19" s="80">
        <v>7.4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54">
        <v>98.037499999999994</v>
      </c>
      <c r="J19" s="75">
        <v>5</v>
      </c>
      <c r="K19" s="77">
        <v>8.6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54">
        <v>85.11999999999999</v>
      </c>
      <c r="R19" s="88"/>
    </row>
    <row r="20" spans="1:18" ht="15.75" x14ac:dyDescent="0.25">
      <c r="A20" s="19" t="s">
        <v>19</v>
      </c>
      <c r="B20" s="75">
        <v>35</v>
      </c>
      <c r="C20" s="80">
        <v>75.2</v>
      </c>
      <c r="D20" s="12">
        <v>5</v>
      </c>
      <c r="E20" s="12">
        <v>0</v>
      </c>
      <c r="F20" s="12">
        <v>0</v>
      </c>
      <c r="G20" s="12">
        <v>0</v>
      </c>
      <c r="H20" s="12">
        <v>0</v>
      </c>
      <c r="I20" s="77">
        <v>897.75</v>
      </c>
      <c r="J20" s="75">
        <v>70</v>
      </c>
      <c r="K20" s="77">
        <v>160.19999999999999</v>
      </c>
      <c r="L20" s="12">
        <v>6</v>
      </c>
      <c r="M20" s="12">
        <v>0</v>
      </c>
      <c r="N20" s="12">
        <v>3</v>
      </c>
      <c r="O20" s="12">
        <v>0</v>
      </c>
      <c r="P20" s="12">
        <v>0</v>
      </c>
      <c r="Q20" s="154">
        <v>537.7399999999999</v>
      </c>
      <c r="R20" s="88"/>
    </row>
    <row r="21" spans="1:18" ht="16.5" thickBot="1" x14ac:dyDescent="0.3">
      <c r="A21" s="21"/>
      <c r="B21" s="76"/>
      <c r="C21" s="81"/>
      <c r="D21" s="59"/>
      <c r="E21" s="59"/>
      <c r="F21" s="59"/>
      <c r="G21" s="59"/>
      <c r="H21" s="59"/>
      <c r="I21" s="78"/>
      <c r="J21" s="76"/>
      <c r="K21" s="78"/>
      <c r="L21" s="59"/>
      <c r="M21" s="59"/>
      <c r="N21" s="59"/>
      <c r="O21" s="59"/>
      <c r="P21" s="59"/>
      <c r="Q21" s="156"/>
      <c r="R21" s="88"/>
    </row>
    <row r="22" spans="1:18" ht="17.25" thickTop="1" thickBot="1" x14ac:dyDescent="0.3">
      <c r="A22" s="22" t="s">
        <v>21</v>
      </c>
      <c r="B22" s="82">
        <v>40</v>
      </c>
      <c r="C22" s="79">
        <v>82.600000000000009</v>
      </c>
      <c r="D22" s="58">
        <v>5</v>
      </c>
      <c r="E22" s="58">
        <v>1</v>
      </c>
      <c r="F22" s="58">
        <v>0</v>
      </c>
      <c r="G22" s="58">
        <v>0</v>
      </c>
      <c r="H22" s="58">
        <v>0</v>
      </c>
      <c r="I22" s="155">
        <v>995.78750000000002</v>
      </c>
      <c r="J22" s="82">
        <v>75</v>
      </c>
      <c r="K22" s="79">
        <v>168.79999999999998</v>
      </c>
      <c r="L22" s="58">
        <v>6</v>
      </c>
      <c r="M22" s="58">
        <v>0</v>
      </c>
      <c r="N22" s="58">
        <v>3</v>
      </c>
      <c r="O22" s="58">
        <v>0</v>
      </c>
      <c r="P22" s="58">
        <v>0</v>
      </c>
      <c r="Q22" s="155">
        <v>622.8599999999999</v>
      </c>
      <c r="R22" s="88"/>
    </row>
    <row r="23" spans="1:18" ht="16.5" thickBot="1" x14ac:dyDescent="0.3">
      <c r="A23" s="157"/>
      <c r="B23" s="23"/>
      <c r="C23" s="1"/>
      <c r="D23" s="1"/>
      <c r="E23" s="1"/>
      <c r="F23" s="1"/>
      <c r="G23" s="1"/>
      <c r="H23" s="1"/>
      <c r="I23" s="24"/>
      <c r="J23" s="23"/>
      <c r="K23" s="1"/>
      <c r="L23" s="1"/>
      <c r="M23" s="1"/>
      <c r="N23" s="1"/>
      <c r="O23" s="1"/>
      <c r="P23" s="1"/>
      <c r="Q23" s="24"/>
      <c r="R23" s="88"/>
    </row>
    <row r="24" spans="1:18" ht="15.75" x14ac:dyDescent="0.25">
      <c r="A24" s="86" t="s">
        <v>1</v>
      </c>
      <c r="B24" s="158"/>
      <c r="C24" s="159"/>
      <c r="D24" s="107" t="s">
        <v>3</v>
      </c>
      <c r="E24" s="107" t="s">
        <v>8</v>
      </c>
      <c r="F24" s="107" t="s">
        <v>9</v>
      </c>
      <c r="G24" s="107" t="s">
        <v>8</v>
      </c>
      <c r="H24" s="107" t="s">
        <v>10</v>
      </c>
      <c r="I24" s="160"/>
      <c r="J24" s="161"/>
      <c r="K24" s="162"/>
      <c r="L24" s="107" t="s">
        <v>3</v>
      </c>
      <c r="M24" s="107" t="s">
        <v>8</v>
      </c>
      <c r="N24" s="107" t="s">
        <v>9</v>
      </c>
      <c r="O24" s="107" t="s">
        <v>8</v>
      </c>
      <c r="P24" s="107" t="s">
        <v>10</v>
      </c>
      <c r="Q24" s="163"/>
      <c r="R24" s="88"/>
    </row>
    <row r="25" spans="1:18" ht="15.75" x14ac:dyDescent="0.25">
      <c r="A25" s="19" t="s">
        <v>18</v>
      </c>
      <c r="B25" s="23"/>
      <c r="C25" s="1"/>
      <c r="D25" s="25">
        <v>0</v>
      </c>
      <c r="E25" s="25">
        <v>9.5659090909090914</v>
      </c>
      <c r="F25" s="25">
        <v>0</v>
      </c>
      <c r="G25" s="25">
        <v>0</v>
      </c>
      <c r="H25" s="25">
        <v>0</v>
      </c>
      <c r="I25" s="26"/>
      <c r="J25" s="27"/>
      <c r="K25" s="28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4"/>
      <c r="R25" s="88"/>
    </row>
    <row r="26" spans="1:18" ht="15.75" x14ac:dyDescent="0.25">
      <c r="A26" s="19" t="s">
        <v>19</v>
      </c>
      <c r="B26" s="23"/>
      <c r="C26" s="1"/>
      <c r="D26" s="12">
        <v>37.720906508264463</v>
      </c>
      <c r="E26" s="12">
        <v>5.5598958333333339</v>
      </c>
      <c r="F26" s="12">
        <v>0</v>
      </c>
      <c r="G26" s="12">
        <v>0</v>
      </c>
      <c r="H26" s="12">
        <v>0</v>
      </c>
      <c r="I26" s="26"/>
      <c r="J26" s="27"/>
      <c r="K26" s="28"/>
      <c r="L26" s="20">
        <v>14.485899314847401</v>
      </c>
      <c r="M26" s="20">
        <v>0</v>
      </c>
      <c r="N26" s="20">
        <v>8.7439701625415207</v>
      </c>
      <c r="O26" s="20">
        <v>0</v>
      </c>
      <c r="P26" s="20">
        <v>0</v>
      </c>
      <c r="Q26" s="24"/>
      <c r="R26" s="88"/>
    </row>
    <row r="27" spans="1:18" ht="16.5" thickBot="1" x14ac:dyDescent="0.3">
      <c r="A27" s="21"/>
      <c r="B27" s="29"/>
      <c r="C27" s="30"/>
      <c r="D27" s="34"/>
      <c r="E27" s="34"/>
      <c r="F27" s="34"/>
      <c r="G27" s="34"/>
      <c r="H27" s="34"/>
      <c r="I27" s="31"/>
      <c r="J27" s="32"/>
      <c r="K27" s="33"/>
      <c r="L27" s="34"/>
      <c r="M27" s="34"/>
      <c r="N27" s="34"/>
      <c r="O27" s="34"/>
      <c r="P27" s="34"/>
      <c r="Q27" s="35"/>
      <c r="R27" s="88"/>
    </row>
    <row r="28" spans="1:18" ht="17.25" thickTop="1" thickBot="1" x14ac:dyDescent="0.3">
      <c r="A28" s="44" t="s">
        <v>22</v>
      </c>
      <c r="B28" s="45"/>
      <c r="C28" s="46"/>
      <c r="D28" s="47">
        <v>37.720906508264463</v>
      </c>
      <c r="E28" s="47">
        <v>15.125804924242425</v>
      </c>
      <c r="F28" s="47">
        <v>0</v>
      </c>
      <c r="G28" s="47">
        <v>0</v>
      </c>
      <c r="H28" s="47">
        <v>0</v>
      </c>
      <c r="I28" s="48"/>
      <c r="J28" s="49"/>
      <c r="K28" s="50"/>
      <c r="L28" s="47">
        <v>14.485899314847401</v>
      </c>
      <c r="M28" s="47">
        <v>0</v>
      </c>
      <c r="N28" s="47">
        <v>8.7439701625415207</v>
      </c>
      <c r="O28" s="47">
        <v>0</v>
      </c>
      <c r="P28" s="47">
        <v>0</v>
      </c>
      <c r="Q28" s="51"/>
      <c r="R28" s="88"/>
    </row>
    <row r="29" spans="1:18" x14ac:dyDescent="0.2">
      <c r="A29" s="89"/>
      <c r="B29" s="89"/>
      <c r="C29" s="90"/>
      <c r="D29" s="89"/>
      <c r="E29" s="91"/>
      <c r="F29" s="89"/>
      <c r="G29" s="89"/>
      <c r="H29" s="90"/>
      <c r="I29" s="89"/>
      <c r="J29" s="89"/>
      <c r="K29" s="90"/>
      <c r="L29" s="89"/>
      <c r="M29" s="91"/>
      <c r="N29" s="91"/>
      <c r="O29" s="89"/>
      <c r="P29" s="89"/>
      <c r="Q29" s="89"/>
      <c r="R29" s="89"/>
    </row>
    <row r="30" spans="1:18" x14ac:dyDescent="0.2">
      <c r="A30" s="1"/>
      <c r="B30" s="53"/>
      <c r="C30" s="53"/>
      <c r="D30" s="53"/>
      <c r="E30" s="53"/>
      <c r="F30" s="53"/>
      <c r="G30" s="53"/>
      <c r="H30" s="53"/>
      <c r="I30" s="100"/>
      <c r="J30" s="53"/>
      <c r="K30" s="53"/>
      <c r="L30" s="53"/>
      <c r="M30" s="53"/>
      <c r="N30" s="53"/>
      <c r="O30" s="53"/>
      <c r="P30" s="53"/>
      <c r="Q30" s="100"/>
      <c r="R30" s="1"/>
    </row>
    <row r="31" spans="1:18" x14ac:dyDescent="0.2">
      <c r="A31" s="1"/>
      <c r="B31" s="56"/>
      <c r="C31" s="52"/>
      <c r="D31" s="98"/>
      <c r="E31" s="98"/>
      <c r="F31" s="98"/>
      <c r="G31" s="52"/>
      <c r="H31" s="98"/>
      <c r="I31" s="100"/>
      <c r="J31" s="52"/>
      <c r="K31" s="52"/>
      <c r="L31" s="52"/>
      <c r="M31" s="52"/>
      <c r="N31" s="52"/>
      <c r="O31" s="52"/>
      <c r="P31" s="1"/>
      <c r="Q31" s="100"/>
      <c r="R31" s="1"/>
    </row>
    <row r="32" spans="1:18" x14ac:dyDescent="0.2">
      <c r="A32" s="1"/>
      <c r="B32" s="56"/>
      <c r="C32" s="52"/>
      <c r="D32" s="52"/>
      <c r="E32" s="55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1"/>
      <c r="Q32" s="1"/>
      <c r="R32" s="1"/>
    </row>
    <row r="33" spans="1:18" x14ac:dyDescent="0.2">
      <c r="A33" s="1"/>
      <c r="B33" s="56"/>
      <c r="C33" s="52"/>
      <c r="D33" s="52"/>
      <c r="E33" s="55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1"/>
      <c r="Q33" s="1"/>
      <c r="R33" s="1"/>
    </row>
    <row r="34" spans="1:18" x14ac:dyDescent="0.2">
      <c r="A34" s="1"/>
      <c r="B34" s="56"/>
      <c r="C34" s="52"/>
      <c r="D34" s="52"/>
      <c r="E34" s="55"/>
      <c r="F34" s="54"/>
      <c r="G34" s="54"/>
      <c r="H34" s="52"/>
      <c r="I34" s="52"/>
      <c r="J34" s="52"/>
      <c r="K34" s="52"/>
      <c r="L34" s="52"/>
      <c r="M34" s="52"/>
      <c r="N34" s="52"/>
      <c r="O34" s="52"/>
      <c r="P34" s="1"/>
      <c r="Q34" s="1"/>
      <c r="R34" s="1"/>
    </row>
    <row r="35" spans="1:18" x14ac:dyDescent="0.2">
      <c r="A35" s="1"/>
      <c r="B35" s="56"/>
      <c r="C35" s="57"/>
      <c r="D35" s="52"/>
      <c r="E35" s="55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1"/>
      <c r="Q35" s="1"/>
      <c r="R35" s="1"/>
    </row>
    <row r="36" spans="1:18" x14ac:dyDescent="0.2">
      <c r="A36" s="1"/>
      <c r="B36" s="56"/>
      <c r="C36" s="57"/>
      <c r="D36" s="52"/>
      <c r="E36" s="55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1"/>
      <c r="Q36" s="1"/>
      <c r="R36" s="1"/>
    </row>
    <row r="37" spans="1:18" x14ac:dyDescent="0.2">
      <c r="A37" s="1"/>
      <c r="B37" s="56"/>
      <c r="C37" s="57"/>
      <c r="D37" s="52"/>
      <c r="E37" s="55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1"/>
      <c r="Q37" s="1"/>
      <c r="R37" s="1"/>
    </row>
    <row r="38" spans="1:18" x14ac:dyDescent="0.2">
      <c r="A38" s="1"/>
      <c r="B38" s="56"/>
      <c r="C38" s="57"/>
      <c r="D38" s="52"/>
      <c r="E38" s="55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1"/>
      <c r="Q38" s="1"/>
      <c r="R38" s="1"/>
    </row>
    <row r="39" spans="1:18" x14ac:dyDescent="0.2">
      <c r="A39" s="1"/>
      <c r="B39" s="56"/>
      <c r="C39" s="57"/>
      <c r="D39" s="52"/>
      <c r="E39" s="55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1"/>
      <c r="Q39" s="1"/>
      <c r="R39" s="1"/>
    </row>
    <row r="40" spans="1:18" x14ac:dyDescent="0.2">
      <c r="A40" s="1"/>
      <c r="B40" s="56"/>
      <c r="C40" s="57"/>
      <c r="D40" s="52"/>
      <c r="E40" s="55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1"/>
      <c r="Q40" s="1"/>
      <c r="R40" s="1"/>
    </row>
    <row r="41" spans="1:18" x14ac:dyDescent="0.2">
      <c r="A41" s="1"/>
      <c r="B41" s="56"/>
      <c r="C41" s="57"/>
      <c r="D41" s="52"/>
      <c r="E41" s="55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1"/>
      <c r="Q41" s="1"/>
      <c r="R41" s="1"/>
    </row>
    <row r="42" spans="1:18" x14ac:dyDescent="0.2">
      <c r="A42" s="1"/>
      <c r="B42" s="56"/>
      <c r="C42" s="57"/>
      <c r="D42" s="52"/>
      <c r="E42" s="55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1"/>
      <c r="Q42" s="1"/>
      <c r="R42" s="1"/>
    </row>
    <row r="43" spans="1:18" x14ac:dyDescent="0.2">
      <c r="A43" s="1"/>
      <c r="B43" s="56"/>
      <c r="C43" s="52"/>
      <c r="D43" s="52"/>
      <c r="E43" s="55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1"/>
      <c r="Q43" s="1"/>
      <c r="R43" s="1"/>
    </row>
    <row r="44" spans="1:18" x14ac:dyDescent="0.2">
      <c r="A44" s="1"/>
      <c r="B44" s="56"/>
      <c r="C44" s="52"/>
      <c r="D44" s="52"/>
      <c r="E44" s="55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1"/>
      <c r="Q44" s="1"/>
      <c r="R44" s="1"/>
    </row>
    <row r="45" spans="1:18" x14ac:dyDescent="0.2">
      <c r="A45" s="1"/>
      <c r="B45" s="56"/>
      <c r="C45" s="57"/>
      <c r="D45" s="52"/>
      <c r="E45" s="55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1"/>
      <c r="Q45" s="1"/>
      <c r="R45" s="1"/>
    </row>
    <row r="46" spans="1:18" x14ac:dyDescent="0.2">
      <c r="A46" s="1"/>
      <c r="B46" s="53"/>
      <c r="C46" s="53"/>
      <c r="D46" s="52"/>
      <c r="E46" s="55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1"/>
      <c r="Q46" s="1"/>
      <c r="R46" s="1"/>
    </row>
    <row r="47" spans="1:18" x14ac:dyDescent="0.2">
      <c r="A47" s="1"/>
      <c r="B47" s="53"/>
      <c r="C47" s="53"/>
      <c r="D47" s="52"/>
      <c r="E47" s="55"/>
      <c r="F47" s="52"/>
      <c r="G47" s="52"/>
      <c r="H47" s="52"/>
      <c r="I47" s="52"/>
      <c r="J47" s="52"/>
      <c r="K47" s="52"/>
      <c r="L47" s="52"/>
      <c r="M47" s="54"/>
      <c r="N47" s="54"/>
      <c r="O47" s="54"/>
      <c r="P47" s="1"/>
      <c r="Q47" s="1"/>
      <c r="R47" s="1"/>
    </row>
    <row r="48" spans="1:18" x14ac:dyDescent="0.2">
      <c r="A48" s="1"/>
      <c r="B48" s="1"/>
      <c r="C48" s="52"/>
      <c r="D48" s="52"/>
      <c r="E48" s="55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">
      <c r="A49" s="1"/>
      <c r="B49" s="1"/>
      <c r="C49" s="52"/>
      <c r="D49" s="52"/>
      <c r="E49" s="55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">
      <c r="A50" s="1"/>
      <c r="B50" s="2"/>
      <c r="C50" s="2"/>
      <c r="D50" s="1"/>
      <c r="E50" s="1"/>
      <c r="F50" s="1"/>
      <c r="G50" s="1"/>
      <c r="H50" s="2"/>
      <c r="I50" s="1"/>
      <c r="J50" s="1"/>
      <c r="K50" s="1"/>
      <c r="L50" s="1"/>
      <c r="M50" s="1"/>
      <c r="N50" s="52"/>
      <c r="O50" s="52"/>
      <c r="P50" s="1"/>
      <c r="Q50" s="1"/>
      <c r="R50" s="1"/>
    </row>
    <row r="51" spans="1:18" x14ac:dyDescent="0.2">
      <c r="A51" s="1"/>
      <c r="B51" s="1"/>
      <c r="C51" s="2"/>
      <c r="D51" s="1"/>
      <c r="E51" s="53"/>
      <c r="F51" s="1"/>
      <c r="G51" s="1"/>
      <c r="H51" s="2"/>
      <c r="I51" s="1"/>
      <c r="J51" s="1"/>
      <c r="K51" s="2"/>
      <c r="L51" s="1"/>
      <c r="M51" s="53"/>
      <c r="N51" s="53"/>
      <c r="O51" s="53"/>
      <c r="P51" s="1"/>
      <c r="Q51" s="1"/>
      <c r="R51" s="1"/>
    </row>
    <row r="52" spans="1:18" x14ac:dyDescent="0.2">
      <c r="A52" s="1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2"/>
      <c r="M52" s="53"/>
      <c r="N52" s="53"/>
      <c r="O52" s="53"/>
      <c r="P52" s="1"/>
      <c r="Q52" s="1"/>
      <c r="R52" s="1"/>
    </row>
    <row r="53" spans="1:18" x14ac:dyDescent="0.2">
      <c r="A53" s="1"/>
      <c r="B53" s="56"/>
      <c r="C53" s="52"/>
      <c r="D53" s="52"/>
      <c r="E53" s="55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1"/>
      <c r="Q53" s="1"/>
      <c r="R53" s="1"/>
    </row>
    <row r="54" spans="1:18" x14ac:dyDescent="0.2">
      <c r="A54" s="1"/>
      <c r="B54" s="56"/>
      <c r="C54" s="52"/>
      <c r="D54" s="52"/>
      <c r="E54" s="55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1"/>
      <c r="Q54" s="1"/>
      <c r="R54" s="1"/>
    </row>
    <row r="55" spans="1:18" x14ac:dyDescent="0.2">
      <c r="A55" s="1"/>
      <c r="B55" s="56"/>
      <c r="C55" s="52"/>
      <c r="D55" s="52"/>
      <c r="E55" s="55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1"/>
      <c r="Q55" s="1"/>
      <c r="R55" s="1"/>
    </row>
    <row r="56" spans="1:18" x14ac:dyDescent="0.2">
      <c r="A56" s="1"/>
      <c r="B56" s="56"/>
      <c r="C56" s="52"/>
      <c r="D56" s="52"/>
      <c r="E56" s="55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1"/>
      <c r="Q56" s="1"/>
      <c r="R56" s="1"/>
    </row>
    <row r="57" spans="1:18" x14ac:dyDescent="0.2">
      <c r="A57" s="1"/>
      <c r="B57" s="56"/>
      <c r="C57" s="57"/>
      <c r="D57" s="52"/>
      <c r="E57" s="55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1"/>
      <c r="Q57" s="1"/>
      <c r="R57" s="1"/>
    </row>
    <row r="58" spans="1:18" x14ac:dyDescent="0.2">
      <c r="A58" s="1"/>
      <c r="B58" s="56"/>
      <c r="C58" s="57"/>
      <c r="D58" s="52"/>
      <c r="E58" s="55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1"/>
      <c r="Q58" s="1"/>
      <c r="R58" s="1"/>
    </row>
    <row r="59" spans="1:18" x14ac:dyDescent="0.2">
      <c r="A59" s="1"/>
      <c r="B59" s="56"/>
      <c r="C59" s="57"/>
      <c r="D59" s="52"/>
      <c r="E59" s="55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1"/>
      <c r="Q59" s="1"/>
      <c r="R59" s="1"/>
    </row>
    <row r="60" spans="1:18" x14ac:dyDescent="0.2">
      <c r="A60" s="1"/>
      <c r="B60" s="56"/>
      <c r="C60" s="57"/>
      <c r="D60" s="52"/>
      <c r="E60" s="55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1"/>
      <c r="Q60" s="1"/>
      <c r="R60" s="1"/>
    </row>
    <row r="61" spans="1:18" x14ac:dyDescent="0.2">
      <c r="A61" s="1"/>
      <c r="B61" s="56"/>
      <c r="C61" s="57"/>
      <c r="D61" s="52"/>
      <c r="E61" s="55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1"/>
      <c r="Q61" s="1"/>
      <c r="R61" s="1"/>
    </row>
    <row r="62" spans="1:18" x14ac:dyDescent="0.2">
      <c r="A62" s="1"/>
      <c r="B62" s="56"/>
      <c r="C62" s="57"/>
      <c r="D62" s="52"/>
      <c r="E62" s="55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1"/>
      <c r="Q62" s="1"/>
      <c r="R62" s="1"/>
    </row>
    <row r="63" spans="1:18" x14ac:dyDescent="0.2">
      <c r="A63" s="1"/>
      <c r="B63" s="56"/>
      <c r="C63" s="57"/>
      <c r="D63" s="52"/>
      <c r="E63" s="55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1"/>
      <c r="Q63" s="1"/>
      <c r="R63" s="1"/>
    </row>
    <row r="64" spans="1:18" x14ac:dyDescent="0.2">
      <c r="A64" s="1"/>
      <c r="B64" s="56"/>
      <c r="C64" s="57"/>
      <c r="D64" s="52"/>
      <c r="E64" s="55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1"/>
      <c r="Q64" s="1"/>
      <c r="R64" s="1"/>
    </row>
    <row r="65" spans="1:18" x14ac:dyDescent="0.2">
      <c r="A65" s="1"/>
      <c r="B65" s="56"/>
      <c r="C65" s="52"/>
      <c r="D65" s="52"/>
      <c r="E65" s="55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1"/>
      <c r="Q65" s="1"/>
      <c r="R65" s="1"/>
    </row>
    <row r="66" spans="1:18" x14ac:dyDescent="0.2">
      <c r="A66" s="1"/>
      <c r="B66" s="56"/>
      <c r="C66" s="52"/>
      <c r="D66" s="52"/>
      <c r="E66" s="55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1"/>
      <c r="Q66" s="1"/>
      <c r="R66" s="1"/>
    </row>
    <row r="67" spans="1:18" x14ac:dyDescent="0.2">
      <c r="A67" s="1"/>
      <c r="B67" s="56"/>
      <c r="C67" s="57"/>
      <c r="D67" s="52"/>
      <c r="E67" s="55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1"/>
      <c r="Q67" s="1"/>
      <c r="R67" s="1"/>
    </row>
    <row r="68" spans="1:18" x14ac:dyDescent="0.2">
      <c r="A68" s="1"/>
      <c r="B68" s="53"/>
      <c r="C68" s="53"/>
      <c r="D68" s="52"/>
      <c r="E68" s="55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1"/>
      <c r="Q68" s="1"/>
      <c r="R68" s="1"/>
    </row>
    <row r="69" spans="1:18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x14ac:dyDescent="0.2">
      <c r="A70" s="1"/>
      <c r="B70" s="56"/>
      <c r="C70" s="57"/>
      <c r="D70" s="52"/>
      <c r="E70" s="55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1"/>
      <c r="Q70" s="1"/>
      <c r="R70" s="1"/>
    </row>
    <row r="71" spans="1:18" x14ac:dyDescent="0.2">
      <c r="A71" s="1"/>
      <c r="B71" s="56"/>
      <c r="C71" s="57"/>
      <c r="D71" s="52"/>
      <c r="E71" s="55"/>
      <c r="F71" s="52"/>
      <c r="G71" s="52"/>
      <c r="H71" s="54"/>
      <c r="I71" s="52"/>
      <c r="J71" s="52"/>
      <c r="K71" s="52"/>
      <c r="L71" s="52"/>
      <c r="M71" s="52"/>
      <c r="N71" s="52"/>
      <c r="O71" s="52"/>
      <c r="P71" s="1"/>
      <c r="Q71" s="1"/>
      <c r="R71" s="1"/>
    </row>
    <row r="72" spans="1:18" x14ac:dyDescent="0.2">
      <c r="A72" s="1"/>
      <c r="B72" s="56"/>
      <c r="C72" s="57"/>
      <c r="D72" s="52"/>
      <c r="E72" s="55"/>
      <c r="F72" s="52"/>
      <c r="G72" s="52"/>
      <c r="H72" s="52"/>
      <c r="I72" s="52"/>
      <c r="J72" s="52"/>
      <c r="K72" s="52"/>
      <c r="L72" s="52"/>
      <c r="M72" s="54"/>
      <c r="N72" s="52"/>
      <c r="O72" s="52"/>
      <c r="P72" s="1"/>
      <c r="Q72" s="1"/>
      <c r="R72" s="1"/>
    </row>
    <row r="73" spans="1:18" x14ac:dyDescent="0.2">
      <c r="A73" s="1"/>
      <c r="B73" s="53"/>
      <c r="C73" s="53"/>
      <c r="D73" s="52"/>
      <c r="E73" s="55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1"/>
      <c r="Q73" s="1"/>
      <c r="R73" s="1"/>
    </row>
    <row r="74" spans="1:18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</sheetData>
  <mergeCells count="13">
    <mergeCell ref="M4:P4"/>
    <mergeCell ref="O5:P5"/>
    <mergeCell ref="B17:H17"/>
    <mergeCell ref="J17:P17"/>
    <mergeCell ref="M5:N5"/>
    <mergeCell ref="B16:I16"/>
    <mergeCell ref="J16:Q16"/>
    <mergeCell ref="D4:E5"/>
    <mergeCell ref="B4:C5"/>
    <mergeCell ref="G5:H5"/>
    <mergeCell ref="I5:J5"/>
    <mergeCell ref="K5:L5"/>
    <mergeCell ref="G4:L4"/>
  </mergeCells>
  <phoneticPr fontId="0" type="noConversion"/>
  <pageMargins left="0.75" right="0.75" top="1" bottom="1" header="0.5" footer="0.5"/>
  <pageSetup scale="5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CQ34"/>
  <sheetViews>
    <sheetView zoomScale="75" workbookViewId="0">
      <selection activeCell="G24" sqref="G24"/>
    </sheetView>
  </sheetViews>
  <sheetFormatPr defaultRowHeight="12.75" x14ac:dyDescent="0.2"/>
  <cols>
    <col min="1" max="1" width="39" customWidth="1"/>
    <col min="4" max="4" width="11.33203125" customWidth="1"/>
    <col min="8" max="8" width="12.5" customWidth="1"/>
    <col min="12" max="12" width="11.83203125" customWidth="1"/>
    <col min="16" max="16" width="12" customWidth="1"/>
    <col min="32" max="32" width="10.1640625" customWidth="1"/>
  </cols>
  <sheetData>
    <row r="2" spans="1:95" x14ac:dyDescent="0.2">
      <c r="B2" s="186" t="s">
        <v>18</v>
      </c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8"/>
      <c r="R2" s="186" t="s">
        <v>19</v>
      </c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8"/>
      <c r="AH2" s="186" t="s">
        <v>20</v>
      </c>
      <c r="AI2" s="187"/>
      <c r="AJ2" s="187"/>
      <c r="AK2" s="187"/>
      <c r="AL2" s="187"/>
      <c r="AM2" s="187"/>
      <c r="AN2" s="187"/>
      <c r="AO2" s="187"/>
      <c r="AP2" s="187"/>
      <c r="AQ2" s="187"/>
      <c r="AR2" s="187"/>
      <c r="AS2" s="187"/>
      <c r="AT2" s="187"/>
      <c r="AU2" s="187"/>
      <c r="AV2" s="187"/>
      <c r="AW2" s="188"/>
      <c r="AX2" s="186" t="s">
        <v>21</v>
      </c>
      <c r="AY2" s="187"/>
      <c r="AZ2" s="187"/>
      <c r="BA2" s="187"/>
      <c r="BB2" s="187"/>
      <c r="BC2" s="187"/>
      <c r="BD2" s="187"/>
      <c r="BE2" s="187"/>
      <c r="BF2" s="187"/>
      <c r="BG2" s="187"/>
      <c r="BH2" s="187"/>
      <c r="BI2" s="187"/>
      <c r="BJ2" s="187"/>
      <c r="BK2" s="187"/>
      <c r="BL2" s="187"/>
      <c r="BM2" s="188"/>
    </row>
    <row r="3" spans="1:95" x14ac:dyDescent="0.2">
      <c r="B3" s="189" t="s">
        <v>15</v>
      </c>
      <c r="C3" s="190"/>
      <c r="D3" s="190"/>
      <c r="E3" s="190"/>
      <c r="F3" s="190"/>
      <c r="G3" s="190"/>
      <c r="H3" s="190"/>
      <c r="I3" s="191"/>
      <c r="J3" s="189" t="s">
        <v>16</v>
      </c>
      <c r="K3" s="190"/>
      <c r="L3" s="190"/>
      <c r="M3" s="190"/>
      <c r="N3" s="190"/>
      <c r="O3" s="190"/>
      <c r="P3" s="190"/>
      <c r="Q3" s="191"/>
      <c r="R3" s="189" t="s">
        <v>15</v>
      </c>
      <c r="S3" s="190"/>
      <c r="T3" s="190"/>
      <c r="U3" s="190"/>
      <c r="V3" s="190"/>
      <c r="W3" s="190"/>
      <c r="X3" s="190"/>
      <c r="Y3" s="191"/>
      <c r="Z3" s="189" t="s">
        <v>16</v>
      </c>
      <c r="AA3" s="190"/>
      <c r="AB3" s="190"/>
      <c r="AC3" s="190"/>
      <c r="AD3" s="190"/>
      <c r="AE3" s="190"/>
      <c r="AF3" s="190"/>
      <c r="AG3" s="191"/>
      <c r="AH3" s="189" t="s">
        <v>15</v>
      </c>
      <c r="AI3" s="190"/>
      <c r="AJ3" s="190"/>
      <c r="AK3" s="190"/>
      <c r="AL3" s="190"/>
      <c r="AM3" s="190"/>
      <c r="AN3" s="190"/>
      <c r="AO3" s="191"/>
      <c r="AP3" s="189" t="s">
        <v>16</v>
      </c>
      <c r="AQ3" s="190"/>
      <c r="AR3" s="190"/>
      <c r="AS3" s="190"/>
      <c r="AT3" s="190"/>
      <c r="AU3" s="190"/>
      <c r="AV3" s="190"/>
      <c r="AW3" s="191"/>
      <c r="AX3" s="189" t="s">
        <v>15</v>
      </c>
      <c r="AY3" s="190"/>
      <c r="AZ3" s="190"/>
      <c r="BA3" s="190"/>
      <c r="BB3" s="190"/>
      <c r="BC3" s="190"/>
      <c r="BD3" s="190"/>
      <c r="BE3" s="191"/>
      <c r="BF3" s="189" t="s">
        <v>15</v>
      </c>
      <c r="BG3" s="190"/>
      <c r="BH3" s="190"/>
      <c r="BI3" s="190"/>
      <c r="BJ3" s="190"/>
      <c r="BK3" s="190"/>
      <c r="BL3" s="190"/>
      <c r="BM3" s="191"/>
      <c r="BP3" s="183" t="s">
        <v>15</v>
      </c>
      <c r="BQ3" s="184"/>
      <c r="BR3" s="184"/>
      <c r="BS3" s="184"/>
      <c r="BT3" s="184"/>
      <c r="BU3" s="184"/>
      <c r="BV3" s="184"/>
      <c r="BW3" s="184"/>
      <c r="BX3" s="184"/>
      <c r="BY3" s="184"/>
      <c r="BZ3" s="184"/>
      <c r="CA3" s="185"/>
      <c r="CB3" s="183" t="s">
        <v>16</v>
      </c>
      <c r="CC3" s="184"/>
      <c r="CD3" s="184"/>
      <c r="CE3" s="184"/>
      <c r="CF3" s="184"/>
      <c r="CG3" s="184"/>
      <c r="CH3" s="184"/>
      <c r="CI3" s="184"/>
      <c r="CJ3" s="184"/>
      <c r="CK3" s="184"/>
      <c r="CL3" s="184"/>
      <c r="CM3" s="185"/>
      <c r="CN3" s="186" t="s">
        <v>23</v>
      </c>
      <c r="CO3" s="187"/>
      <c r="CP3" s="187"/>
      <c r="CQ3" s="188"/>
    </row>
    <row r="4" spans="1:95" x14ac:dyDescent="0.2">
      <c r="B4" s="181" t="s">
        <v>5</v>
      </c>
      <c r="C4" s="182"/>
      <c r="D4" s="182"/>
      <c r="E4" s="182"/>
      <c r="F4" s="182"/>
      <c r="G4" s="182"/>
      <c r="H4" s="182"/>
      <c r="I4" s="60"/>
      <c r="J4" s="181" t="s">
        <v>5</v>
      </c>
      <c r="K4" s="182"/>
      <c r="L4" s="182"/>
      <c r="M4" s="182"/>
      <c r="N4" s="182"/>
      <c r="O4" s="182"/>
      <c r="P4" s="182"/>
      <c r="Q4" s="60"/>
      <c r="R4" s="181" t="s">
        <v>5</v>
      </c>
      <c r="S4" s="182"/>
      <c r="T4" s="182"/>
      <c r="U4" s="182"/>
      <c r="V4" s="182"/>
      <c r="W4" s="182"/>
      <c r="X4" s="182"/>
      <c r="Y4" s="60"/>
      <c r="Z4" s="181" t="s">
        <v>5</v>
      </c>
      <c r="AA4" s="182"/>
      <c r="AB4" s="182"/>
      <c r="AC4" s="182"/>
      <c r="AD4" s="182"/>
      <c r="AE4" s="182"/>
      <c r="AF4" s="182"/>
      <c r="AG4" s="60"/>
      <c r="AH4" s="181" t="s">
        <v>5</v>
      </c>
      <c r="AI4" s="182"/>
      <c r="AJ4" s="182"/>
      <c r="AK4" s="182"/>
      <c r="AL4" s="182"/>
      <c r="AM4" s="182"/>
      <c r="AN4" s="182"/>
      <c r="AO4" s="60"/>
      <c r="AP4" s="181" t="s">
        <v>5</v>
      </c>
      <c r="AQ4" s="182"/>
      <c r="AR4" s="182"/>
      <c r="AS4" s="182"/>
      <c r="AT4" s="182"/>
      <c r="AU4" s="182"/>
      <c r="AV4" s="182"/>
      <c r="AW4" s="60"/>
      <c r="AX4" s="181" t="s">
        <v>5</v>
      </c>
      <c r="AY4" s="182"/>
      <c r="AZ4" s="182"/>
      <c r="BA4" s="182"/>
      <c r="BB4" s="182"/>
      <c r="BC4" s="182"/>
      <c r="BD4" s="182"/>
      <c r="BE4" s="60"/>
      <c r="BF4" s="181" t="s">
        <v>5</v>
      </c>
      <c r="BG4" s="182"/>
      <c r="BH4" s="182"/>
      <c r="BI4" s="182"/>
      <c r="BJ4" s="182"/>
      <c r="BK4" s="182"/>
      <c r="BL4" s="182"/>
      <c r="BM4" s="60"/>
      <c r="BP4" s="183" t="s">
        <v>5</v>
      </c>
      <c r="BQ4" s="184"/>
      <c r="BR4" s="184"/>
      <c r="BS4" s="185"/>
      <c r="BT4" s="183" t="s">
        <v>13</v>
      </c>
      <c r="BU4" s="184"/>
      <c r="BV4" s="184"/>
      <c r="BW4" s="185"/>
      <c r="BX4" s="183" t="s">
        <v>24</v>
      </c>
      <c r="BY4" s="184"/>
      <c r="BZ4" s="184"/>
      <c r="CA4" s="185"/>
      <c r="CB4" s="183" t="s">
        <v>5</v>
      </c>
      <c r="CC4" s="184"/>
      <c r="CD4" s="184"/>
      <c r="CE4" s="185"/>
      <c r="CF4" s="183" t="s">
        <v>13</v>
      </c>
      <c r="CG4" s="184"/>
      <c r="CH4" s="184"/>
      <c r="CI4" s="185"/>
      <c r="CJ4" s="183" t="s">
        <v>24</v>
      </c>
      <c r="CK4" s="184"/>
      <c r="CL4" s="184"/>
      <c r="CM4" s="184"/>
      <c r="CN4" s="183" t="s">
        <v>5</v>
      </c>
      <c r="CO4" s="184"/>
      <c r="CP4" s="60"/>
      <c r="CQ4" s="60"/>
    </row>
    <row r="5" spans="1:95" x14ac:dyDescent="0.2">
      <c r="B5" s="61" t="s">
        <v>11</v>
      </c>
      <c r="C5" s="61" t="s">
        <v>12</v>
      </c>
      <c r="D5" s="61" t="s">
        <v>7</v>
      </c>
      <c r="E5" s="72" t="s">
        <v>31</v>
      </c>
      <c r="F5" s="61" t="s">
        <v>9</v>
      </c>
      <c r="G5" s="72" t="s">
        <v>31</v>
      </c>
      <c r="H5" s="61" t="s">
        <v>10</v>
      </c>
      <c r="I5" s="62" t="s">
        <v>13</v>
      </c>
      <c r="J5" s="61" t="s">
        <v>11</v>
      </c>
      <c r="K5" s="61" t="s">
        <v>12</v>
      </c>
      <c r="L5" s="61" t="s">
        <v>7</v>
      </c>
      <c r="M5" s="61" t="s">
        <v>8</v>
      </c>
      <c r="N5" s="61" t="s">
        <v>9</v>
      </c>
      <c r="O5" s="72" t="s">
        <v>31</v>
      </c>
      <c r="P5" s="61" t="s">
        <v>10</v>
      </c>
      <c r="Q5" s="62" t="s">
        <v>13</v>
      </c>
      <c r="R5" s="61" t="s">
        <v>11</v>
      </c>
      <c r="S5" s="61" t="s">
        <v>12</v>
      </c>
      <c r="T5" s="61" t="s">
        <v>7</v>
      </c>
      <c r="U5" s="61" t="s">
        <v>8</v>
      </c>
      <c r="V5" s="61" t="s">
        <v>9</v>
      </c>
      <c r="W5" s="72" t="s">
        <v>31</v>
      </c>
      <c r="X5" s="61" t="s">
        <v>10</v>
      </c>
      <c r="Y5" s="62" t="s">
        <v>13</v>
      </c>
      <c r="Z5" s="61" t="s">
        <v>11</v>
      </c>
      <c r="AA5" s="61" t="s">
        <v>12</v>
      </c>
      <c r="AB5" s="61" t="s">
        <v>7</v>
      </c>
      <c r="AC5" s="61" t="s">
        <v>8</v>
      </c>
      <c r="AD5" s="61" t="s">
        <v>9</v>
      </c>
      <c r="AE5" s="72" t="s">
        <v>31</v>
      </c>
      <c r="AF5" s="61" t="s">
        <v>10</v>
      </c>
      <c r="AG5" s="62" t="s">
        <v>13</v>
      </c>
      <c r="AH5" s="61" t="s">
        <v>11</v>
      </c>
      <c r="AI5" s="61" t="s">
        <v>12</v>
      </c>
      <c r="AJ5" s="61" t="s">
        <v>7</v>
      </c>
      <c r="AK5" s="61" t="s">
        <v>8</v>
      </c>
      <c r="AL5" s="61" t="s">
        <v>9</v>
      </c>
      <c r="AM5" s="72" t="s">
        <v>31</v>
      </c>
      <c r="AN5" s="61" t="s">
        <v>10</v>
      </c>
      <c r="AO5" s="62" t="s">
        <v>13</v>
      </c>
      <c r="AP5" s="61" t="s">
        <v>11</v>
      </c>
      <c r="AQ5" s="61" t="s">
        <v>12</v>
      </c>
      <c r="AR5" s="61" t="s">
        <v>7</v>
      </c>
      <c r="AS5" s="61" t="s">
        <v>8</v>
      </c>
      <c r="AT5" s="61" t="s">
        <v>9</v>
      </c>
      <c r="AU5" s="72" t="s">
        <v>31</v>
      </c>
      <c r="AV5" s="61" t="s">
        <v>10</v>
      </c>
      <c r="AW5" s="62" t="s">
        <v>13</v>
      </c>
      <c r="AX5" s="61" t="s">
        <v>11</v>
      </c>
      <c r="AY5" s="61" t="s">
        <v>12</v>
      </c>
      <c r="AZ5" s="61" t="s">
        <v>7</v>
      </c>
      <c r="BA5" s="61" t="s">
        <v>8</v>
      </c>
      <c r="BB5" s="61" t="s">
        <v>9</v>
      </c>
      <c r="BC5" s="72" t="s">
        <v>31</v>
      </c>
      <c r="BD5" s="61" t="s">
        <v>10</v>
      </c>
      <c r="BE5" s="62" t="s">
        <v>13</v>
      </c>
      <c r="BF5" s="61" t="s">
        <v>11</v>
      </c>
      <c r="BG5" s="61" t="s">
        <v>12</v>
      </c>
      <c r="BH5" s="61" t="s">
        <v>7</v>
      </c>
      <c r="BI5" s="61" t="s">
        <v>8</v>
      </c>
      <c r="BJ5" s="61" t="s">
        <v>9</v>
      </c>
      <c r="BK5" s="72" t="s">
        <v>31</v>
      </c>
      <c r="BL5" s="61" t="s">
        <v>10</v>
      </c>
      <c r="BM5" s="62" t="s">
        <v>13</v>
      </c>
      <c r="BP5" s="63" t="s">
        <v>25</v>
      </c>
      <c r="BQ5" s="63" t="s">
        <v>26</v>
      </c>
      <c r="BR5" s="63" t="s">
        <v>27</v>
      </c>
      <c r="BS5" s="63" t="s">
        <v>21</v>
      </c>
      <c r="BT5" s="63" t="s">
        <v>25</v>
      </c>
      <c r="BU5" s="63" t="s">
        <v>26</v>
      </c>
      <c r="BV5" s="63" t="s">
        <v>27</v>
      </c>
      <c r="BW5" s="63" t="s">
        <v>21</v>
      </c>
      <c r="BX5" s="63" t="s">
        <v>25</v>
      </c>
      <c r="BY5" s="63" t="s">
        <v>26</v>
      </c>
      <c r="BZ5" s="63" t="s">
        <v>27</v>
      </c>
      <c r="CA5" s="63" t="s">
        <v>21</v>
      </c>
      <c r="CB5" s="63" t="s">
        <v>25</v>
      </c>
      <c r="CC5" s="63" t="s">
        <v>26</v>
      </c>
      <c r="CD5" s="63" t="s">
        <v>27</v>
      </c>
      <c r="CE5" s="63" t="s">
        <v>21</v>
      </c>
      <c r="CF5" s="63" t="s">
        <v>25</v>
      </c>
      <c r="CG5" s="63" t="s">
        <v>26</v>
      </c>
      <c r="CH5" s="63" t="s">
        <v>27</v>
      </c>
      <c r="CI5" s="63" t="s">
        <v>21</v>
      </c>
      <c r="CJ5" s="63" t="s">
        <v>25</v>
      </c>
      <c r="CK5" s="63" t="s">
        <v>26</v>
      </c>
      <c r="CL5" s="63" t="s">
        <v>27</v>
      </c>
      <c r="CM5" s="63" t="s">
        <v>21</v>
      </c>
      <c r="CN5" s="61" t="s">
        <v>11</v>
      </c>
      <c r="CO5" s="61" t="s">
        <v>12</v>
      </c>
      <c r="CP5" s="62" t="s">
        <v>21</v>
      </c>
      <c r="CQ5" s="62" t="s">
        <v>24</v>
      </c>
    </row>
    <row r="6" spans="1:95" x14ac:dyDescent="0.2">
      <c r="B6" s="119">
        <f t="shared" ref="B6:BM6" si="0">B8+B9</f>
        <v>6</v>
      </c>
      <c r="C6" s="119">
        <f t="shared" si="0"/>
        <v>14.9</v>
      </c>
      <c r="D6" s="119">
        <f t="shared" si="0"/>
        <v>0</v>
      </c>
      <c r="E6" s="119">
        <f t="shared" si="0"/>
        <v>0</v>
      </c>
      <c r="F6" s="119">
        <f t="shared" si="0"/>
        <v>0</v>
      </c>
      <c r="G6" s="119">
        <f t="shared" si="0"/>
        <v>0</v>
      </c>
      <c r="H6" s="119">
        <f t="shared" si="0"/>
        <v>0</v>
      </c>
      <c r="I6" s="140">
        <f t="shared" si="0"/>
        <v>60.949999999999996</v>
      </c>
      <c r="J6" s="119">
        <f t="shared" si="0"/>
        <v>10</v>
      </c>
      <c r="K6" s="119">
        <f t="shared" si="0"/>
        <v>22.9</v>
      </c>
      <c r="L6" s="119">
        <f t="shared" si="0"/>
        <v>1</v>
      </c>
      <c r="M6" s="119">
        <f t="shared" si="0"/>
        <v>0</v>
      </c>
      <c r="N6" s="119">
        <f t="shared" si="0"/>
        <v>0</v>
      </c>
      <c r="O6" s="119">
        <f t="shared" si="0"/>
        <v>0</v>
      </c>
      <c r="P6" s="119">
        <f t="shared" si="0"/>
        <v>0</v>
      </c>
      <c r="Q6" s="140">
        <f t="shared" si="0"/>
        <v>121.43999999999998</v>
      </c>
      <c r="R6" s="119">
        <f t="shared" si="0"/>
        <v>8</v>
      </c>
      <c r="S6" s="119">
        <f t="shared" si="0"/>
        <v>11.8</v>
      </c>
      <c r="T6" s="119">
        <f t="shared" si="0"/>
        <v>0</v>
      </c>
      <c r="U6" s="119">
        <f t="shared" si="0"/>
        <v>0</v>
      </c>
      <c r="V6" s="119">
        <f t="shared" si="0"/>
        <v>0</v>
      </c>
      <c r="W6" s="119">
        <f t="shared" si="0"/>
        <v>0</v>
      </c>
      <c r="X6" s="119">
        <f t="shared" si="0"/>
        <v>0</v>
      </c>
      <c r="Y6" s="119">
        <f t="shared" si="0"/>
        <v>81.462500000000006</v>
      </c>
      <c r="Z6" s="119">
        <f t="shared" si="0"/>
        <v>5</v>
      </c>
      <c r="AA6" s="119">
        <f t="shared" si="0"/>
        <v>9.5</v>
      </c>
      <c r="AB6" s="119">
        <f t="shared" si="0"/>
        <v>0</v>
      </c>
      <c r="AC6" s="119">
        <f t="shared" si="0"/>
        <v>0</v>
      </c>
      <c r="AD6" s="119">
        <f t="shared" si="0"/>
        <v>0</v>
      </c>
      <c r="AE6" s="140">
        <f t="shared" si="0"/>
        <v>0</v>
      </c>
      <c r="AF6" s="119">
        <f t="shared" si="0"/>
        <v>0</v>
      </c>
      <c r="AG6" s="119">
        <f t="shared" si="0"/>
        <v>30.129999999999995</v>
      </c>
      <c r="AH6" s="119">
        <f t="shared" si="0"/>
        <v>0</v>
      </c>
      <c r="AI6" s="119">
        <f t="shared" si="0"/>
        <v>0</v>
      </c>
      <c r="AJ6" s="119">
        <f t="shared" si="0"/>
        <v>0</v>
      </c>
      <c r="AK6" s="119">
        <f t="shared" si="0"/>
        <v>0</v>
      </c>
      <c r="AL6" s="140">
        <f t="shared" si="0"/>
        <v>0</v>
      </c>
      <c r="AM6" s="119">
        <f t="shared" si="0"/>
        <v>0</v>
      </c>
      <c r="AN6" s="119">
        <f t="shared" si="0"/>
        <v>0</v>
      </c>
      <c r="AO6" s="119">
        <f t="shared" si="0"/>
        <v>0</v>
      </c>
      <c r="AP6" s="119">
        <f t="shared" si="0"/>
        <v>0</v>
      </c>
      <c r="AQ6" s="119">
        <f t="shared" si="0"/>
        <v>0</v>
      </c>
      <c r="AR6" s="119">
        <f t="shared" si="0"/>
        <v>0</v>
      </c>
      <c r="AS6" s="140">
        <f t="shared" si="0"/>
        <v>0</v>
      </c>
      <c r="AT6" s="119">
        <f t="shared" si="0"/>
        <v>0</v>
      </c>
      <c r="AU6" s="119">
        <f t="shared" si="0"/>
        <v>0</v>
      </c>
      <c r="AV6" s="119">
        <f t="shared" si="0"/>
        <v>0</v>
      </c>
      <c r="AW6" s="119">
        <f t="shared" si="0"/>
        <v>0</v>
      </c>
      <c r="AX6" s="119">
        <f t="shared" si="0"/>
        <v>14</v>
      </c>
      <c r="AY6" s="119">
        <f t="shared" si="0"/>
        <v>26.700000000000003</v>
      </c>
      <c r="AZ6" s="140">
        <f t="shared" si="0"/>
        <v>0</v>
      </c>
      <c r="BA6" s="119">
        <f t="shared" si="0"/>
        <v>0</v>
      </c>
      <c r="BB6" s="119">
        <f t="shared" si="0"/>
        <v>0</v>
      </c>
      <c r="BC6" s="119">
        <f t="shared" si="0"/>
        <v>0</v>
      </c>
      <c r="BD6" s="119">
        <f t="shared" si="0"/>
        <v>0</v>
      </c>
      <c r="BE6" s="119">
        <f t="shared" si="0"/>
        <v>142.41249999999999</v>
      </c>
      <c r="BF6" s="119">
        <f t="shared" si="0"/>
        <v>15</v>
      </c>
      <c r="BG6" s="140">
        <f t="shared" si="0"/>
        <v>32.4</v>
      </c>
      <c r="BH6" s="119">
        <f t="shared" si="0"/>
        <v>1</v>
      </c>
      <c r="BI6" s="119">
        <f t="shared" si="0"/>
        <v>0</v>
      </c>
      <c r="BJ6" s="119">
        <f t="shared" si="0"/>
        <v>0</v>
      </c>
      <c r="BK6" s="119">
        <f t="shared" si="0"/>
        <v>0</v>
      </c>
      <c r="BL6" s="119">
        <f t="shared" si="0"/>
        <v>0</v>
      </c>
      <c r="BM6" s="119">
        <f t="shared" si="0"/>
        <v>151.57</v>
      </c>
      <c r="BN6" s="119"/>
      <c r="BO6" s="119"/>
      <c r="BP6" s="141">
        <f t="shared" ref="BP6:BW6" si="1">BP8+BP9</f>
        <v>14.9</v>
      </c>
      <c r="BQ6" s="141">
        <f t="shared" si="1"/>
        <v>11.8</v>
      </c>
      <c r="BR6" s="141">
        <f t="shared" si="1"/>
        <v>0</v>
      </c>
      <c r="BS6" s="141">
        <f t="shared" si="1"/>
        <v>26.700000000000003</v>
      </c>
      <c r="BT6" s="141">
        <f t="shared" si="1"/>
        <v>60.949999999999996</v>
      </c>
      <c r="BU6" s="141">
        <f t="shared" si="1"/>
        <v>81.462500000000006</v>
      </c>
      <c r="BV6" s="141">
        <f t="shared" si="1"/>
        <v>0</v>
      </c>
      <c r="BW6" s="141">
        <f t="shared" si="1"/>
        <v>142.41249999999999</v>
      </c>
      <c r="BX6" s="142">
        <f>BP6/BT6</f>
        <v>0.24446267432321578</v>
      </c>
      <c r="BY6" s="142">
        <f>BQ6/BU6</f>
        <v>0.14485192573269909</v>
      </c>
      <c r="BZ6" s="142" t="e">
        <f>BR6/BV6</f>
        <v>#DIV/0!</v>
      </c>
      <c r="CA6" s="142">
        <f>BS6/BW6</f>
        <v>0.18748354252611255</v>
      </c>
      <c r="CB6" s="141">
        <f t="shared" ref="CB6:CI6" si="2">CB8+CB9</f>
        <v>22.9</v>
      </c>
      <c r="CC6" s="141">
        <f t="shared" si="2"/>
        <v>9.5</v>
      </c>
      <c r="CD6" s="141">
        <f t="shared" si="2"/>
        <v>0</v>
      </c>
      <c r="CE6" s="141">
        <f t="shared" si="2"/>
        <v>32.4</v>
      </c>
      <c r="CF6" s="141">
        <f t="shared" si="2"/>
        <v>121.43999999999998</v>
      </c>
      <c r="CG6" s="141">
        <f t="shared" si="2"/>
        <v>30.129999999999995</v>
      </c>
      <c r="CH6" s="141">
        <f t="shared" si="2"/>
        <v>0</v>
      </c>
      <c r="CI6" s="141">
        <f t="shared" si="2"/>
        <v>151.57</v>
      </c>
      <c r="CJ6" s="142">
        <f>CB6/CF6</f>
        <v>0.18857048748353097</v>
      </c>
      <c r="CK6" s="142">
        <f>CC6/CG6</f>
        <v>0.31530036508463333</v>
      </c>
      <c r="CL6" s="142" t="e">
        <f>CD6/CH6</f>
        <v>#DIV/0!</v>
      </c>
      <c r="CM6" s="142">
        <f>CE6/CI6</f>
        <v>0.2137626179323085</v>
      </c>
      <c r="CN6" s="119">
        <f>CN8+CN9</f>
        <v>29</v>
      </c>
      <c r="CO6" s="140">
        <f>CO8+CO9</f>
        <v>59.1</v>
      </c>
      <c r="CP6" s="140">
        <f>CP8+CP9</f>
        <v>293.98249999999996</v>
      </c>
      <c r="CQ6" s="142">
        <f>CO6/CP6</f>
        <v>0.20103237437602581</v>
      </c>
    </row>
    <row r="7" spans="1:95" x14ac:dyDescent="0.2">
      <c r="B7" s="64"/>
      <c r="C7" s="64"/>
      <c r="D7" s="64"/>
      <c r="E7" s="64"/>
      <c r="F7" s="64"/>
      <c r="G7" s="64"/>
      <c r="H7" s="64"/>
      <c r="I7" s="66"/>
      <c r="J7" s="64"/>
      <c r="K7" s="64"/>
      <c r="L7" s="64"/>
      <c r="M7" s="64"/>
      <c r="N7" s="64"/>
      <c r="O7" s="64"/>
      <c r="P7" s="64"/>
      <c r="Q7" s="66"/>
      <c r="R7" s="64"/>
      <c r="S7" s="64"/>
      <c r="T7" s="64"/>
      <c r="U7" s="64"/>
      <c r="V7" s="64"/>
      <c r="W7" s="64"/>
      <c r="X7" s="66"/>
      <c r="Y7" s="64"/>
      <c r="Z7" s="64"/>
      <c r="AA7" s="64"/>
      <c r="AB7" s="64"/>
      <c r="AC7" s="64"/>
      <c r="AD7" s="64"/>
      <c r="AE7" s="66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6"/>
      <c r="AV7" s="64"/>
      <c r="AW7" s="64"/>
      <c r="AX7" s="64"/>
      <c r="AY7" s="64"/>
      <c r="AZ7" s="66"/>
      <c r="BA7" s="64"/>
      <c r="BB7" s="66"/>
      <c r="BC7" s="64"/>
      <c r="BD7" s="64"/>
      <c r="BE7" s="64"/>
      <c r="BF7" s="64"/>
      <c r="BG7" s="66"/>
      <c r="BH7" s="64"/>
      <c r="BI7" s="64"/>
      <c r="BJ7" s="66"/>
      <c r="BK7" s="66"/>
      <c r="BL7" s="66"/>
      <c r="BM7" s="66"/>
      <c r="BN7" s="66"/>
      <c r="BO7" s="66"/>
      <c r="BP7" s="66"/>
      <c r="BQ7" s="66"/>
      <c r="BR7" s="65"/>
      <c r="BS7" s="65"/>
      <c r="BT7" s="65"/>
      <c r="BU7" s="65"/>
      <c r="BV7" s="66"/>
      <c r="BW7" s="66"/>
      <c r="BX7" s="65"/>
      <c r="BY7" s="65"/>
      <c r="BZ7" s="65"/>
      <c r="CA7" s="65"/>
      <c r="CB7" s="66"/>
      <c r="CC7" s="66"/>
      <c r="CD7" s="65"/>
      <c r="CE7" s="65"/>
      <c r="CF7" s="65"/>
      <c r="CG7" s="65"/>
      <c r="CH7" s="67"/>
      <c r="CI7" s="66"/>
      <c r="CJ7" s="66"/>
      <c r="CK7" s="65"/>
    </row>
    <row r="8" spans="1:95" x14ac:dyDescent="0.2">
      <c r="A8" s="143" t="s">
        <v>5</v>
      </c>
      <c r="B8">
        <v>6</v>
      </c>
      <c r="C8">
        <v>14.9</v>
      </c>
      <c r="D8">
        <v>0</v>
      </c>
      <c r="E8">
        <v>0</v>
      </c>
      <c r="F8">
        <v>0</v>
      </c>
      <c r="G8">
        <v>0</v>
      </c>
      <c r="H8">
        <v>0</v>
      </c>
      <c r="I8" s="153">
        <v>60.949999999999996</v>
      </c>
      <c r="J8">
        <v>10</v>
      </c>
      <c r="K8">
        <v>22.9</v>
      </c>
      <c r="L8">
        <v>1</v>
      </c>
      <c r="M8">
        <v>0</v>
      </c>
      <c r="N8">
        <v>0</v>
      </c>
      <c r="O8">
        <v>0</v>
      </c>
      <c r="P8">
        <v>0</v>
      </c>
      <c r="Q8">
        <v>121.43999999999998</v>
      </c>
      <c r="R8" s="64">
        <v>8</v>
      </c>
      <c r="S8" s="64">
        <v>11.8</v>
      </c>
      <c r="T8" s="64">
        <v>0</v>
      </c>
      <c r="U8" s="64">
        <v>0</v>
      </c>
      <c r="V8" s="64">
        <v>0</v>
      </c>
      <c r="W8" s="64">
        <v>0</v>
      </c>
      <c r="X8" s="66">
        <v>0</v>
      </c>
      <c r="Y8" s="64">
        <v>81.462500000000006</v>
      </c>
      <c r="Z8" s="64">
        <v>5</v>
      </c>
      <c r="AA8" s="64">
        <v>9.5</v>
      </c>
      <c r="AB8" s="64">
        <v>0</v>
      </c>
      <c r="AC8" s="64">
        <v>0</v>
      </c>
      <c r="AD8" s="64">
        <v>0</v>
      </c>
      <c r="AE8" s="66">
        <v>0</v>
      </c>
      <c r="AF8" s="64">
        <v>0</v>
      </c>
      <c r="AG8" s="64">
        <v>30.129999999999995</v>
      </c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6"/>
      <c r="AV8" s="64"/>
      <c r="AW8" s="64"/>
      <c r="AX8" s="64">
        <v>14</v>
      </c>
      <c r="AY8" s="64">
        <v>26.700000000000003</v>
      </c>
      <c r="AZ8" s="66">
        <v>0</v>
      </c>
      <c r="BA8" s="64">
        <v>0</v>
      </c>
      <c r="BB8" s="66">
        <v>0</v>
      </c>
      <c r="BC8" s="64">
        <v>0</v>
      </c>
      <c r="BD8" s="64">
        <v>0</v>
      </c>
      <c r="BE8" s="64">
        <v>142.41249999999999</v>
      </c>
      <c r="BF8" s="64">
        <v>15</v>
      </c>
      <c r="BG8" s="66">
        <v>32.4</v>
      </c>
      <c r="BH8" s="64">
        <v>1</v>
      </c>
      <c r="BI8" s="64">
        <v>0</v>
      </c>
      <c r="BJ8" s="66">
        <v>0</v>
      </c>
      <c r="BK8" s="66"/>
      <c r="BL8" s="66">
        <v>0</v>
      </c>
      <c r="BM8" s="66">
        <v>151.57</v>
      </c>
      <c r="BN8" s="66"/>
      <c r="BO8" s="66"/>
      <c r="BP8" s="66">
        <v>14.9</v>
      </c>
      <c r="BQ8" s="66">
        <v>11.8</v>
      </c>
      <c r="BR8" s="66">
        <v>0</v>
      </c>
      <c r="BS8" s="66">
        <v>26.700000000000003</v>
      </c>
      <c r="BT8" s="66">
        <v>60.949999999999996</v>
      </c>
      <c r="BU8" s="66">
        <v>81.462500000000006</v>
      </c>
      <c r="BV8" s="66"/>
      <c r="BW8" s="66">
        <v>142.41249999999999</v>
      </c>
      <c r="BX8" s="65">
        <v>0.24446267432321578</v>
      </c>
      <c r="BY8" s="65">
        <v>0.14485192573269909</v>
      </c>
      <c r="BZ8" s="65"/>
      <c r="CA8" s="65">
        <v>0.18748354252611255</v>
      </c>
      <c r="CB8" s="66">
        <v>22.9</v>
      </c>
      <c r="CC8" s="66">
        <v>9.5</v>
      </c>
      <c r="CD8" s="66"/>
      <c r="CE8" s="66">
        <v>32.4</v>
      </c>
      <c r="CF8" s="66">
        <v>121.43999999999998</v>
      </c>
      <c r="CG8" s="66">
        <v>30.129999999999995</v>
      </c>
      <c r="CH8" s="66"/>
      <c r="CI8" s="66">
        <v>151.57</v>
      </c>
      <c r="CJ8" s="66">
        <v>0.18857048748353097</v>
      </c>
      <c r="CK8" s="65">
        <v>0.31530036508463333</v>
      </c>
      <c r="CM8">
        <v>0.2137626179323085</v>
      </c>
      <c r="CN8">
        <v>29</v>
      </c>
      <c r="CO8">
        <v>59.1</v>
      </c>
      <c r="CP8">
        <v>293.98249999999996</v>
      </c>
      <c r="CQ8">
        <v>0.20103237437602581</v>
      </c>
    </row>
    <row r="9" spans="1:95" x14ac:dyDescent="0.2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s="153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s="64">
        <v>0</v>
      </c>
      <c r="S9" s="64">
        <v>0</v>
      </c>
      <c r="T9" s="64">
        <v>0</v>
      </c>
      <c r="U9" s="64">
        <v>0</v>
      </c>
      <c r="V9" s="64">
        <v>0</v>
      </c>
      <c r="W9" s="64">
        <v>0</v>
      </c>
      <c r="X9" s="66">
        <v>0</v>
      </c>
      <c r="Y9" s="64">
        <v>0</v>
      </c>
      <c r="Z9" s="64">
        <v>0</v>
      </c>
      <c r="AA9" s="64">
        <v>0</v>
      </c>
      <c r="AB9" s="64">
        <v>0</v>
      </c>
      <c r="AC9" s="64">
        <v>0</v>
      </c>
      <c r="AD9" s="64">
        <v>0</v>
      </c>
      <c r="AE9" s="66">
        <v>0</v>
      </c>
      <c r="AF9" s="64">
        <v>0</v>
      </c>
      <c r="AG9" s="64">
        <v>0</v>
      </c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6"/>
      <c r="AV9" s="64"/>
      <c r="AW9" s="64"/>
      <c r="AX9" s="64">
        <v>0</v>
      </c>
      <c r="AY9" s="64">
        <v>0</v>
      </c>
      <c r="AZ9" s="66">
        <v>0</v>
      </c>
      <c r="BA9" s="64">
        <v>0</v>
      </c>
      <c r="BB9" s="66">
        <v>0</v>
      </c>
      <c r="BC9" s="64">
        <v>0</v>
      </c>
      <c r="BD9" s="64">
        <v>0</v>
      </c>
      <c r="BE9" s="64">
        <v>0</v>
      </c>
      <c r="BF9" s="64">
        <v>0</v>
      </c>
      <c r="BG9" s="66">
        <v>0</v>
      </c>
      <c r="BH9" s="64">
        <v>0</v>
      </c>
      <c r="BI9" s="64">
        <v>0</v>
      </c>
      <c r="BJ9" s="66">
        <v>0</v>
      </c>
      <c r="BK9" s="66"/>
      <c r="BL9" s="66">
        <v>0</v>
      </c>
      <c r="BM9" s="66">
        <v>0</v>
      </c>
      <c r="BN9" s="66"/>
      <c r="BO9" s="66"/>
      <c r="BP9" s="66">
        <v>0</v>
      </c>
      <c r="BQ9" s="66">
        <v>0</v>
      </c>
      <c r="BR9" s="66">
        <v>0</v>
      </c>
      <c r="BS9" s="66">
        <v>0</v>
      </c>
      <c r="BT9" s="66">
        <v>0</v>
      </c>
      <c r="BU9" s="66">
        <v>0</v>
      </c>
      <c r="BV9" s="66"/>
      <c r="BW9" s="66">
        <v>0</v>
      </c>
      <c r="BX9" s="65"/>
      <c r="BY9" s="65"/>
      <c r="BZ9" s="65"/>
      <c r="CA9" s="65"/>
      <c r="CB9" s="66">
        <v>0</v>
      </c>
      <c r="CC9" s="66">
        <v>0</v>
      </c>
      <c r="CD9" s="66"/>
      <c r="CE9" s="66">
        <v>0</v>
      </c>
      <c r="CF9" s="66">
        <v>0</v>
      </c>
      <c r="CG9" s="66">
        <v>0</v>
      </c>
      <c r="CH9" s="66"/>
      <c r="CI9" s="66">
        <v>0</v>
      </c>
      <c r="CJ9" s="66"/>
      <c r="CK9" s="65"/>
      <c r="CN9">
        <v>0</v>
      </c>
      <c r="CO9">
        <v>0</v>
      </c>
      <c r="CP9">
        <v>0</v>
      </c>
    </row>
    <row r="10" spans="1:95" ht="16.5" thickBot="1" x14ac:dyDescent="0.3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70"/>
      <c r="R10" s="64"/>
      <c r="S10" s="64"/>
      <c r="T10" s="64"/>
      <c r="U10" s="64"/>
      <c r="V10" s="64"/>
      <c r="W10" s="64"/>
      <c r="X10" s="66"/>
      <c r="Y10" s="64"/>
      <c r="Z10" s="64"/>
      <c r="AA10" s="64"/>
      <c r="AB10" s="64"/>
      <c r="AC10" s="64"/>
      <c r="AD10" s="64"/>
      <c r="AE10" s="66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6"/>
      <c r="AV10" s="64"/>
      <c r="AW10" s="64"/>
      <c r="AX10" s="64"/>
      <c r="AY10" s="64"/>
      <c r="AZ10" s="66"/>
      <c r="BA10" s="64"/>
      <c r="BB10" s="66"/>
      <c r="BC10" s="64"/>
      <c r="BD10" s="64"/>
      <c r="BE10" s="64"/>
      <c r="BF10" s="64"/>
      <c r="BG10" s="66"/>
      <c r="BH10" s="64"/>
      <c r="BI10" s="64"/>
      <c r="BJ10" s="66"/>
      <c r="BK10" s="66"/>
      <c r="BL10" s="66"/>
      <c r="BM10" s="66"/>
      <c r="BN10" s="66"/>
      <c r="BO10" s="66"/>
      <c r="BP10" s="66"/>
      <c r="BQ10" s="66"/>
      <c r="BR10" s="65"/>
      <c r="BS10" s="65"/>
      <c r="BT10" s="65"/>
      <c r="BU10" s="65"/>
      <c r="BV10" s="66"/>
      <c r="BW10" s="66"/>
      <c r="BX10" s="66"/>
      <c r="BY10" s="66"/>
      <c r="BZ10" s="66"/>
      <c r="CA10" s="66"/>
      <c r="CB10" s="66"/>
      <c r="CC10" s="66"/>
      <c r="CD10" s="65"/>
      <c r="CE10" s="65"/>
      <c r="CF10" s="65"/>
      <c r="CG10" s="65"/>
      <c r="CH10" s="67"/>
      <c r="CI10" s="66"/>
      <c r="CJ10" s="66"/>
      <c r="CK10" s="65"/>
    </row>
    <row r="11" spans="1:95" ht="15.75" x14ac:dyDescent="0.25">
      <c r="A11" s="14" t="s">
        <v>14</v>
      </c>
      <c r="B11" s="173" t="s">
        <v>15</v>
      </c>
      <c r="C11" s="166"/>
      <c r="D11" s="166"/>
      <c r="E11" s="166"/>
      <c r="F11" s="166"/>
      <c r="G11" s="166"/>
      <c r="H11" s="166"/>
      <c r="I11" s="174"/>
      <c r="J11" s="173" t="s">
        <v>16</v>
      </c>
      <c r="K11" s="166"/>
      <c r="L11" s="166"/>
      <c r="M11" s="166"/>
      <c r="N11" s="166"/>
      <c r="O11" s="166"/>
      <c r="P11" s="166"/>
      <c r="Q11" s="174"/>
      <c r="R11" s="64"/>
      <c r="S11" s="64"/>
      <c r="T11" s="64"/>
      <c r="U11" s="64"/>
      <c r="V11" s="64"/>
      <c r="W11" s="64"/>
      <c r="X11" s="66"/>
      <c r="Y11" s="64"/>
      <c r="Z11" s="64"/>
      <c r="AA11" s="64"/>
      <c r="AB11" s="64"/>
      <c r="AC11" s="64"/>
      <c r="AD11" s="64"/>
      <c r="AE11" s="66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6"/>
      <c r="AV11" s="64"/>
      <c r="AW11" s="64"/>
      <c r="AX11" s="64"/>
      <c r="AY11" s="64"/>
      <c r="AZ11" s="66"/>
      <c r="BA11" s="64"/>
      <c r="BB11" s="66"/>
      <c r="BC11" s="64"/>
      <c r="BD11" s="64"/>
      <c r="BE11" s="64"/>
      <c r="BF11" s="64"/>
      <c r="BG11" s="66"/>
      <c r="BH11" s="64"/>
      <c r="BI11" s="64"/>
      <c r="BJ11" s="66"/>
      <c r="BK11" s="66"/>
      <c r="BL11" s="66"/>
      <c r="BM11" s="66"/>
      <c r="BN11" s="66"/>
      <c r="BO11" s="66"/>
      <c r="BP11" s="66"/>
      <c r="BQ11" s="66"/>
      <c r="BR11" s="65"/>
      <c r="BS11" s="65"/>
      <c r="BT11" s="65"/>
      <c r="BU11" s="65"/>
      <c r="BV11" s="66"/>
      <c r="BW11" s="66"/>
      <c r="BX11" s="66"/>
      <c r="BY11" s="66"/>
      <c r="BZ11" s="66"/>
      <c r="CA11" s="66"/>
      <c r="CB11" s="66"/>
      <c r="CC11" s="66"/>
      <c r="CD11" s="65"/>
      <c r="CE11" s="65"/>
      <c r="CF11" s="65"/>
      <c r="CG11" s="65"/>
      <c r="CH11" s="67"/>
      <c r="CI11" s="66"/>
      <c r="CJ11" s="66"/>
      <c r="CK11" s="65"/>
    </row>
    <row r="12" spans="1:95" ht="15.75" x14ac:dyDescent="0.25">
      <c r="A12" s="15"/>
      <c r="B12" s="170" t="s">
        <v>5</v>
      </c>
      <c r="C12" s="171"/>
      <c r="D12" s="171"/>
      <c r="E12" s="171"/>
      <c r="F12" s="171"/>
      <c r="G12" s="171"/>
      <c r="H12" s="171"/>
      <c r="I12" s="83" t="s">
        <v>13</v>
      </c>
      <c r="J12" s="170" t="s">
        <v>5</v>
      </c>
      <c r="K12" s="171"/>
      <c r="L12" s="171"/>
      <c r="M12" s="171"/>
      <c r="N12" s="171"/>
      <c r="O12" s="171"/>
      <c r="P12" s="171"/>
      <c r="Q12" s="83" t="s">
        <v>13</v>
      </c>
    </row>
    <row r="13" spans="1:95" ht="15.75" x14ac:dyDescent="0.25">
      <c r="A13" s="17" t="s">
        <v>17</v>
      </c>
      <c r="B13" s="18" t="s">
        <v>11</v>
      </c>
      <c r="C13" s="10" t="s">
        <v>12</v>
      </c>
      <c r="D13" s="10" t="s">
        <v>3</v>
      </c>
      <c r="E13" s="10" t="s">
        <v>8</v>
      </c>
      <c r="F13" s="10" t="s">
        <v>9</v>
      </c>
      <c r="G13" s="10" t="s">
        <v>8</v>
      </c>
      <c r="H13" s="10" t="s">
        <v>10</v>
      </c>
      <c r="I13" s="84" t="s">
        <v>33</v>
      </c>
      <c r="J13" s="18" t="s">
        <v>11</v>
      </c>
      <c r="K13" s="10" t="s">
        <v>12</v>
      </c>
      <c r="L13" s="10" t="s">
        <v>3</v>
      </c>
      <c r="M13" s="10" t="s">
        <v>8</v>
      </c>
      <c r="N13" s="10" t="s">
        <v>9</v>
      </c>
      <c r="O13" s="10" t="s">
        <v>8</v>
      </c>
      <c r="P13" s="10" t="s">
        <v>10</v>
      </c>
      <c r="Q13" s="84" t="s">
        <v>33</v>
      </c>
    </row>
    <row r="14" spans="1:95" ht="15.75" x14ac:dyDescent="0.25">
      <c r="A14" s="19" t="s">
        <v>18</v>
      </c>
      <c r="B14" s="75">
        <f t="shared" ref="B14:Q14" si="3">B6</f>
        <v>6</v>
      </c>
      <c r="C14" s="80">
        <f t="shared" si="3"/>
        <v>14.9</v>
      </c>
      <c r="D14" s="12">
        <f t="shared" si="3"/>
        <v>0</v>
      </c>
      <c r="E14" s="12">
        <f t="shared" si="3"/>
        <v>0</v>
      </c>
      <c r="F14" s="12">
        <f t="shared" si="3"/>
        <v>0</v>
      </c>
      <c r="G14" s="12">
        <f t="shared" si="3"/>
        <v>0</v>
      </c>
      <c r="H14" s="12">
        <f t="shared" si="3"/>
        <v>0</v>
      </c>
      <c r="I14" s="154">
        <f t="shared" si="3"/>
        <v>60.949999999999996</v>
      </c>
      <c r="J14" s="75">
        <f t="shared" si="3"/>
        <v>10</v>
      </c>
      <c r="K14" s="77">
        <f t="shared" si="3"/>
        <v>22.9</v>
      </c>
      <c r="L14" s="12">
        <f t="shared" si="3"/>
        <v>1</v>
      </c>
      <c r="M14" s="12">
        <f t="shared" si="3"/>
        <v>0</v>
      </c>
      <c r="N14" s="12">
        <f t="shared" si="3"/>
        <v>0</v>
      </c>
      <c r="O14" s="12">
        <f t="shared" si="3"/>
        <v>0</v>
      </c>
      <c r="P14" s="12">
        <f t="shared" si="3"/>
        <v>0</v>
      </c>
      <c r="Q14" s="154">
        <f t="shared" si="3"/>
        <v>121.43999999999998</v>
      </c>
    </row>
    <row r="15" spans="1:95" ht="15.75" x14ac:dyDescent="0.25">
      <c r="A15" s="19" t="s">
        <v>19</v>
      </c>
      <c r="B15" s="75">
        <f t="shared" ref="B15:Q15" si="4">R6</f>
        <v>8</v>
      </c>
      <c r="C15" s="80">
        <f t="shared" si="4"/>
        <v>11.8</v>
      </c>
      <c r="D15" s="12">
        <f t="shared" si="4"/>
        <v>0</v>
      </c>
      <c r="E15" s="12">
        <f t="shared" si="4"/>
        <v>0</v>
      </c>
      <c r="F15" s="12">
        <f t="shared" si="4"/>
        <v>0</v>
      </c>
      <c r="G15" s="12">
        <f t="shared" si="4"/>
        <v>0</v>
      </c>
      <c r="H15" s="12">
        <f t="shared" si="4"/>
        <v>0</v>
      </c>
      <c r="I15" s="77">
        <f t="shared" si="4"/>
        <v>81.462500000000006</v>
      </c>
      <c r="J15" s="75">
        <f t="shared" si="4"/>
        <v>5</v>
      </c>
      <c r="K15" s="77">
        <f t="shared" si="4"/>
        <v>9.5</v>
      </c>
      <c r="L15" s="12">
        <f t="shared" si="4"/>
        <v>0</v>
      </c>
      <c r="M15" s="12">
        <f t="shared" si="4"/>
        <v>0</v>
      </c>
      <c r="N15" s="12">
        <f t="shared" si="4"/>
        <v>0</v>
      </c>
      <c r="O15" s="12">
        <f t="shared" si="4"/>
        <v>0</v>
      </c>
      <c r="P15" s="12">
        <f t="shared" si="4"/>
        <v>0</v>
      </c>
      <c r="Q15" s="154">
        <f t="shared" si="4"/>
        <v>30.129999999999995</v>
      </c>
    </row>
    <row r="16" spans="1:95" ht="16.5" thickBot="1" x14ac:dyDescent="0.3">
      <c r="A16" s="21" t="s">
        <v>20</v>
      </c>
      <c r="B16" s="76"/>
      <c r="C16" s="81"/>
      <c r="D16" s="59"/>
      <c r="E16" s="59"/>
      <c r="F16" s="59"/>
      <c r="G16" s="59"/>
      <c r="H16" s="59"/>
      <c r="I16" s="78"/>
      <c r="J16" s="76"/>
      <c r="K16" s="78"/>
      <c r="L16" s="59"/>
      <c r="M16" s="59"/>
      <c r="N16" s="59"/>
      <c r="O16" s="59"/>
      <c r="P16" s="59"/>
      <c r="Q16" s="156"/>
    </row>
    <row r="17" spans="1:38" ht="17.25" thickTop="1" thickBot="1" x14ac:dyDescent="0.3">
      <c r="A17" s="22" t="s">
        <v>21</v>
      </c>
      <c r="B17" s="82">
        <f t="shared" ref="B17:Q17" si="5">B16+B15+B14</f>
        <v>14</v>
      </c>
      <c r="C17" s="79">
        <f t="shared" si="5"/>
        <v>26.700000000000003</v>
      </c>
      <c r="D17" s="58">
        <f t="shared" si="5"/>
        <v>0</v>
      </c>
      <c r="E17" s="58">
        <f t="shared" si="5"/>
        <v>0</v>
      </c>
      <c r="F17" s="58">
        <f t="shared" si="5"/>
        <v>0</v>
      </c>
      <c r="G17" s="58">
        <f t="shared" si="5"/>
        <v>0</v>
      </c>
      <c r="H17" s="58">
        <f t="shared" si="5"/>
        <v>0</v>
      </c>
      <c r="I17" s="155">
        <f t="shared" si="5"/>
        <v>142.41249999999999</v>
      </c>
      <c r="J17" s="82">
        <f t="shared" si="5"/>
        <v>15</v>
      </c>
      <c r="K17" s="79">
        <f t="shared" si="5"/>
        <v>32.4</v>
      </c>
      <c r="L17" s="58">
        <f t="shared" si="5"/>
        <v>1</v>
      </c>
      <c r="M17" s="58">
        <f t="shared" si="5"/>
        <v>0</v>
      </c>
      <c r="N17" s="58">
        <f t="shared" si="5"/>
        <v>0</v>
      </c>
      <c r="O17" s="58">
        <f t="shared" si="5"/>
        <v>0</v>
      </c>
      <c r="P17" s="58">
        <f t="shared" si="5"/>
        <v>0</v>
      </c>
      <c r="Q17" s="155">
        <f t="shared" si="5"/>
        <v>151.57</v>
      </c>
    </row>
    <row r="18" spans="1:38" ht="16.5" thickBot="1" x14ac:dyDescent="0.3">
      <c r="A18" s="106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5"/>
    </row>
    <row r="19" spans="1:38" ht="15.75" x14ac:dyDescent="0.25">
      <c r="A19" s="86" t="s">
        <v>1</v>
      </c>
      <c r="B19" s="158"/>
      <c r="C19" s="159"/>
      <c r="D19" s="107" t="s">
        <v>3</v>
      </c>
      <c r="E19" s="107" t="s">
        <v>8</v>
      </c>
      <c r="F19" s="107" t="s">
        <v>9</v>
      </c>
      <c r="G19" s="107" t="s">
        <v>8</v>
      </c>
      <c r="H19" s="107" t="s">
        <v>10</v>
      </c>
      <c r="I19" s="160"/>
      <c r="J19" s="161"/>
      <c r="K19" s="162"/>
      <c r="L19" s="107" t="s">
        <v>3</v>
      </c>
      <c r="M19" s="107" t="s">
        <v>8</v>
      </c>
      <c r="N19" s="107" t="s">
        <v>9</v>
      </c>
      <c r="O19" s="107" t="s">
        <v>8</v>
      </c>
      <c r="P19" s="107" t="s">
        <v>10</v>
      </c>
      <c r="Q19" s="163"/>
    </row>
    <row r="20" spans="1:38" ht="15.75" x14ac:dyDescent="0.25">
      <c r="A20" s="19" t="s">
        <v>18</v>
      </c>
      <c r="B20" s="23"/>
      <c r="C20" s="1"/>
      <c r="D20" s="25">
        <f>B31</f>
        <v>0</v>
      </c>
      <c r="E20" s="25">
        <f>C31</f>
        <v>0</v>
      </c>
      <c r="F20" s="25">
        <f>D31</f>
        <v>0</v>
      </c>
      <c r="G20" s="25">
        <f>E31</f>
        <v>0</v>
      </c>
      <c r="H20" s="25">
        <f>F31</f>
        <v>0</v>
      </c>
      <c r="I20" s="26"/>
      <c r="J20" s="27"/>
      <c r="K20" s="28"/>
      <c r="L20" s="25">
        <f>G31</f>
        <v>5.3030567685589522</v>
      </c>
      <c r="M20" s="25">
        <f>H31</f>
        <v>0</v>
      </c>
      <c r="N20" s="25">
        <f>I31</f>
        <v>0</v>
      </c>
      <c r="O20" s="25">
        <f>J31</f>
        <v>0</v>
      </c>
      <c r="P20" s="25">
        <f>K31</f>
        <v>0</v>
      </c>
      <c r="Q20" s="24"/>
    </row>
    <row r="21" spans="1:38" ht="15.75" x14ac:dyDescent="0.25">
      <c r="A21" s="19" t="s">
        <v>19</v>
      </c>
      <c r="B21" s="23"/>
      <c r="C21" s="1"/>
      <c r="D21" s="12">
        <f>L31</f>
        <v>0</v>
      </c>
      <c r="E21" s="12">
        <f>M31</f>
        <v>0</v>
      </c>
      <c r="F21" s="12">
        <f>N31</f>
        <v>0</v>
      </c>
      <c r="G21" s="12">
        <f>O31</f>
        <v>0</v>
      </c>
      <c r="H21" s="12">
        <f>P31</f>
        <v>0</v>
      </c>
      <c r="I21" s="26"/>
      <c r="J21" s="27"/>
      <c r="K21" s="28"/>
      <c r="L21" s="20">
        <f>Q31</f>
        <v>0</v>
      </c>
      <c r="M21" s="20">
        <f>R31</f>
        <v>0</v>
      </c>
      <c r="N21" s="20">
        <f>S31</f>
        <v>0</v>
      </c>
      <c r="O21" s="20">
        <f>T31</f>
        <v>0</v>
      </c>
      <c r="P21" s="20">
        <f>U31</f>
        <v>0</v>
      </c>
      <c r="Q21" s="24"/>
    </row>
    <row r="22" spans="1:38" ht="16.5" thickBot="1" x14ac:dyDescent="0.3">
      <c r="A22" s="21" t="s">
        <v>20</v>
      </c>
      <c r="B22" s="29"/>
      <c r="C22" s="30"/>
      <c r="D22" s="34"/>
      <c r="E22" s="34"/>
      <c r="F22" s="34"/>
      <c r="G22" s="34"/>
      <c r="H22" s="34"/>
      <c r="I22" s="31"/>
      <c r="J22" s="32"/>
      <c r="K22" s="33"/>
      <c r="L22" s="34"/>
      <c r="M22" s="34"/>
      <c r="N22" s="34"/>
      <c r="O22" s="34"/>
      <c r="P22" s="34"/>
      <c r="Q22" s="35"/>
    </row>
    <row r="23" spans="1:38" ht="16.5" thickTop="1" x14ac:dyDescent="0.25">
      <c r="A23" s="36" t="s">
        <v>28</v>
      </c>
      <c r="B23" s="37"/>
      <c r="C23" s="38"/>
      <c r="D23" s="39">
        <f>SUM(D20:D22)</f>
        <v>0</v>
      </c>
      <c r="E23" s="39">
        <f>SUM(E20:E22)</f>
        <v>0</v>
      </c>
      <c r="F23" s="39">
        <f>SUM(F20:F22)</f>
        <v>0</v>
      </c>
      <c r="G23" s="39">
        <f>SUM(G20:G22)</f>
        <v>0</v>
      </c>
      <c r="H23" s="39">
        <f>SUM(H20:H22)</f>
        <v>0</v>
      </c>
      <c r="I23" s="40"/>
      <c r="J23" s="41"/>
      <c r="K23" s="42"/>
      <c r="L23" s="39">
        <f>SUM(L20:L22)</f>
        <v>5.3030567685589522</v>
      </c>
      <c r="M23" s="39">
        <f>SUM(M20:M22)</f>
        <v>0</v>
      </c>
      <c r="N23" s="39">
        <f>SUM(N20:N22)</f>
        <v>0</v>
      </c>
      <c r="O23" s="39">
        <f>SUM(O20:O22)</f>
        <v>0</v>
      </c>
      <c r="P23" s="39">
        <f>SUM(P20:P22)</f>
        <v>0</v>
      </c>
      <c r="Q23" s="43"/>
    </row>
    <row r="24" spans="1:38" ht="16.5" thickBot="1" x14ac:dyDescent="0.3">
      <c r="A24" s="44" t="s">
        <v>29</v>
      </c>
      <c r="B24" s="45"/>
      <c r="C24" s="46"/>
      <c r="D24" s="47">
        <f>D23+D26</f>
        <v>0</v>
      </c>
      <c r="E24" s="47">
        <f>E23+E26</f>
        <v>0</v>
      </c>
      <c r="F24" s="47">
        <f>F23+F26</f>
        <v>0</v>
      </c>
      <c r="G24" s="47">
        <f>G23+G26</f>
        <v>0</v>
      </c>
      <c r="H24" s="47">
        <f>H23+H26</f>
        <v>0</v>
      </c>
      <c r="I24" s="48"/>
      <c r="J24" s="49"/>
      <c r="K24" s="50"/>
      <c r="L24" s="47">
        <f>L23+L26</f>
        <v>5.3030567685589522</v>
      </c>
      <c r="M24" s="47">
        <f>M23+M26</f>
        <v>0</v>
      </c>
      <c r="N24" s="47">
        <f>N23+N26</f>
        <v>0</v>
      </c>
      <c r="O24" s="47">
        <f>O23+O26</f>
        <v>0</v>
      </c>
      <c r="P24" s="47">
        <f>P23+P26</f>
        <v>0</v>
      </c>
      <c r="Q24" s="51"/>
    </row>
    <row r="26" spans="1:38" x14ac:dyDescent="0.2">
      <c r="A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L26">
        <v>0</v>
      </c>
      <c r="M26">
        <v>0</v>
      </c>
      <c r="N26">
        <v>0</v>
      </c>
      <c r="O26">
        <v>0</v>
      </c>
      <c r="P26">
        <v>0</v>
      </c>
      <c r="S26" s="71"/>
    </row>
    <row r="28" spans="1:38" x14ac:dyDescent="0.2">
      <c r="B28" s="186" t="s">
        <v>18</v>
      </c>
      <c r="C28" s="187"/>
      <c r="D28" s="187"/>
      <c r="E28" s="187"/>
      <c r="F28" s="187"/>
      <c r="G28" s="187"/>
      <c r="H28" s="187"/>
      <c r="I28" s="187"/>
      <c r="J28" s="187"/>
      <c r="K28" s="188"/>
      <c r="L28" s="186" t="s">
        <v>19</v>
      </c>
      <c r="M28" s="187"/>
      <c r="N28" s="187"/>
      <c r="O28" s="187"/>
      <c r="P28" s="187"/>
      <c r="Q28" s="187"/>
      <c r="R28" s="187"/>
      <c r="S28" s="187"/>
      <c r="T28" s="187"/>
      <c r="U28" s="188"/>
      <c r="V28" s="186" t="s">
        <v>20</v>
      </c>
      <c r="W28" s="187"/>
      <c r="X28" s="187"/>
      <c r="Y28" s="187"/>
      <c r="Z28" s="187"/>
      <c r="AA28" s="187"/>
      <c r="AB28" s="187"/>
      <c r="AC28" s="187"/>
      <c r="AD28" s="187"/>
      <c r="AE28" s="188"/>
      <c r="AF28" s="186" t="s">
        <v>21</v>
      </c>
      <c r="AG28" s="187"/>
      <c r="AH28" s="187"/>
      <c r="AI28" s="187"/>
      <c r="AJ28" s="188"/>
    </row>
    <row r="29" spans="1:38" x14ac:dyDescent="0.2">
      <c r="B29" s="183" t="s">
        <v>15</v>
      </c>
      <c r="C29" s="184"/>
      <c r="D29" s="184"/>
      <c r="E29" s="184"/>
      <c r="F29" s="185"/>
      <c r="G29" s="183" t="s">
        <v>16</v>
      </c>
      <c r="H29" s="184"/>
      <c r="I29" s="184"/>
      <c r="J29" s="184"/>
      <c r="K29" s="185"/>
      <c r="L29" s="183" t="s">
        <v>15</v>
      </c>
      <c r="M29" s="184"/>
      <c r="N29" s="184"/>
      <c r="O29" s="184"/>
      <c r="P29" s="185"/>
      <c r="Q29" s="183" t="s">
        <v>16</v>
      </c>
      <c r="R29" s="184"/>
      <c r="S29" s="184"/>
      <c r="T29" s="184"/>
      <c r="U29" s="185"/>
      <c r="V29" s="183" t="s">
        <v>15</v>
      </c>
      <c r="W29" s="184"/>
      <c r="X29" s="184"/>
      <c r="Y29" s="184"/>
      <c r="Z29" s="185"/>
      <c r="AA29" s="183" t="s">
        <v>16</v>
      </c>
      <c r="AB29" s="184"/>
      <c r="AC29" s="184"/>
      <c r="AD29" s="184"/>
      <c r="AE29" s="185"/>
      <c r="AF29" s="183"/>
      <c r="AG29" s="184"/>
      <c r="AH29" s="184"/>
      <c r="AI29" s="184"/>
      <c r="AJ29" s="185"/>
    </row>
    <row r="30" spans="1:38" x14ac:dyDescent="0.2">
      <c r="B30" s="72" t="s">
        <v>7</v>
      </c>
      <c r="C30" s="72" t="s">
        <v>31</v>
      </c>
      <c r="D30" s="72" t="s">
        <v>9</v>
      </c>
      <c r="E30" s="72" t="s">
        <v>31</v>
      </c>
      <c r="F30" s="73" t="s">
        <v>32</v>
      </c>
      <c r="G30" s="72" t="s">
        <v>7</v>
      </c>
      <c r="H30" s="72" t="s">
        <v>31</v>
      </c>
      <c r="I30" s="72" t="s">
        <v>9</v>
      </c>
      <c r="J30" s="72" t="s">
        <v>31</v>
      </c>
      <c r="K30" s="73" t="s">
        <v>32</v>
      </c>
      <c r="L30" s="72" t="s">
        <v>7</v>
      </c>
      <c r="M30" s="72" t="s">
        <v>31</v>
      </c>
      <c r="N30" s="72" t="s">
        <v>9</v>
      </c>
      <c r="O30" s="72" t="s">
        <v>31</v>
      </c>
      <c r="P30" s="73" t="s">
        <v>32</v>
      </c>
      <c r="Q30" s="72" t="s">
        <v>7</v>
      </c>
      <c r="R30" s="72" t="s">
        <v>31</v>
      </c>
      <c r="S30" s="72" t="s">
        <v>9</v>
      </c>
      <c r="T30" s="72" t="s">
        <v>31</v>
      </c>
      <c r="U30" s="73" t="s">
        <v>32</v>
      </c>
      <c r="V30" s="72" t="s">
        <v>7</v>
      </c>
      <c r="W30" s="72" t="s">
        <v>31</v>
      </c>
      <c r="X30" s="72" t="s">
        <v>9</v>
      </c>
      <c r="Y30" s="72" t="s">
        <v>31</v>
      </c>
      <c r="Z30" s="73" t="s">
        <v>32</v>
      </c>
      <c r="AA30" s="72" t="s">
        <v>7</v>
      </c>
      <c r="AB30" s="72" t="s">
        <v>31</v>
      </c>
      <c r="AC30" s="72" t="s">
        <v>9</v>
      </c>
      <c r="AD30" s="72" t="s">
        <v>31</v>
      </c>
      <c r="AE30" s="73" t="s">
        <v>32</v>
      </c>
      <c r="AF30" s="72" t="s">
        <v>7</v>
      </c>
      <c r="AG30" s="72" t="s">
        <v>31</v>
      </c>
      <c r="AH30" s="72" t="s">
        <v>9</v>
      </c>
      <c r="AI30" s="72" t="s">
        <v>31</v>
      </c>
      <c r="AJ30" s="72" t="s">
        <v>10</v>
      </c>
    </row>
    <row r="31" spans="1:38" x14ac:dyDescent="0.2">
      <c r="B31" s="139">
        <f>B33+B34</f>
        <v>0</v>
      </c>
      <c r="C31" s="139">
        <f t="shared" ref="C31:AJ31" si="6">C33+C34</f>
        <v>0</v>
      </c>
      <c r="D31" s="139">
        <f t="shared" si="6"/>
        <v>0</v>
      </c>
      <c r="E31" s="139">
        <f t="shared" si="6"/>
        <v>0</v>
      </c>
      <c r="F31" s="139">
        <f t="shared" si="6"/>
        <v>0</v>
      </c>
      <c r="G31" s="139">
        <f t="shared" si="6"/>
        <v>5.3030567685589522</v>
      </c>
      <c r="H31" s="139">
        <f t="shared" si="6"/>
        <v>0</v>
      </c>
      <c r="I31" s="139">
        <f t="shared" si="6"/>
        <v>0</v>
      </c>
      <c r="J31" s="139">
        <f t="shared" si="6"/>
        <v>0</v>
      </c>
      <c r="K31" s="139">
        <f t="shared" si="6"/>
        <v>0</v>
      </c>
      <c r="L31" s="139">
        <f t="shared" si="6"/>
        <v>0</v>
      </c>
      <c r="M31" s="139">
        <f t="shared" si="6"/>
        <v>0</v>
      </c>
      <c r="N31" s="139">
        <f t="shared" si="6"/>
        <v>0</v>
      </c>
      <c r="O31" s="139">
        <f t="shared" si="6"/>
        <v>0</v>
      </c>
      <c r="P31" s="139">
        <f t="shared" si="6"/>
        <v>0</v>
      </c>
      <c r="Q31" s="139">
        <f t="shared" si="6"/>
        <v>0</v>
      </c>
      <c r="R31" s="139">
        <f t="shared" si="6"/>
        <v>0</v>
      </c>
      <c r="S31" s="139">
        <f t="shared" si="6"/>
        <v>0</v>
      </c>
      <c r="T31" s="139">
        <f t="shared" si="6"/>
        <v>0</v>
      </c>
      <c r="U31" s="139">
        <f t="shared" si="6"/>
        <v>0</v>
      </c>
      <c r="V31" s="139">
        <f t="shared" si="6"/>
        <v>0</v>
      </c>
      <c r="W31" s="139">
        <f t="shared" si="6"/>
        <v>0</v>
      </c>
      <c r="X31" s="139">
        <f t="shared" si="6"/>
        <v>0</v>
      </c>
      <c r="Y31" s="139">
        <f t="shared" si="6"/>
        <v>0</v>
      </c>
      <c r="Z31" s="139">
        <f t="shared" si="6"/>
        <v>0</v>
      </c>
      <c r="AA31" s="139">
        <f t="shared" si="6"/>
        <v>0</v>
      </c>
      <c r="AB31" s="139">
        <f t="shared" si="6"/>
        <v>0</v>
      </c>
      <c r="AC31" s="139">
        <f t="shared" si="6"/>
        <v>0</v>
      </c>
      <c r="AD31" s="139">
        <f t="shared" si="6"/>
        <v>0</v>
      </c>
      <c r="AE31" s="139">
        <f t="shared" si="6"/>
        <v>0</v>
      </c>
      <c r="AF31" s="139">
        <f t="shared" si="6"/>
        <v>5.3030567685589522</v>
      </c>
      <c r="AG31" s="139">
        <f t="shared" si="6"/>
        <v>0</v>
      </c>
      <c r="AH31" s="139">
        <f t="shared" si="6"/>
        <v>0</v>
      </c>
      <c r="AI31" s="139">
        <f t="shared" si="6"/>
        <v>0</v>
      </c>
      <c r="AJ31" s="139">
        <f t="shared" si="6"/>
        <v>0</v>
      </c>
      <c r="AK31" s="74"/>
      <c r="AL31" s="74"/>
    </row>
    <row r="33" spans="1:36" x14ac:dyDescent="0.2">
      <c r="A33" s="143" t="s">
        <v>1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5.3030567685589522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4">
        <v>0</v>
      </c>
      <c r="O33" s="74">
        <v>0</v>
      </c>
      <c r="P33" s="74">
        <v>0</v>
      </c>
      <c r="Q33" s="74">
        <v>0</v>
      </c>
      <c r="R33" s="74">
        <v>0</v>
      </c>
      <c r="S33" s="74">
        <v>0</v>
      </c>
      <c r="T33" s="74">
        <v>0</v>
      </c>
      <c r="U33" s="74">
        <v>0</v>
      </c>
      <c r="V33" s="74">
        <v>0</v>
      </c>
      <c r="W33" s="74">
        <v>0</v>
      </c>
      <c r="X33" s="74">
        <v>0</v>
      </c>
      <c r="Y33" s="74">
        <v>0</v>
      </c>
      <c r="Z33" s="74">
        <v>0</v>
      </c>
      <c r="AA33" s="74">
        <v>0</v>
      </c>
      <c r="AB33" s="74">
        <v>0</v>
      </c>
      <c r="AC33" s="74">
        <v>0</v>
      </c>
      <c r="AD33" s="74">
        <v>0</v>
      </c>
      <c r="AE33" s="74">
        <v>0</v>
      </c>
      <c r="AF33" s="74">
        <v>5.3030567685589522</v>
      </c>
      <c r="AG33" s="74">
        <v>0</v>
      </c>
      <c r="AH33" s="74">
        <v>0</v>
      </c>
      <c r="AI33" s="74">
        <v>0</v>
      </c>
      <c r="AJ33" s="74">
        <v>0</v>
      </c>
    </row>
    <row r="34" spans="1:36" x14ac:dyDescent="0.2">
      <c r="B34" s="74">
        <v>0</v>
      </c>
      <c r="C34" s="74">
        <v>0</v>
      </c>
      <c r="D34" s="74">
        <v>0</v>
      </c>
      <c r="E34" s="74">
        <v>0</v>
      </c>
      <c r="F34" s="74">
        <v>0</v>
      </c>
      <c r="G34" s="74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74">
        <v>0</v>
      </c>
      <c r="Q34" s="74">
        <v>0</v>
      </c>
      <c r="R34" s="74">
        <v>0</v>
      </c>
      <c r="S34" s="74">
        <v>0</v>
      </c>
      <c r="T34" s="74">
        <v>0</v>
      </c>
      <c r="U34" s="74">
        <v>0</v>
      </c>
      <c r="V34" s="74">
        <v>0</v>
      </c>
      <c r="W34" s="74">
        <v>0</v>
      </c>
      <c r="X34" s="74">
        <v>0</v>
      </c>
      <c r="Y34" s="74">
        <v>0</v>
      </c>
      <c r="Z34" s="74">
        <v>0</v>
      </c>
      <c r="AA34" s="74">
        <v>0</v>
      </c>
      <c r="AB34" s="74">
        <v>0</v>
      </c>
      <c r="AC34" s="74">
        <v>0</v>
      </c>
      <c r="AD34" s="74">
        <v>0</v>
      </c>
      <c r="AE34" s="74">
        <v>0</v>
      </c>
      <c r="AF34" s="74">
        <v>0</v>
      </c>
      <c r="AG34" s="74">
        <v>0</v>
      </c>
      <c r="AH34" s="74">
        <v>0</v>
      </c>
      <c r="AI34" s="74">
        <v>0</v>
      </c>
      <c r="AJ34" s="74">
        <v>0</v>
      </c>
    </row>
  </sheetData>
  <mergeCells count="45">
    <mergeCell ref="AX2:BM2"/>
    <mergeCell ref="B4:H4"/>
    <mergeCell ref="J4:P4"/>
    <mergeCell ref="AX3:BE3"/>
    <mergeCell ref="BF3:BM3"/>
    <mergeCell ref="B3:I3"/>
    <mergeCell ref="J3:Q3"/>
    <mergeCell ref="AH2:AW2"/>
    <mergeCell ref="AH3:AO3"/>
    <mergeCell ref="R2:AG2"/>
    <mergeCell ref="R3:Y3"/>
    <mergeCell ref="Z3:AG3"/>
    <mergeCell ref="B2:Q2"/>
    <mergeCell ref="AP4:AV4"/>
    <mergeCell ref="AP3:AW3"/>
    <mergeCell ref="AX4:BD4"/>
    <mergeCell ref="AA29:AE29"/>
    <mergeCell ref="AF29:AJ29"/>
    <mergeCell ref="R4:X4"/>
    <mergeCell ref="Z4:AF4"/>
    <mergeCell ref="V29:Z29"/>
    <mergeCell ref="V28:AE28"/>
    <mergeCell ref="AF28:AJ28"/>
    <mergeCell ref="L28:U28"/>
    <mergeCell ref="AH4:AN4"/>
    <mergeCell ref="G29:K29"/>
    <mergeCell ref="L29:P29"/>
    <mergeCell ref="Q29:U29"/>
    <mergeCell ref="B11:I11"/>
    <mergeCell ref="J11:Q11"/>
    <mergeCell ref="B12:H12"/>
    <mergeCell ref="J12:P12"/>
    <mergeCell ref="B29:F29"/>
    <mergeCell ref="B28:K28"/>
    <mergeCell ref="BF4:BL4"/>
    <mergeCell ref="BP4:BS4"/>
    <mergeCell ref="BP3:CA3"/>
    <mergeCell ref="CJ4:CM4"/>
    <mergeCell ref="CN4:CO4"/>
    <mergeCell ref="CB3:CM3"/>
    <mergeCell ref="CN3:CQ3"/>
    <mergeCell ref="BT4:BW4"/>
    <mergeCell ref="BX4:CA4"/>
    <mergeCell ref="CB4:CE4"/>
    <mergeCell ref="CF4:CI4"/>
  </mergeCells>
  <phoneticPr fontId="0" type="noConversion"/>
  <pageMargins left="0.75" right="0.75" top="1" bottom="1" header="0.5" footer="0.5"/>
  <pageSetup scale="68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M19"/>
  <sheetViews>
    <sheetView workbookViewId="0">
      <selection activeCell="E18" sqref="E18"/>
    </sheetView>
  </sheetViews>
  <sheetFormatPr defaultRowHeight="12.75" x14ac:dyDescent="0.2"/>
  <cols>
    <col min="3" max="3" width="10.1640625" customWidth="1"/>
  </cols>
  <sheetData>
    <row r="3" spans="3:13" x14ac:dyDescent="0.2">
      <c r="D3" s="186" t="s">
        <v>3</v>
      </c>
      <c r="E3" s="187"/>
      <c r="F3" s="187"/>
      <c r="G3" s="188"/>
      <c r="H3" s="186" t="s">
        <v>9</v>
      </c>
      <c r="I3" s="187"/>
      <c r="J3" s="187"/>
      <c r="K3" s="187"/>
      <c r="L3" s="149"/>
      <c r="M3" s="150"/>
    </row>
    <row r="4" spans="3:13" x14ac:dyDescent="0.2">
      <c r="D4" s="183" t="s">
        <v>50</v>
      </c>
      <c r="E4" s="185"/>
      <c r="F4" s="183" t="s">
        <v>8</v>
      </c>
      <c r="G4" s="185"/>
      <c r="H4" s="183" t="s">
        <v>50</v>
      </c>
      <c r="I4" s="185"/>
      <c r="J4" s="183" t="s">
        <v>8</v>
      </c>
      <c r="K4" s="185"/>
      <c r="L4" s="192" t="s">
        <v>10</v>
      </c>
      <c r="M4" s="193"/>
    </row>
    <row r="5" spans="3:13" x14ac:dyDescent="0.2">
      <c r="D5" s="144" t="s">
        <v>51</v>
      </c>
      <c r="E5" s="146" t="s">
        <v>4</v>
      </c>
      <c r="F5" s="144" t="s">
        <v>51</v>
      </c>
      <c r="G5" s="145" t="s">
        <v>4</v>
      </c>
      <c r="H5" s="144" t="s">
        <v>51</v>
      </c>
      <c r="I5" s="146" t="s">
        <v>4</v>
      </c>
      <c r="J5" s="146" t="s">
        <v>51</v>
      </c>
      <c r="K5" s="145" t="s">
        <v>4</v>
      </c>
      <c r="L5" s="146" t="s">
        <v>52</v>
      </c>
      <c r="M5" s="147" t="s">
        <v>48</v>
      </c>
    </row>
    <row r="6" spans="3:13" x14ac:dyDescent="0.2">
      <c r="C6" t="s">
        <v>53</v>
      </c>
      <c r="D6" s="151">
        <v>305.08377802057106</v>
      </c>
      <c r="E6" s="151">
        <v>0</v>
      </c>
      <c r="F6" s="151">
        <v>24.592984118685056</v>
      </c>
      <c r="G6" s="151">
        <v>22.852564102564106</v>
      </c>
      <c r="H6" s="151">
        <v>0</v>
      </c>
      <c r="I6" s="151">
        <v>0</v>
      </c>
      <c r="J6" s="151">
        <v>0</v>
      </c>
      <c r="K6" s="151">
        <v>0</v>
      </c>
      <c r="L6" s="151">
        <v>0</v>
      </c>
      <c r="M6" s="151">
        <v>0</v>
      </c>
    </row>
    <row r="7" spans="3:13" x14ac:dyDescent="0.2">
      <c r="D7" s="151">
        <v>95.846753391391147</v>
      </c>
      <c r="E7" s="151">
        <v>0</v>
      </c>
      <c r="F7" s="151">
        <v>5.1893122453870131</v>
      </c>
      <c r="G7" s="151">
        <v>7.9487179487179507</v>
      </c>
      <c r="H7" s="151">
        <v>0</v>
      </c>
      <c r="I7" s="151">
        <v>0</v>
      </c>
      <c r="J7" s="151">
        <v>0</v>
      </c>
      <c r="K7" s="151">
        <v>0</v>
      </c>
      <c r="L7" s="151">
        <v>0</v>
      </c>
      <c r="M7" s="151">
        <v>0</v>
      </c>
    </row>
    <row r="8" spans="3:13" x14ac:dyDescent="0.2">
      <c r="D8" s="151"/>
      <c r="E8" s="151"/>
      <c r="F8" s="151"/>
      <c r="G8" s="151"/>
      <c r="H8" s="151"/>
      <c r="I8" s="151"/>
      <c r="J8" s="151"/>
      <c r="K8" s="151"/>
      <c r="L8" s="151"/>
      <c r="M8" s="151"/>
    </row>
    <row r="9" spans="3:13" x14ac:dyDescent="0.2">
      <c r="C9" t="s">
        <v>54</v>
      </c>
      <c r="D9" s="151">
        <v>174.90779970893337</v>
      </c>
      <c r="E9" s="151">
        <v>25.295779816513761</v>
      </c>
      <c r="F9" s="151">
        <v>5.2410638297872341</v>
      </c>
      <c r="G9" s="151">
        <v>0</v>
      </c>
      <c r="H9" s="151">
        <v>0</v>
      </c>
      <c r="I9" s="151">
        <v>0</v>
      </c>
      <c r="J9" s="151">
        <v>0</v>
      </c>
      <c r="K9" s="151">
        <v>0</v>
      </c>
      <c r="L9" s="151">
        <v>0</v>
      </c>
      <c r="M9" s="151">
        <v>0</v>
      </c>
    </row>
    <row r="10" spans="3:13" x14ac:dyDescent="0.2">
      <c r="D10" s="151">
        <v>34.947429336108804</v>
      </c>
      <c r="E10" s="151">
        <v>29.75</v>
      </c>
      <c r="F10" s="151">
        <v>1.3757225433526012</v>
      </c>
      <c r="G10" s="151">
        <v>0</v>
      </c>
      <c r="H10" s="151">
        <v>0</v>
      </c>
      <c r="I10" s="151">
        <v>0</v>
      </c>
      <c r="J10" s="151">
        <v>0</v>
      </c>
      <c r="K10" s="151">
        <v>0</v>
      </c>
      <c r="L10" s="151">
        <v>0</v>
      </c>
      <c r="M10" s="151">
        <v>0</v>
      </c>
    </row>
    <row r="11" spans="3:13" x14ac:dyDescent="0.2">
      <c r="D11" s="151"/>
      <c r="E11" s="151"/>
      <c r="F11" s="151"/>
      <c r="G11" s="151"/>
      <c r="H11" s="151"/>
      <c r="I11" s="151"/>
      <c r="J11" s="151"/>
      <c r="K11" s="151"/>
      <c r="L11" s="151"/>
      <c r="M11" s="151"/>
    </row>
    <row r="12" spans="3:13" x14ac:dyDescent="0.2">
      <c r="C12" t="s">
        <v>55</v>
      </c>
      <c r="D12" s="151">
        <v>679.44081555055436</v>
      </c>
      <c r="E12" s="151">
        <v>6.1427718040621286</v>
      </c>
      <c r="F12" s="151">
        <v>10.436648542668879</v>
      </c>
      <c r="G12" s="151">
        <v>0</v>
      </c>
      <c r="H12" s="151">
        <v>6.1427718040621286</v>
      </c>
      <c r="I12" s="151">
        <v>0</v>
      </c>
      <c r="J12" s="151">
        <v>0</v>
      </c>
      <c r="K12" s="151">
        <v>0</v>
      </c>
      <c r="L12" s="151">
        <v>0</v>
      </c>
      <c r="M12" s="151">
        <v>0</v>
      </c>
    </row>
    <row r="13" spans="3:13" x14ac:dyDescent="0.2">
      <c r="D13" s="151">
        <v>0</v>
      </c>
      <c r="E13" s="151">
        <v>0</v>
      </c>
      <c r="F13" s="151">
        <v>0</v>
      </c>
      <c r="G13" s="151">
        <v>0</v>
      </c>
      <c r="H13" s="151">
        <v>0</v>
      </c>
      <c r="I13" s="151">
        <v>0</v>
      </c>
      <c r="J13" s="151">
        <v>0</v>
      </c>
      <c r="K13" s="151">
        <v>0</v>
      </c>
      <c r="L13" s="151">
        <v>0</v>
      </c>
      <c r="M13" s="151">
        <v>0</v>
      </c>
    </row>
    <row r="14" spans="3:13" x14ac:dyDescent="0.2">
      <c r="D14" s="151"/>
      <c r="E14" s="151"/>
      <c r="F14" s="151"/>
      <c r="G14" s="151"/>
      <c r="H14" s="151"/>
      <c r="I14" s="151"/>
      <c r="J14" s="151"/>
      <c r="K14" s="151"/>
      <c r="L14" s="151"/>
      <c r="M14" s="151"/>
    </row>
    <row r="15" spans="3:13" x14ac:dyDescent="0.2">
      <c r="C15" t="s">
        <v>56</v>
      </c>
      <c r="D15" s="151">
        <v>373.04361239157987</v>
      </c>
      <c r="E15" s="151">
        <v>3.8338002436053595</v>
      </c>
      <c r="F15" s="151">
        <v>6.8401764391420237</v>
      </c>
      <c r="G15" s="151">
        <v>0</v>
      </c>
      <c r="H15" s="151">
        <v>2.9524932614555253</v>
      </c>
      <c r="I15" s="151">
        <v>0</v>
      </c>
      <c r="J15" s="151">
        <v>0</v>
      </c>
      <c r="K15" s="151">
        <v>0</v>
      </c>
      <c r="L15" s="151">
        <v>0</v>
      </c>
      <c r="M15" s="151">
        <v>0</v>
      </c>
    </row>
    <row r="16" spans="3:13" x14ac:dyDescent="0.2">
      <c r="D16" s="151">
        <v>1.6117381489841989</v>
      </c>
      <c r="E16" s="151">
        <v>0</v>
      </c>
      <c r="F16" s="151">
        <v>0</v>
      </c>
      <c r="G16" s="151">
        <v>0</v>
      </c>
      <c r="H16" s="151">
        <v>0</v>
      </c>
      <c r="I16" s="151">
        <v>0</v>
      </c>
      <c r="J16" s="151">
        <v>0</v>
      </c>
      <c r="K16" s="151">
        <v>0</v>
      </c>
      <c r="L16" s="151">
        <v>0</v>
      </c>
      <c r="M16" s="151">
        <v>0</v>
      </c>
    </row>
    <row r="17" spans="4:13" x14ac:dyDescent="0.2">
      <c r="D17" s="151"/>
      <c r="E17" s="151"/>
      <c r="F17" s="151"/>
      <c r="G17" s="151"/>
      <c r="H17" s="151"/>
      <c r="I17" s="151"/>
      <c r="J17" s="151"/>
      <c r="K17" s="151"/>
      <c r="L17" s="151"/>
      <c r="M17" s="151"/>
    </row>
    <row r="18" spans="4:13" x14ac:dyDescent="0.2">
      <c r="D18" s="151"/>
      <c r="E18" s="151"/>
      <c r="F18" s="151"/>
      <c r="G18" s="151"/>
      <c r="H18" s="151"/>
      <c r="I18" s="151"/>
      <c r="J18" s="151"/>
      <c r="K18" s="151"/>
      <c r="L18" s="151"/>
      <c r="M18" s="151"/>
    </row>
    <row r="19" spans="4:13" ht="14.25" x14ac:dyDescent="0.2">
      <c r="D19" s="152">
        <f>SUM(D6:D16)</f>
        <v>1664.8819265481229</v>
      </c>
      <c r="E19" s="152">
        <f t="shared" ref="E19:M19" si="0">SUM(E6:E16)</f>
        <v>65.022351864181246</v>
      </c>
      <c r="F19" s="152">
        <f t="shared" si="0"/>
        <v>53.675907719022803</v>
      </c>
      <c r="G19" s="152">
        <f t="shared" si="0"/>
        <v>30.801282051282058</v>
      </c>
      <c r="H19" s="152">
        <f t="shared" si="0"/>
        <v>9.0952650655176548</v>
      </c>
      <c r="I19" s="152">
        <f t="shared" si="0"/>
        <v>0</v>
      </c>
      <c r="J19" s="152">
        <f t="shared" si="0"/>
        <v>0</v>
      </c>
      <c r="K19" s="152">
        <f t="shared" si="0"/>
        <v>0</v>
      </c>
      <c r="L19" s="152">
        <f t="shared" si="0"/>
        <v>0</v>
      </c>
      <c r="M19" s="152">
        <f t="shared" si="0"/>
        <v>0</v>
      </c>
    </row>
  </sheetData>
  <mergeCells count="7">
    <mergeCell ref="L4:M4"/>
    <mergeCell ref="D3:G3"/>
    <mergeCell ref="H3:K3"/>
    <mergeCell ref="D4:E4"/>
    <mergeCell ref="F4:G4"/>
    <mergeCell ref="H4:I4"/>
    <mergeCell ref="J4:K4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4"/>
  <sheetViews>
    <sheetView workbookViewId="0">
      <selection activeCell="C18" sqref="C18"/>
    </sheetView>
  </sheetViews>
  <sheetFormatPr defaultRowHeight="12.75" x14ac:dyDescent="0.2"/>
  <cols>
    <col min="2" max="2" width="18.6640625" customWidth="1"/>
    <col min="7" max="7" width="14" customWidth="1"/>
    <col min="10" max="10" width="11.83203125" customWidth="1"/>
    <col min="11" max="11" width="12" customWidth="1"/>
  </cols>
  <sheetData>
    <row r="2" spans="2:13" ht="13.5" thickBot="1" x14ac:dyDescent="0.25"/>
    <row r="3" spans="2:13" ht="16.5" thickBot="1" x14ac:dyDescent="0.3">
      <c r="B3" s="3" t="s">
        <v>0</v>
      </c>
      <c r="C3" s="194" t="s">
        <v>1</v>
      </c>
      <c r="D3" s="166"/>
      <c r="E3" s="166"/>
      <c r="F3" s="167"/>
      <c r="G3" s="4" t="s">
        <v>2</v>
      </c>
      <c r="H3" s="5"/>
      <c r="I3" s="6"/>
      <c r="J3" s="4" t="s">
        <v>21</v>
      </c>
      <c r="K3" s="85"/>
      <c r="L3" s="88"/>
    </row>
    <row r="4" spans="2:13" ht="15.75" x14ac:dyDescent="0.25">
      <c r="B4" s="7"/>
      <c r="C4" s="168" t="s">
        <v>3</v>
      </c>
      <c r="D4" s="169"/>
      <c r="E4" s="168" t="s">
        <v>9</v>
      </c>
      <c r="F4" s="169"/>
      <c r="G4" s="8" t="s">
        <v>4</v>
      </c>
      <c r="H4" s="195" t="s">
        <v>5</v>
      </c>
      <c r="I4" s="196"/>
      <c r="J4" s="94" t="s">
        <v>13</v>
      </c>
      <c r="K4" s="96" t="s">
        <v>5</v>
      </c>
      <c r="L4" s="88"/>
      <c r="M4" s="102" t="s">
        <v>35</v>
      </c>
    </row>
    <row r="5" spans="2:13" ht="15.75" x14ac:dyDescent="0.25">
      <c r="B5" s="9" t="s">
        <v>6</v>
      </c>
      <c r="C5" s="10" t="s">
        <v>7</v>
      </c>
      <c r="D5" s="10" t="s">
        <v>8</v>
      </c>
      <c r="E5" s="10" t="s">
        <v>7</v>
      </c>
      <c r="F5" s="10" t="s">
        <v>8</v>
      </c>
      <c r="G5" s="10" t="s">
        <v>10</v>
      </c>
      <c r="H5" s="10" t="s">
        <v>11</v>
      </c>
      <c r="I5" s="10" t="s">
        <v>12</v>
      </c>
      <c r="J5" s="95" t="s">
        <v>34</v>
      </c>
      <c r="K5" s="97" t="s">
        <v>24</v>
      </c>
      <c r="L5" s="88"/>
      <c r="M5" s="104" t="s">
        <v>36</v>
      </c>
    </row>
    <row r="6" spans="2:13" ht="15.75" x14ac:dyDescent="0.25">
      <c r="B6" s="118" t="s">
        <v>37</v>
      </c>
      <c r="C6" s="112">
        <v>0</v>
      </c>
      <c r="D6" s="112">
        <v>0</v>
      </c>
      <c r="E6" s="112">
        <v>0</v>
      </c>
      <c r="F6" s="112">
        <v>0</v>
      </c>
      <c r="G6" s="112">
        <v>0</v>
      </c>
      <c r="H6" s="109">
        <v>13</v>
      </c>
      <c r="I6" s="109">
        <v>31.9</v>
      </c>
      <c r="J6" s="109">
        <v>261.78750000000002</v>
      </c>
      <c r="K6" s="113">
        <v>0.12185455760874754</v>
      </c>
      <c r="L6" s="88"/>
      <c r="M6" s="103">
        <v>106.68456112852667</v>
      </c>
    </row>
    <row r="7" spans="2:13" ht="15.75" x14ac:dyDescent="0.25">
      <c r="B7" s="118" t="s">
        <v>38</v>
      </c>
      <c r="C7" s="112">
        <v>0</v>
      </c>
      <c r="D7" s="112">
        <v>0</v>
      </c>
      <c r="E7" s="112">
        <v>0</v>
      </c>
      <c r="F7" s="112">
        <v>0</v>
      </c>
      <c r="G7" s="112">
        <v>0</v>
      </c>
      <c r="H7" s="109">
        <v>36</v>
      </c>
      <c r="I7" s="109">
        <v>73.300000000000011</v>
      </c>
      <c r="J7" s="109">
        <v>383.67</v>
      </c>
      <c r="K7" s="113">
        <v>0.19104959991659501</v>
      </c>
      <c r="L7" s="88"/>
      <c r="M7" s="103">
        <v>188.4327421555252</v>
      </c>
    </row>
    <row r="8" spans="2:13" ht="15.75" x14ac:dyDescent="0.25">
      <c r="B8" s="118" t="s">
        <v>39</v>
      </c>
      <c r="C8" s="112">
        <v>188.53526881495497</v>
      </c>
      <c r="D8" s="112">
        <v>41.470619971709496</v>
      </c>
      <c r="E8" s="112">
        <v>0</v>
      </c>
      <c r="F8" s="112">
        <v>0</v>
      </c>
      <c r="G8" s="112">
        <v>0</v>
      </c>
      <c r="H8" s="109">
        <v>134</v>
      </c>
      <c r="I8" s="109">
        <v>277.89999999999998</v>
      </c>
      <c r="J8" s="109">
        <v>2443.2325000000001</v>
      </c>
      <c r="K8" s="113">
        <v>0.1137427567781617</v>
      </c>
      <c r="L8" s="88"/>
      <c r="M8" s="103">
        <v>1178.0969953220585</v>
      </c>
    </row>
    <row r="9" spans="2:13" ht="15.75" x14ac:dyDescent="0.25">
      <c r="B9" s="118" t="s">
        <v>40</v>
      </c>
      <c r="C9" s="112">
        <v>538.55777280649465</v>
      </c>
      <c r="D9" s="112">
        <v>83.763763247090694</v>
      </c>
      <c r="E9" s="112">
        <v>0</v>
      </c>
      <c r="F9" s="112">
        <v>0</v>
      </c>
      <c r="G9" s="112">
        <v>0</v>
      </c>
      <c r="H9" s="109">
        <v>233</v>
      </c>
      <c r="I9" s="109">
        <v>526.70000000000005</v>
      </c>
      <c r="J9" s="109">
        <v>4065.5250000000001</v>
      </c>
      <c r="K9" s="113">
        <v>0.12955276378819464</v>
      </c>
      <c r="L9" s="88"/>
      <c r="M9" s="103">
        <v>1798.4950161382192</v>
      </c>
    </row>
    <row r="10" spans="2:13" ht="15.75" x14ac:dyDescent="0.25">
      <c r="B10" s="118" t="s">
        <v>41</v>
      </c>
      <c r="C10" s="112">
        <v>268.01507465210858</v>
      </c>
      <c r="D10" s="112">
        <v>39.432754855792552</v>
      </c>
      <c r="E10" s="112">
        <v>6.9730964467005068</v>
      </c>
      <c r="F10" s="112">
        <v>0</v>
      </c>
      <c r="G10" s="112">
        <v>0</v>
      </c>
      <c r="H10" s="109">
        <v>148</v>
      </c>
      <c r="I10" s="109">
        <v>287.10000000000002</v>
      </c>
      <c r="J10" s="109">
        <v>2374.2491666666665</v>
      </c>
      <c r="K10" s="113">
        <v>0.12092243898860659</v>
      </c>
      <c r="L10" s="88"/>
      <c r="M10" s="103">
        <v>1223.9250319284799</v>
      </c>
    </row>
    <row r="11" spans="2:13" ht="15.75" x14ac:dyDescent="0.25">
      <c r="B11" s="118" t="s">
        <v>42</v>
      </c>
      <c r="C11" s="112">
        <v>661.77178822400288</v>
      </c>
      <c r="D11" s="112">
        <v>148.2920348889007</v>
      </c>
      <c r="E11" s="112">
        <v>35.41055250591333</v>
      </c>
      <c r="F11" s="112">
        <v>40.974517322260489</v>
      </c>
      <c r="G11" s="112">
        <v>16.439393939393938</v>
      </c>
      <c r="H11" s="109">
        <v>185</v>
      </c>
      <c r="I11" s="109">
        <v>474.6</v>
      </c>
      <c r="J11" s="109">
        <v>3710.6783333333333</v>
      </c>
      <c r="K11" s="113">
        <v>0.12790114296262994</v>
      </c>
      <c r="L11" s="88"/>
      <c r="M11" s="103">
        <v>1446.4296073886783</v>
      </c>
    </row>
    <row r="12" spans="2:13" ht="15.75" x14ac:dyDescent="0.25">
      <c r="B12" s="118" t="s">
        <v>43</v>
      </c>
      <c r="C12" s="112">
        <v>820.75698465718051</v>
      </c>
      <c r="D12" s="112">
        <v>29.346937402784789</v>
      </c>
      <c r="E12" s="112">
        <v>4.0091261061946906</v>
      </c>
      <c r="F12" s="112">
        <v>0</v>
      </c>
      <c r="G12" s="112">
        <v>11.540231430268765</v>
      </c>
      <c r="H12" s="109">
        <v>260</v>
      </c>
      <c r="I12" s="109">
        <v>505.6</v>
      </c>
      <c r="J12" s="109">
        <v>3812.9475000000002</v>
      </c>
      <c r="K12" s="113">
        <v>0.13260082914857863</v>
      </c>
      <c r="L12" s="88"/>
      <c r="M12" s="103">
        <v>1960.7720530063293</v>
      </c>
    </row>
    <row r="13" spans="2:13" ht="16.5" thickBot="1" x14ac:dyDescent="0.3">
      <c r="B13" s="99" t="s">
        <v>44</v>
      </c>
      <c r="C13" s="114"/>
      <c r="D13" s="114"/>
      <c r="E13" s="114"/>
      <c r="F13" s="114"/>
      <c r="G13" s="114"/>
      <c r="H13" s="111"/>
      <c r="I13" s="111"/>
      <c r="J13" s="111"/>
      <c r="K13" s="115"/>
      <c r="L13" s="88"/>
      <c r="M13" s="117"/>
    </row>
    <row r="14" spans="2:13" ht="17.25" thickTop="1" thickBot="1" x14ac:dyDescent="0.3">
      <c r="B14" s="13" t="s">
        <v>0</v>
      </c>
      <c r="C14" s="110">
        <f t="shared" ref="C14:J14" si="0">SUM(C6:C13)</f>
        <v>2477.6368891547418</v>
      </c>
      <c r="D14" s="110">
        <f t="shared" si="0"/>
        <v>342.30611036627818</v>
      </c>
      <c r="E14" s="110">
        <f t="shared" si="0"/>
        <v>46.392775058808532</v>
      </c>
      <c r="F14" s="110">
        <f t="shared" si="0"/>
        <v>40.974517322260489</v>
      </c>
      <c r="G14" s="110">
        <f t="shared" si="0"/>
        <v>27.979625369662703</v>
      </c>
      <c r="H14" s="110">
        <f t="shared" si="0"/>
        <v>1009</v>
      </c>
      <c r="I14" s="110">
        <f t="shared" si="0"/>
        <v>2177.1</v>
      </c>
      <c r="J14" s="110">
        <f t="shared" si="0"/>
        <v>17052.09</v>
      </c>
      <c r="K14" s="116">
        <f>I14/J14</f>
        <v>0.12767349926020799</v>
      </c>
      <c r="L14" s="88"/>
      <c r="M14" s="105">
        <f t="shared" ref="M14" si="1">SUM(M6:M13)</f>
        <v>7902.8360070678173</v>
      </c>
    </row>
  </sheetData>
  <mergeCells count="4">
    <mergeCell ref="C3:F3"/>
    <mergeCell ref="C4:D4"/>
    <mergeCell ref="E4:F4"/>
    <mergeCell ref="H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Summary</vt:lpstr>
      <vt:lpstr>Sheet2</vt:lpstr>
      <vt:lpstr>Table inc C&amp;R</vt:lpstr>
      <vt:lpstr>Sheet1</vt:lpstr>
      <vt:lpstr>Sheet2!Print_Area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Hoffarth, Paul A (DFW)</cp:lastModifiedBy>
  <cp:lastPrinted>2013-10-22T15:48:02Z</cp:lastPrinted>
  <dcterms:created xsi:type="dcterms:W3CDTF">2004-09-13T18:42:30Z</dcterms:created>
  <dcterms:modified xsi:type="dcterms:W3CDTF">2022-10-18T21:36:46Z</dcterms:modified>
</cp:coreProperties>
</file>