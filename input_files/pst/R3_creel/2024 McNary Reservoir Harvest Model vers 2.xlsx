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wa-my.sharepoint.com/personal/todd_miller_dfw_wa_gov/Documents/Documents/McNary Sport Fishery/McNary 2024-25/"/>
    </mc:Choice>
  </mc:AlternateContent>
  <xr:revisionPtr revIDLastSave="1657" documentId="13_ncr:1_{3A87283C-2C46-462E-9BA1-B73575893046}" xr6:coauthVersionLast="47" xr6:coauthVersionMax="47" xr10:uidLastSave="{0E41098C-5A76-4CD5-B483-BA839905C290}"/>
  <bookViews>
    <workbookView xWindow="-120" yWindow="-120" windowWidth="29040" windowHeight="15840" activeTab="5" xr2:uid="{00000000-000D-0000-FFFF-FFFF00000000}"/>
  </bookViews>
  <sheets>
    <sheet name="Schedule" sheetId="1" r:id="rId1"/>
    <sheet name="Boat Expansion" sheetId="6" r:id="rId2"/>
    <sheet name="Boat" sheetId="2" r:id="rId3"/>
    <sheet name="Bank" sheetId="3" r:id="rId4"/>
    <sheet name="Summary" sheetId="9" r:id="rId5"/>
    <sheet name="Print" sheetId="14" r:id="rId6"/>
    <sheet name="ScaleCards" sheetId="11" r:id="rId7"/>
  </sheets>
  <definedNames>
    <definedName name="_xlnm.Print_Area" localSheetId="0">Schedule!$B$20:$H$26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4" l="1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Y19" i="14"/>
  <c r="Z19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Y20" i="14"/>
  <c r="Z20" i="14"/>
  <c r="F19" i="14"/>
  <c r="G19" i="14"/>
  <c r="H19" i="14"/>
  <c r="I19" i="14"/>
  <c r="F20" i="14"/>
  <c r="G20" i="14"/>
  <c r="H20" i="14"/>
  <c r="I20" i="14"/>
  <c r="B20" i="14"/>
  <c r="C20" i="14"/>
  <c r="D20" i="14"/>
  <c r="B19" i="14"/>
  <c r="C19" i="14"/>
  <c r="D19" i="14"/>
  <c r="H85" i="9"/>
  <c r="H84" i="9"/>
  <c r="D84" i="9"/>
  <c r="C84" i="9"/>
  <c r="I55" i="9"/>
  <c r="F55" i="9"/>
  <c r="B55" i="9"/>
  <c r="D55" i="9"/>
  <c r="C55" i="9"/>
  <c r="L55" i="9"/>
  <c r="M55" i="9"/>
  <c r="N55" i="9"/>
  <c r="O55" i="9"/>
  <c r="P55" i="9"/>
  <c r="Q55" i="9"/>
  <c r="R55" i="9"/>
  <c r="S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AJ55" i="9"/>
  <c r="AK55" i="9"/>
  <c r="AL55" i="9"/>
  <c r="AM55" i="9"/>
  <c r="AN55" i="9"/>
  <c r="AO55" i="9"/>
  <c r="AP55" i="9"/>
  <c r="AQ55" i="9"/>
  <c r="H180" i="2"/>
  <c r="H179" i="2"/>
  <c r="H178" i="2"/>
  <c r="H177" i="2"/>
  <c r="H176" i="2"/>
  <c r="H175" i="2"/>
  <c r="DX163" i="3"/>
  <c r="BB163" i="3" s="1"/>
  <c r="DY163" i="3"/>
  <c r="BC163" i="3" s="1"/>
  <c r="DZ163" i="3"/>
  <c r="BD163" i="3" s="1"/>
  <c r="EA163" i="3"/>
  <c r="BE163" i="3" s="1"/>
  <c r="EB163" i="3"/>
  <c r="BF163" i="3" s="1"/>
  <c r="EC163" i="3"/>
  <c r="BG163" i="3" s="1"/>
  <c r="ED163" i="3"/>
  <c r="EE163" i="3"/>
  <c r="EF163" i="3"/>
  <c r="EG163" i="3"/>
  <c r="EH163" i="3"/>
  <c r="BL163" i="3" s="1"/>
  <c r="EI163" i="3"/>
  <c r="BM163" i="3" s="1"/>
  <c r="EJ163" i="3"/>
  <c r="BN163" i="3" s="1"/>
  <c r="EK163" i="3"/>
  <c r="BO163" i="3" s="1"/>
  <c r="EL163" i="3"/>
  <c r="BP163" i="3" s="1"/>
  <c r="EM163" i="3"/>
  <c r="BQ163" i="3" s="1"/>
  <c r="EN163" i="3"/>
  <c r="BR163" i="3" s="1"/>
  <c r="EO163" i="3"/>
  <c r="BS163" i="3" s="1"/>
  <c r="EP163" i="3"/>
  <c r="EQ163" i="3"/>
  <c r="ER163" i="3"/>
  <c r="ES163" i="3"/>
  <c r="ET163" i="3"/>
  <c r="EU163" i="3"/>
  <c r="BY163" i="3" s="1"/>
  <c r="EV163" i="3"/>
  <c r="BZ163" i="3" s="1"/>
  <c r="EW163" i="3"/>
  <c r="CA163" i="3" s="1"/>
  <c r="EX163" i="3"/>
  <c r="CB163" i="3" s="1"/>
  <c r="EY163" i="3"/>
  <c r="CC163" i="3" s="1"/>
  <c r="EZ163" i="3"/>
  <c r="CD163" i="3" s="1"/>
  <c r="FA163" i="3"/>
  <c r="CE163" i="3" s="1"/>
  <c r="FB163" i="3"/>
  <c r="FC163" i="3"/>
  <c r="FD163" i="3"/>
  <c r="FE163" i="3"/>
  <c r="FF163" i="3"/>
  <c r="BH163" i="3"/>
  <c r="BI163" i="3"/>
  <c r="BJ163" i="3"/>
  <c r="BK163" i="3"/>
  <c r="BT163" i="3"/>
  <c r="BU163" i="3"/>
  <c r="BV163" i="3"/>
  <c r="BW163" i="3"/>
  <c r="BX163" i="3"/>
  <c r="CF163" i="3"/>
  <c r="CG163" i="3"/>
  <c r="CH163" i="3"/>
  <c r="CI163" i="3"/>
  <c r="CJ163" i="3"/>
  <c r="M163" i="3"/>
  <c r="N163" i="3"/>
  <c r="H190" i="2"/>
  <c r="H189" i="2"/>
  <c r="H188" i="2"/>
  <c r="H187" i="2"/>
  <c r="H186" i="2"/>
  <c r="H185" i="2"/>
  <c r="AQ54" i="9"/>
  <c r="AP54" i="9"/>
  <c r="AO54" i="9" l="1"/>
  <c r="AN54" i="9"/>
  <c r="AM54" i="9"/>
  <c r="AL54" i="9"/>
  <c r="AK54" i="9"/>
  <c r="AJ54" i="9"/>
  <c r="AI54" i="9"/>
  <c r="AH54" i="9"/>
  <c r="AG54" i="9"/>
  <c r="AF54" i="9"/>
  <c r="AE54" i="9"/>
  <c r="AD54" i="9"/>
  <c r="AC54" i="9"/>
  <c r="AB54" i="9"/>
  <c r="AA54" i="9"/>
  <c r="Z54" i="9"/>
  <c r="Y54" i="9"/>
  <c r="X54" i="9"/>
  <c r="W54" i="9"/>
  <c r="V54" i="9"/>
  <c r="U54" i="9"/>
  <c r="T54" i="9"/>
  <c r="T25" i="9" s="1"/>
  <c r="T18" i="14" s="1"/>
  <c r="S54" i="9"/>
  <c r="R54" i="9"/>
  <c r="R25" i="9" s="1"/>
  <c r="R18" i="14" s="1"/>
  <c r="Q54" i="9"/>
  <c r="T23" i="9"/>
  <c r="T26" i="9"/>
  <c r="S23" i="9"/>
  <c r="S25" i="9"/>
  <c r="S18" i="14" s="1"/>
  <c r="S26" i="9"/>
  <c r="R26" i="9"/>
  <c r="Q26" i="9"/>
  <c r="Q25" i="9"/>
  <c r="FF147" i="3"/>
  <c r="FE147" i="3"/>
  <c r="FD147" i="3"/>
  <c r="FC147" i="3"/>
  <c r="FB147" i="3"/>
  <c r="FA147" i="3"/>
  <c r="EZ147" i="3"/>
  <c r="EY147" i="3"/>
  <c r="EX147" i="3"/>
  <c r="EW147" i="3"/>
  <c r="EV147" i="3"/>
  <c r="EU147" i="3"/>
  <c r="ET147" i="3"/>
  <c r="ES147" i="3"/>
  <c r="ER147" i="3"/>
  <c r="EQ147" i="3"/>
  <c r="EP147" i="3"/>
  <c r="EO147" i="3"/>
  <c r="EN147" i="3"/>
  <c r="EM147" i="3"/>
  <c r="EL147" i="3"/>
  <c r="EK147" i="3"/>
  <c r="EJ147" i="3"/>
  <c r="EI147" i="3"/>
  <c r="EH147" i="3"/>
  <c r="EG147" i="3"/>
  <c r="EF147" i="3"/>
  <c r="EE147" i="3"/>
  <c r="ED147" i="3"/>
  <c r="EC147" i="3"/>
  <c r="EB147" i="3"/>
  <c r="EA147" i="3"/>
  <c r="DZ147" i="3"/>
  <c r="DY147" i="3"/>
  <c r="DX147" i="3"/>
  <c r="FF146" i="3"/>
  <c r="FE146" i="3"/>
  <c r="FD146" i="3"/>
  <c r="FC146" i="3"/>
  <c r="FB146" i="3"/>
  <c r="FA146" i="3"/>
  <c r="EZ146" i="3"/>
  <c r="EY146" i="3"/>
  <c r="EX146" i="3"/>
  <c r="EW146" i="3"/>
  <c r="EV146" i="3"/>
  <c r="EU146" i="3"/>
  <c r="ET146" i="3"/>
  <c r="ES146" i="3"/>
  <c r="ER146" i="3"/>
  <c r="EQ146" i="3"/>
  <c r="EP146" i="3"/>
  <c r="EO146" i="3"/>
  <c r="EN146" i="3"/>
  <c r="EM146" i="3"/>
  <c r="EL146" i="3"/>
  <c r="EK146" i="3"/>
  <c r="EJ146" i="3"/>
  <c r="EI146" i="3"/>
  <c r="EH146" i="3"/>
  <c r="EG146" i="3"/>
  <c r="EF146" i="3"/>
  <c r="EE146" i="3"/>
  <c r="ED146" i="3"/>
  <c r="EC146" i="3"/>
  <c r="EB146" i="3"/>
  <c r="EA146" i="3"/>
  <c r="DZ146" i="3"/>
  <c r="DY146" i="3"/>
  <c r="DX146" i="3"/>
  <c r="FF145" i="3"/>
  <c r="FE145" i="3"/>
  <c r="FD145" i="3"/>
  <c r="FC145" i="3"/>
  <c r="FB145" i="3"/>
  <c r="FA145" i="3"/>
  <c r="EZ145" i="3"/>
  <c r="EY145" i="3"/>
  <c r="EX145" i="3"/>
  <c r="EW145" i="3"/>
  <c r="EV145" i="3"/>
  <c r="EU145" i="3"/>
  <c r="ET145" i="3"/>
  <c r="ES145" i="3"/>
  <c r="ER145" i="3"/>
  <c r="EQ145" i="3"/>
  <c r="EP145" i="3"/>
  <c r="EO145" i="3"/>
  <c r="EN145" i="3"/>
  <c r="EM145" i="3"/>
  <c r="EL145" i="3"/>
  <c r="EK145" i="3"/>
  <c r="EJ145" i="3"/>
  <c r="EI145" i="3"/>
  <c r="EH145" i="3"/>
  <c r="EG145" i="3"/>
  <c r="EF145" i="3"/>
  <c r="EE145" i="3"/>
  <c r="ED145" i="3"/>
  <c r="EC145" i="3"/>
  <c r="EB145" i="3"/>
  <c r="EA145" i="3"/>
  <c r="DZ145" i="3"/>
  <c r="DY145" i="3"/>
  <c r="DX145" i="3"/>
  <c r="DX137" i="3"/>
  <c r="DY137" i="3"/>
  <c r="DZ137" i="3"/>
  <c r="EA137" i="3"/>
  <c r="EB137" i="3"/>
  <c r="DX138" i="3"/>
  <c r="DY138" i="3"/>
  <c r="DZ138" i="3"/>
  <c r="EA138" i="3"/>
  <c r="EB138" i="3"/>
  <c r="DX140" i="3"/>
  <c r="DY140" i="3"/>
  <c r="DZ140" i="3"/>
  <c r="EA140" i="3"/>
  <c r="EB140" i="3"/>
  <c r="DX131" i="3"/>
  <c r="DY131" i="3"/>
  <c r="DZ131" i="3"/>
  <c r="BD131" i="3" s="1"/>
  <c r="EA131" i="3"/>
  <c r="BE131" i="3" s="1"/>
  <c r="EB131" i="3"/>
  <c r="DX132" i="3"/>
  <c r="BB132" i="3" s="1"/>
  <c r="DY132" i="3"/>
  <c r="BC132" i="3" s="1"/>
  <c r="DZ132" i="3"/>
  <c r="BD132" i="3" s="1"/>
  <c r="EA132" i="3"/>
  <c r="BE132" i="3" s="1"/>
  <c r="EB132" i="3"/>
  <c r="BF132" i="3" s="1"/>
  <c r="DX127" i="3"/>
  <c r="DY127" i="3"/>
  <c r="DZ127" i="3"/>
  <c r="BD127" i="3" s="1"/>
  <c r="EA127" i="3"/>
  <c r="BE127" i="3" s="1"/>
  <c r="EB127" i="3"/>
  <c r="BF127" i="3" s="1"/>
  <c r="DX128" i="3"/>
  <c r="DY128" i="3"/>
  <c r="DZ128" i="3"/>
  <c r="BD128" i="3" s="1"/>
  <c r="EA128" i="3"/>
  <c r="BE128" i="3" s="1"/>
  <c r="EB128" i="3"/>
  <c r="FF140" i="3"/>
  <c r="FE140" i="3"/>
  <c r="FD140" i="3"/>
  <c r="FC140" i="3"/>
  <c r="FB140" i="3"/>
  <c r="FA140" i="3"/>
  <c r="EZ140" i="3"/>
  <c r="EY140" i="3"/>
  <c r="EX140" i="3"/>
  <c r="EW140" i="3"/>
  <c r="EV140" i="3"/>
  <c r="EU140" i="3"/>
  <c r="ET140" i="3"/>
  <c r="ES140" i="3"/>
  <c r="ER140" i="3"/>
  <c r="EQ140" i="3"/>
  <c r="EP140" i="3"/>
  <c r="EO140" i="3"/>
  <c r="EN140" i="3"/>
  <c r="EM140" i="3"/>
  <c r="EL140" i="3"/>
  <c r="EK140" i="3"/>
  <c r="EJ140" i="3"/>
  <c r="EI140" i="3"/>
  <c r="EH140" i="3"/>
  <c r="EG140" i="3"/>
  <c r="EF140" i="3"/>
  <c r="EE140" i="3"/>
  <c r="ED140" i="3"/>
  <c r="EC140" i="3"/>
  <c r="FF138" i="3"/>
  <c r="FE138" i="3"/>
  <c r="FD138" i="3"/>
  <c r="FC138" i="3"/>
  <c r="FB138" i="3"/>
  <c r="FA138" i="3"/>
  <c r="EZ138" i="3"/>
  <c r="EY138" i="3"/>
  <c r="EX138" i="3"/>
  <c r="EW138" i="3"/>
  <c r="EV138" i="3"/>
  <c r="EU138" i="3"/>
  <c r="ET138" i="3"/>
  <c r="ES138" i="3"/>
  <c r="ER138" i="3"/>
  <c r="EQ138" i="3"/>
  <c r="EP138" i="3"/>
  <c r="EO138" i="3"/>
  <c r="EN138" i="3"/>
  <c r="EM138" i="3"/>
  <c r="EL138" i="3"/>
  <c r="EK138" i="3"/>
  <c r="EJ138" i="3"/>
  <c r="EI138" i="3"/>
  <c r="EH138" i="3"/>
  <c r="EG138" i="3"/>
  <c r="EF138" i="3"/>
  <c r="EE138" i="3"/>
  <c r="ED138" i="3"/>
  <c r="EC138" i="3"/>
  <c r="FF137" i="3"/>
  <c r="FE137" i="3"/>
  <c r="FD137" i="3"/>
  <c r="FC137" i="3"/>
  <c r="FB137" i="3"/>
  <c r="FA137" i="3"/>
  <c r="EZ137" i="3"/>
  <c r="EY137" i="3"/>
  <c r="EX137" i="3"/>
  <c r="EW137" i="3"/>
  <c r="EV137" i="3"/>
  <c r="EU137" i="3"/>
  <c r="ET137" i="3"/>
  <c r="ES137" i="3"/>
  <c r="ER137" i="3"/>
  <c r="EQ137" i="3"/>
  <c r="EP137" i="3"/>
  <c r="EO137" i="3"/>
  <c r="EN137" i="3"/>
  <c r="EM137" i="3"/>
  <c r="EL137" i="3"/>
  <c r="EK137" i="3"/>
  <c r="EJ137" i="3"/>
  <c r="EI137" i="3"/>
  <c r="EH137" i="3"/>
  <c r="EG137" i="3"/>
  <c r="EF137" i="3"/>
  <c r="EE137" i="3"/>
  <c r="ED137" i="3"/>
  <c r="EC137" i="3"/>
  <c r="EC127" i="3"/>
  <c r="ED127" i="3"/>
  <c r="EE127" i="3"/>
  <c r="EF127" i="3"/>
  <c r="EG127" i="3"/>
  <c r="BK127" i="3" s="1"/>
  <c r="EH127" i="3"/>
  <c r="BL127" i="3" s="1"/>
  <c r="EI127" i="3"/>
  <c r="BM127" i="3" s="1"/>
  <c r="EJ127" i="3"/>
  <c r="BN127" i="3" s="1"/>
  <c r="EK127" i="3"/>
  <c r="EL127" i="3"/>
  <c r="EM127" i="3"/>
  <c r="EN127" i="3"/>
  <c r="EO127" i="3"/>
  <c r="EP127" i="3"/>
  <c r="EQ127" i="3"/>
  <c r="ER127" i="3"/>
  <c r="ES127" i="3"/>
  <c r="BW127" i="3" s="1"/>
  <c r="ET127" i="3"/>
  <c r="BX127" i="3" s="1"/>
  <c r="EU127" i="3"/>
  <c r="BY127" i="3" s="1"/>
  <c r="EV127" i="3"/>
  <c r="BZ127" i="3" s="1"/>
  <c r="EW127" i="3"/>
  <c r="EX127" i="3"/>
  <c r="EY127" i="3"/>
  <c r="EZ127" i="3"/>
  <c r="FA127" i="3"/>
  <c r="FB127" i="3"/>
  <c r="FC127" i="3"/>
  <c r="FD127" i="3"/>
  <c r="FE127" i="3"/>
  <c r="CI127" i="3" s="1"/>
  <c r="FF127" i="3"/>
  <c r="CJ127" i="3" s="1"/>
  <c r="EC128" i="3"/>
  <c r="BG128" i="3" s="1"/>
  <c r="ED128" i="3"/>
  <c r="BH128" i="3" s="1"/>
  <c r="EE128" i="3"/>
  <c r="EF128" i="3"/>
  <c r="BJ128" i="3" s="1"/>
  <c r="EG128" i="3"/>
  <c r="EH128" i="3"/>
  <c r="BL128" i="3" s="1"/>
  <c r="EI128" i="3"/>
  <c r="EJ128" i="3"/>
  <c r="EK128" i="3"/>
  <c r="EL128" i="3"/>
  <c r="BP128" i="3" s="1"/>
  <c r="EM128" i="3"/>
  <c r="EN128" i="3"/>
  <c r="EO128" i="3"/>
  <c r="BS128" i="3" s="1"/>
  <c r="EP128" i="3"/>
  <c r="BT128" i="3" s="1"/>
  <c r="EQ128" i="3"/>
  <c r="ER128" i="3"/>
  <c r="BV128" i="3" s="1"/>
  <c r="ES128" i="3"/>
  <c r="ET128" i="3"/>
  <c r="BX128" i="3" s="1"/>
  <c r="EU128" i="3"/>
  <c r="EV128" i="3"/>
  <c r="EW128" i="3"/>
  <c r="EX128" i="3"/>
  <c r="CB128" i="3" s="1"/>
  <c r="EY128" i="3"/>
  <c r="EZ128" i="3"/>
  <c r="FA128" i="3"/>
  <c r="CE128" i="3" s="1"/>
  <c r="FB128" i="3"/>
  <c r="CF128" i="3" s="1"/>
  <c r="FC128" i="3"/>
  <c r="FD128" i="3"/>
  <c r="CH128" i="3" s="1"/>
  <c r="FE128" i="3"/>
  <c r="FF128" i="3"/>
  <c r="CJ128" i="3" s="1"/>
  <c r="EC131" i="3"/>
  <c r="ED131" i="3"/>
  <c r="BH131" i="3" s="1"/>
  <c r="EE131" i="3"/>
  <c r="BI131" i="3" s="1"/>
  <c r="EF131" i="3"/>
  <c r="BJ131" i="3" s="1"/>
  <c r="EG131" i="3"/>
  <c r="EH131" i="3"/>
  <c r="EI131" i="3"/>
  <c r="BM131" i="3" s="1"/>
  <c r="EJ131" i="3"/>
  <c r="BN131" i="3" s="1"/>
  <c r="EK131" i="3"/>
  <c r="BO131" i="3" s="1"/>
  <c r="EL131" i="3"/>
  <c r="BP131" i="3" s="1"/>
  <c r="EM131" i="3"/>
  <c r="EN131" i="3"/>
  <c r="EO131" i="3"/>
  <c r="EP131" i="3"/>
  <c r="BT131" i="3" s="1"/>
  <c r="EQ131" i="3"/>
  <c r="BU131" i="3" s="1"/>
  <c r="ER131" i="3"/>
  <c r="BV131" i="3" s="1"/>
  <c r="ES131" i="3"/>
  <c r="ET131" i="3"/>
  <c r="EU131" i="3"/>
  <c r="BY131" i="3" s="1"/>
  <c r="EV131" i="3"/>
  <c r="BZ131" i="3" s="1"/>
  <c r="EW131" i="3"/>
  <c r="CA131" i="3" s="1"/>
  <c r="EX131" i="3"/>
  <c r="CB131" i="3" s="1"/>
  <c r="EY131" i="3"/>
  <c r="EZ131" i="3"/>
  <c r="FA131" i="3"/>
  <c r="FB131" i="3"/>
  <c r="CF131" i="3" s="1"/>
  <c r="FC131" i="3"/>
  <c r="CG131" i="3" s="1"/>
  <c r="FD131" i="3"/>
  <c r="CH131" i="3" s="1"/>
  <c r="FE131" i="3"/>
  <c r="FF131" i="3"/>
  <c r="EC132" i="3"/>
  <c r="ED132" i="3"/>
  <c r="EE132" i="3"/>
  <c r="BI132" i="3" s="1"/>
  <c r="EF132" i="3"/>
  <c r="BJ132" i="3" s="1"/>
  <c r="EG132" i="3"/>
  <c r="EH132" i="3"/>
  <c r="EI132" i="3"/>
  <c r="EJ132" i="3"/>
  <c r="EK132" i="3"/>
  <c r="BO132" i="3" s="1"/>
  <c r="EL132" i="3"/>
  <c r="EM132" i="3"/>
  <c r="EN132" i="3"/>
  <c r="EO132" i="3"/>
  <c r="EP132" i="3"/>
  <c r="EQ132" i="3"/>
  <c r="BU132" i="3" s="1"/>
  <c r="ER132" i="3"/>
  <c r="BV132" i="3" s="1"/>
  <c r="ES132" i="3"/>
  <c r="ET132" i="3"/>
  <c r="EU132" i="3"/>
  <c r="EV132" i="3"/>
  <c r="EW132" i="3"/>
  <c r="CA132" i="3" s="1"/>
  <c r="EX132" i="3"/>
  <c r="EY132" i="3"/>
  <c r="EZ132" i="3"/>
  <c r="FA132" i="3"/>
  <c r="FB132" i="3"/>
  <c r="FC132" i="3"/>
  <c r="CG132" i="3" s="1"/>
  <c r="FD132" i="3"/>
  <c r="CH132" i="3" s="1"/>
  <c r="FE132" i="3"/>
  <c r="FF132" i="3"/>
  <c r="DX120" i="3"/>
  <c r="DY120" i="3"/>
  <c r="DZ120" i="3"/>
  <c r="EA120" i="3"/>
  <c r="EB120" i="3"/>
  <c r="EC120" i="3"/>
  <c r="ED120" i="3"/>
  <c r="BH120" i="3" s="1"/>
  <c r="EE120" i="3"/>
  <c r="BI120" i="3" s="1"/>
  <c r="EF120" i="3"/>
  <c r="BJ120" i="3" s="1"/>
  <c r="EG120" i="3"/>
  <c r="BK120" i="3" s="1"/>
  <c r="EH120" i="3"/>
  <c r="EI120" i="3"/>
  <c r="EJ120" i="3"/>
  <c r="EK120" i="3"/>
  <c r="EL120" i="3"/>
  <c r="EM120" i="3"/>
  <c r="EN120" i="3"/>
  <c r="EO120" i="3"/>
  <c r="EP120" i="3"/>
  <c r="BT120" i="3" s="1"/>
  <c r="EQ120" i="3"/>
  <c r="BU120" i="3" s="1"/>
  <c r="ER120" i="3"/>
  <c r="BV120" i="3" s="1"/>
  <c r="ES120" i="3"/>
  <c r="BW120" i="3" s="1"/>
  <c r="ET120" i="3"/>
  <c r="EU120" i="3"/>
  <c r="EV120" i="3"/>
  <c r="EW120" i="3"/>
  <c r="EX120" i="3"/>
  <c r="EY120" i="3"/>
  <c r="EZ120" i="3"/>
  <c r="FA120" i="3"/>
  <c r="FB120" i="3"/>
  <c r="CF120" i="3" s="1"/>
  <c r="FC120" i="3"/>
  <c r="CG120" i="3" s="1"/>
  <c r="FD120" i="3"/>
  <c r="CH120" i="3" s="1"/>
  <c r="FE120" i="3"/>
  <c r="CI120" i="3" s="1"/>
  <c r="FF120" i="3"/>
  <c r="BE82" i="9"/>
  <c r="BF82" i="9"/>
  <c r="BG82" i="9"/>
  <c r="BH82" i="9"/>
  <c r="BI82" i="9"/>
  <c r="BJ82" i="9"/>
  <c r="BK82" i="9"/>
  <c r="BL82" i="9"/>
  <c r="BM82" i="9"/>
  <c r="BN82" i="9"/>
  <c r="BO82" i="9"/>
  <c r="BP82" i="9"/>
  <c r="BQ82" i="9"/>
  <c r="BR82" i="9"/>
  <c r="BS82" i="9"/>
  <c r="BT82" i="9"/>
  <c r="BU82" i="9"/>
  <c r="BV82" i="9"/>
  <c r="BW82" i="9"/>
  <c r="BX82" i="9"/>
  <c r="BY82" i="9"/>
  <c r="BZ82" i="9"/>
  <c r="CA82" i="9"/>
  <c r="BE83" i="9"/>
  <c r="BF83" i="9"/>
  <c r="BG83" i="9"/>
  <c r="BH83" i="9"/>
  <c r="BI83" i="9"/>
  <c r="BJ83" i="9"/>
  <c r="BK83" i="9"/>
  <c r="BL83" i="9"/>
  <c r="BM83" i="9"/>
  <c r="BN83" i="9"/>
  <c r="BO83" i="9"/>
  <c r="BP83" i="9"/>
  <c r="BQ83" i="9"/>
  <c r="BR83" i="9"/>
  <c r="BS83" i="9"/>
  <c r="BT83" i="9"/>
  <c r="BU83" i="9"/>
  <c r="BV83" i="9"/>
  <c r="BW83" i="9"/>
  <c r="BX83" i="9"/>
  <c r="BY83" i="9"/>
  <c r="BZ83" i="9"/>
  <c r="CA83" i="9"/>
  <c r="BC82" i="9"/>
  <c r="BC83" i="9"/>
  <c r="BB83" i="9"/>
  <c r="BB82" i="9"/>
  <c r="BD83" i="9"/>
  <c r="BD82" i="9"/>
  <c r="BA83" i="9"/>
  <c r="BA82" i="9"/>
  <c r="AZ83" i="9"/>
  <c r="AZ82" i="9"/>
  <c r="AU82" i="9"/>
  <c r="AV82" i="9"/>
  <c r="AW82" i="9"/>
  <c r="AX82" i="9"/>
  <c r="AY82" i="9"/>
  <c r="AY24" i="9" s="1"/>
  <c r="O17" i="14" s="1"/>
  <c r="AU83" i="9"/>
  <c r="AV83" i="9"/>
  <c r="AW83" i="9"/>
  <c r="AX83" i="9"/>
  <c r="AY83" i="9"/>
  <c r="AY25" i="9" s="1"/>
  <c r="O18" i="14" s="1"/>
  <c r="AT83" i="9"/>
  <c r="AT82" i="9"/>
  <c r="AS83" i="9"/>
  <c r="AS82" i="9"/>
  <c r="AT25" i="9"/>
  <c r="L18" i="14" s="1"/>
  <c r="BP53" i="9"/>
  <c r="BQ53" i="9"/>
  <c r="BR53" i="9"/>
  <c r="BS53" i="9"/>
  <c r="BT53" i="9"/>
  <c r="BU53" i="9"/>
  <c r="BV53" i="9"/>
  <c r="BW53" i="9"/>
  <c r="BX53" i="9"/>
  <c r="BY53" i="9"/>
  <c r="BZ53" i="9"/>
  <c r="CA53" i="9"/>
  <c r="BP54" i="9"/>
  <c r="BQ54" i="9"/>
  <c r="BR54" i="9"/>
  <c r="BS54" i="9"/>
  <c r="BT54" i="9"/>
  <c r="BU54" i="9"/>
  <c r="BV54" i="9"/>
  <c r="BW54" i="9"/>
  <c r="BX54" i="9"/>
  <c r="BY54" i="9"/>
  <c r="BZ54" i="9"/>
  <c r="CA54" i="9"/>
  <c r="BP55" i="9"/>
  <c r="BQ55" i="9"/>
  <c r="BR55" i="9"/>
  <c r="BS55" i="9"/>
  <c r="BT55" i="9"/>
  <c r="BU55" i="9"/>
  <c r="BV55" i="9"/>
  <c r="BW55" i="9"/>
  <c r="BX55" i="9"/>
  <c r="BY55" i="9"/>
  <c r="BZ55" i="9"/>
  <c r="CA55" i="9"/>
  <c r="BO53" i="9"/>
  <c r="BO54" i="9"/>
  <c r="BO55" i="9"/>
  <c r="BL53" i="9"/>
  <c r="BM53" i="9"/>
  <c r="BN53" i="9"/>
  <c r="BL54" i="9"/>
  <c r="BM54" i="9"/>
  <c r="BN54" i="9"/>
  <c r="BL55" i="9"/>
  <c r="BM55" i="9"/>
  <c r="BN55" i="9"/>
  <c r="BK53" i="9"/>
  <c r="BK54" i="9"/>
  <c r="BK55" i="9"/>
  <c r="BG53" i="9"/>
  <c r="BH53" i="9"/>
  <c r="BI53" i="9"/>
  <c r="BJ53" i="9"/>
  <c r="BG54" i="9"/>
  <c r="BH54" i="9"/>
  <c r="BI54" i="9"/>
  <c r="BJ54" i="9"/>
  <c r="BG55" i="9"/>
  <c r="BH55" i="9"/>
  <c r="BI55" i="9"/>
  <c r="BJ55" i="9"/>
  <c r="BF53" i="9"/>
  <c r="BF54" i="9"/>
  <c r="BF55" i="9"/>
  <c r="BE53" i="9"/>
  <c r="BE54" i="9"/>
  <c r="BE55" i="9"/>
  <c r="BD53" i="9"/>
  <c r="BD54" i="9"/>
  <c r="BD55" i="9"/>
  <c r="BC53" i="9"/>
  <c r="BC54" i="9"/>
  <c r="BC55" i="9"/>
  <c r="BB53" i="9"/>
  <c r="BB54" i="9"/>
  <c r="BB55" i="9"/>
  <c r="BA53" i="9"/>
  <c r="BA54" i="9"/>
  <c r="BA55" i="9"/>
  <c r="AU53" i="9"/>
  <c r="AV53" i="9"/>
  <c r="AV24" i="9" s="1"/>
  <c r="N17" i="14" s="1"/>
  <c r="AW53" i="9"/>
  <c r="AX53" i="9"/>
  <c r="AY53" i="9"/>
  <c r="AZ53" i="9"/>
  <c r="AU54" i="9"/>
  <c r="AU25" i="9" s="1"/>
  <c r="AV54" i="9"/>
  <c r="AW54" i="9"/>
  <c r="AX54" i="9"/>
  <c r="AY54" i="9"/>
  <c r="AZ54" i="9"/>
  <c r="AT53" i="9"/>
  <c r="AT54" i="9"/>
  <c r="AW24" i="9"/>
  <c r="M17" i="14" s="1"/>
  <c r="AS54" i="9"/>
  <c r="AS53" i="9"/>
  <c r="L54" i="9"/>
  <c r="M54" i="9"/>
  <c r="N54" i="9"/>
  <c r="O54" i="9"/>
  <c r="P54" i="9"/>
  <c r="K54" i="9"/>
  <c r="U17" i="14"/>
  <c r="V17" i="14"/>
  <c r="W17" i="14"/>
  <c r="X17" i="14"/>
  <c r="Y17" i="14"/>
  <c r="Z17" i="14"/>
  <c r="Q18" i="14"/>
  <c r="U18" i="14"/>
  <c r="V18" i="14"/>
  <c r="W18" i="14"/>
  <c r="X18" i="14"/>
  <c r="Y18" i="14"/>
  <c r="Z18" i="14"/>
  <c r="I54" i="9"/>
  <c r="F54" i="9"/>
  <c r="B17" i="14"/>
  <c r="C17" i="14"/>
  <c r="D17" i="14"/>
  <c r="B18" i="14"/>
  <c r="C18" i="14"/>
  <c r="D18" i="14"/>
  <c r="H83" i="9"/>
  <c r="D82" i="9"/>
  <c r="D83" i="9"/>
  <c r="C83" i="9"/>
  <c r="C82" i="9"/>
  <c r="C54" i="9"/>
  <c r="D54" i="9"/>
  <c r="C53" i="9"/>
  <c r="D53" i="9"/>
  <c r="B54" i="9"/>
  <c r="B53" i="9"/>
  <c r="H168" i="2"/>
  <c r="H167" i="2"/>
  <c r="H166" i="2"/>
  <c r="N151" i="3"/>
  <c r="J137" i="3"/>
  <c r="J140" i="3"/>
  <c r="H160" i="2"/>
  <c r="H158" i="2"/>
  <c r="H157" i="2"/>
  <c r="D81" i="9"/>
  <c r="H81" i="9"/>
  <c r="K16" i="14"/>
  <c r="L16" i="14"/>
  <c r="M16" i="14"/>
  <c r="N16" i="14"/>
  <c r="O16" i="14"/>
  <c r="P16" i="14"/>
  <c r="F16" i="14"/>
  <c r="B16" i="14"/>
  <c r="C16" i="14"/>
  <c r="CI128" i="3"/>
  <c r="CG128" i="3"/>
  <c r="CD128" i="3"/>
  <c r="CC128" i="3"/>
  <c r="CA128" i="3"/>
  <c r="BZ128" i="3"/>
  <c r="BY128" i="3"/>
  <c r="BW128" i="3"/>
  <c r="BU128" i="3"/>
  <c r="BR128" i="3"/>
  <c r="BQ128" i="3"/>
  <c r="BO128" i="3"/>
  <c r="BN128" i="3"/>
  <c r="BM128" i="3"/>
  <c r="BK128" i="3"/>
  <c r="BI128" i="3"/>
  <c r="BF128" i="3"/>
  <c r="BC128" i="3"/>
  <c r="BB128" i="3"/>
  <c r="CH127" i="3"/>
  <c r="CG127" i="3"/>
  <c r="CF127" i="3"/>
  <c r="CE127" i="3"/>
  <c r="CD127" i="3"/>
  <c r="CC127" i="3"/>
  <c r="CB127" i="3"/>
  <c r="CA127" i="3"/>
  <c r="BV127" i="3"/>
  <c r="BU127" i="3"/>
  <c r="BT127" i="3"/>
  <c r="BS127" i="3"/>
  <c r="BR127" i="3"/>
  <c r="BQ127" i="3"/>
  <c r="BP127" i="3"/>
  <c r="BO127" i="3"/>
  <c r="BJ127" i="3"/>
  <c r="BI127" i="3"/>
  <c r="BH127" i="3"/>
  <c r="BG127" i="3"/>
  <c r="BC127" i="3"/>
  <c r="BB127" i="3"/>
  <c r="BB131" i="3"/>
  <c r="BC131" i="3"/>
  <c r="BF131" i="3"/>
  <c r="BG131" i="3"/>
  <c r="BK131" i="3"/>
  <c r="BL131" i="3"/>
  <c r="BQ131" i="3"/>
  <c r="BR131" i="3"/>
  <c r="BS131" i="3"/>
  <c r="BW131" i="3"/>
  <c r="BX131" i="3"/>
  <c r="CC131" i="3"/>
  <c r="CD131" i="3"/>
  <c r="CE131" i="3"/>
  <c r="CI131" i="3"/>
  <c r="CJ131" i="3"/>
  <c r="BG132" i="3"/>
  <c r="BH132" i="3"/>
  <c r="BK132" i="3"/>
  <c r="BL132" i="3"/>
  <c r="BM132" i="3"/>
  <c r="BN132" i="3"/>
  <c r="BP132" i="3"/>
  <c r="BQ132" i="3"/>
  <c r="BR132" i="3"/>
  <c r="BS132" i="3"/>
  <c r="BT132" i="3"/>
  <c r="BW132" i="3"/>
  <c r="BX132" i="3"/>
  <c r="BY132" i="3"/>
  <c r="BZ132" i="3"/>
  <c r="CB132" i="3"/>
  <c r="CC132" i="3"/>
  <c r="CD132" i="3"/>
  <c r="CE132" i="3"/>
  <c r="CF132" i="3"/>
  <c r="CI132" i="3"/>
  <c r="CJ132" i="3"/>
  <c r="N132" i="3"/>
  <c r="J132" i="3"/>
  <c r="M132" i="3"/>
  <c r="M131" i="3"/>
  <c r="N131" i="3"/>
  <c r="J131" i="3"/>
  <c r="J130" i="3"/>
  <c r="J128" i="3"/>
  <c r="N128" i="3" s="1"/>
  <c r="M127" i="3"/>
  <c r="N127" i="3"/>
  <c r="M128" i="3"/>
  <c r="G514" i="6"/>
  <c r="G509" i="6"/>
  <c r="G508" i="6"/>
  <c r="G502" i="6"/>
  <c r="H147" i="2"/>
  <c r="H80" i="9"/>
  <c r="H79" i="9"/>
  <c r="K15" i="14"/>
  <c r="L15" i="14"/>
  <c r="M15" i="14"/>
  <c r="N15" i="14"/>
  <c r="O15" i="14"/>
  <c r="P15" i="14"/>
  <c r="F15" i="14"/>
  <c r="B15" i="14"/>
  <c r="C15" i="14"/>
  <c r="D15" i="14"/>
  <c r="BB120" i="3"/>
  <c r="BC120" i="3"/>
  <c r="BD120" i="3"/>
  <c r="BE120" i="3"/>
  <c r="BF120" i="3"/>
  <c r="BG120" i="3"/>
  <c r="BL120" i="3"/>
  <c r="BM120" i="3"/>
  <c r="BN120" i="3"/>
  <c r="BO120" i="3"/>
  <c r="BP120" i="3"/>
  <c r="BQ120" i="3"/>
  <c r="BR120" i="3"/>
  <c r="BS120" i="3"/>
  <c r="BX120" i="3"/>
  <c r="BY120" i="3"/>
  <c r="BZ120" i="3"/>
  <c r="CA120" i="3"/>
  <c r="CB120" i="3"/>
  <c r="CC120" i="3"/>
  <c r="CD120" i="3"/>
  <c r="CE120" i="3"/>
  <c r="CJ120" i="3"/>
  <c r="J123" i="3"/>
  <c r="H141" i="2"/>
  <c r="M120" i="3"/>
  <c r="N120" i="3"/>
  <c r="H138" i="2"/>
  <c r="J119" i="3"/>
  <c r="H137" i="2"/>
  <c r="H135" i="2"/>
  <c r="DX113" i="3"/>
  <c r="DY113" i="3"/>
  <c r="DZ113" i="3"/>
  <c r="EA113" i="3"/>
  <c r="EB113" i="3"/>
  <c r="EC113" i="3"/>
  <c r="ED113" i="3"/>
  <c r="EE113" i="3"/>
  <c r="EF113" i="3"/>
  <c r="EG113" i="3"/>
  <c r="EH113" i="3"/>
  <c r="EI113" i="3"/>
  <c r="EJ113" i="3"/>
  <c r="EK113" i="3"/>
  <c r="EL113" i="3"/>
  <c r="EM113" i="3"/>
  <c r="EN113" i="3"/>
  <c r="EO113" i="3"/>
  <c r="EP113" i="3"/>
  <c r="EQ113" i="3"/>
  <c r="ER113" i="3"/>
  <c r="ES113" i="3"/>
  <c r="ET113" i="3"/>
  <c r="EU113" i="3"/>
  <c r="EV113" i="3"/>
  <c r="EW113" i="3"/>
  <c r="EX113" i="3"/>
  <c r="EY113" i="3"/>
  <c r="EZ113" i="3"/>
  <c r="FA113" i="3"/>
  <c r="FB113" i="3"/>
  <c r="FC113" i="3"/>
  <c r="FD113" i="3"/>
  <c r="FE113" i="3"/>
  <c r="FF113" i="3"/>
  <c r="DX114" i="3"/>
  <c r="DY114" i="3"/>
  <c r="DZ114" i="3"/>
  <c r="EA114" i="3"/>
  <c r="EB114" i="3"/>
  <c r="EC114" i="3"/>
  <c r="ED114" i="3"/>
  <c r="EE114" i="3"/>
  <c r="EF114" i="3"/>
  <c r="EG114" i="3"/>
  <c r="EH114" i="3"/>
  <c r="EI114" i="3"/>
  <c r="EJ114" i="3"/>
  <c r="EK114" i="3"/>
  <c r="EL114" i="3"/>
  <c r="EM114" i="3"/>
  <c r="EN114" i="3"/>
  <c r="EO114" i="3"/>
  <c r="EP114" i="3"/>
  <c r="EQ114" i="3"/>
  <c r="ER114" i="3"/>
  <c r="ES114" i="3"/>
  <c r="ET114" i="3"/>
  <c r="EU114" i="3"/>
  <c r="EV114" i="3"/>
  <c r="EW114" i="3"/>
  <c r="EX114" i="3"/>
  <c r="EY114" i="3"/>
  <c r="EZ114" i="3"/>
  <c r="FA114" i="3"/>
  <c r="FB114" i="3"/>
  <c r="FC114" i="3"/>
  <c r="FD114" i="3"/>
  <c r="FE114" i="3"/>
  <c r="FF114" i="3"/>
  <c r="H127" i="2"/>
  <c r="H125" i="2"/>
  <c r="J114" i="3"/>
  <c r="J112" i="3"/>
  <c r="J113" i="3"/>
  <c r="H131" i="2"/>
  <c r="H130" i="2"/>
  <c r="H129" i="2"/>
  <c r="K14" i="14"/>
  <c r="L14" i="14"/>
  <c r="N14" i="14"/>
  <c r="P14" i="14"/>
  <c r="AU52" i="9"/>
  <c r="AV52" i="9"/>
  <c r="AW52" i="9"/>
  <c r="AX52" i="9"/>
  <c r="AZ52" i="9"/>
  <c r="AT51" i="9"/>
  <c r="AU51" i="9"/>
  <c r="AV51" i="9"/>
  <c r="AW51" i="9"/>
  <c r="AX51" i="9"/>
  <c r="AY51" i="9"/>
  <c r="AZ51" i="9"/>
  <c r="AT50" i="9"/>
  <c r="AU50" i="9"/>
  <c r="AV50" i="9"/>
  <c r="AX50" i="9"/>
  <c r="AZ50" i="9"/>
  <c r="AT49" i="9"/>
  <c r="AU49" i="9"/>
  <c r="AV49" i="9"/>
  <c r="AW49" i="9"/>
  <c r="AX49" i="9"/>
  <c r="AY49" i="9"/>
  <c r="AZ49" i="9"/>
  <c r="AT48" i="9"/>
  <c r="AU48" i="9"/>
  <c r="AV48" i="9"/>
  <c r="AW48" i="9"/>
  <c r="AX48" i="9"/>
  <c r="AY48" i="9"/>
  <c r="AZ48" i="9"/>
  <c r="AT47" i="9"/>
  <c r="AU47" i="9"/>
  <c r="AV47" i="9"/>
  <c r="AW47" i="9"/>
  <c r="AX47" i="9"/>
  <c r="AY47" i="9"/>
  <c r="AZ47" i="9"/>
  <c r="AT46" i="9"/>
  <c r="AU46" i="9"/>
  <c r="AV46" i="9"/>
  <c r="AW46" i="9"/>
  <c r="AX46" i="9"/>
  <c r="AY46" i="9"/>
  <c r="AZ46" i="9"/>
  <c r="AT45" i="9"/>
  <c r="AU45" i="9"/>
  <c r="AV45" i="9"/>
  <c r="AW45" i="9"/>
  <c r="AX45" i="9"/>
  <c r="AY45" i="9"/>
  <c r="AZ45" i="9"/>
  <c r="AT44" i="9"/>
  <c r="AU44" i="9"/>
  <c r="AV44" i="9"/>
  <c r="AW44" i="9"/>
  <c r="AX44" i="9"/>
  <c r="AY44" i="9"/>
  <c r="AZ44" i="9"/>
  <c r="AS51" i="9"/>
  <c r="AS50" i="9"/>
  <c r="AS49" i="9"/>
  <c r="AS48" i="9"/>
  <c r="AS47" i="9"/>
  <c r="BE48" i="9"/>
  <c r="H78" i="9"/>
  <c r="DX100" i="3"/>
  <c r="DY100" i="3"/>
  <c r="BC100" i="3" s="1"/>
  <c r="DZ100" i="3"/>
  <c r="EA100" i="3"/>
  <c r="EB100" i="3"/>
  <c r="BF100" i="3" s="1"/>
  <c r="EC100" i="3"/>
  <c r="BG100" i="3" s="1"/>
  <c r="ED100" i="3"/>
  <c r="BH100" i="3" s="1"/>
  <c r="EE100" i="3"/>
  <c r="BI100" i="3" s="1"/>
  <c r="EF100" i="3"/>
  <c r="BJ100" i="3" s="1"/>
  <c r="EG100" i="3"/>
  <c r="BK100" i="3" s="1"/>
  <c r="EH100" i="3"/>
  <c r="EI100" i="3"/>
  <c r="EJ100" i="3"/>
  <c r="EK100" i="3"/>
  <c r="BO100" i="3" s="1"/>
  <c r="EL100" i="3"/>
  <c r="EM100" i="3"/>
  <c r="EN100" i="3"/>
  <c r="BR100" i="3" s="1"/>
  <c r="EO100" i="3"/>
  <c r="BS100" i="3" s="1"/>
  <c r="EP100" i="3"/>
  <c r="BT100" i="3" s="1"/>
  <c r="EQ100" i="3"/>
  <c r="BU100" i="3" s="1"/>
  <c r="ER100" i="3"/>
  <c r="BV100" i="3" s="1"/>
  <c r="ES100" i="3"/>
  <c r="BW100" i="3" s="1"/>
  <c r="ET100" i="3"/>
  <c r="EU100" i="3"/>
  <c r="EV100" i="3"/>
  <c r="EW100" i="3"/>
  <c r="CA100" i="3" s="1"/>
  <c r="EX100" i="3"/>
  <c r="EY100" i="3"/>
  <c r="EZ100" i="3"/>
  <c r="CD100" i="3" s="1"/>
  <c r="FA100" i="3"/>
  <c r="CE100" i="3" s="1"/>
  <c r="FB100" i="3"/>
  <c r="CF100" i="3" s="1"/>
  <c r="FC100" i="3"/>
  <c r="CG100" i="3" s="1"/>
  <c r="FD100" i="3"/>
  <c r="CH100" i="3" s="1"/>
  <c r="FE100" i="3"/>
  <c r="CI100" i="3" s="1"/>
  <c r="FF100" i="3"/>
  <c r="BB100" i="3"/>
  <c r="BD100" i="3"/>
  <c r="BE100" i="3"/>
  <c r="BL100" i="3"/>
  <c r="BM100" i="3"/>
  <c r="BN100" i="3"/>
  <c r="BP100" i="3"/>
  <c r="BQ100" i="3"/>
  <c r="BX100" i="3"/>
  <c r="BY100" i="3"/>
  <c r="BZ100" i="3"/>
  <c r="CB100" i="3"/>
  <c r="CC100" i="3"/>
  <c r="CJ100" i="3"/>
  <c r="F13" i="14"/>
  <c r="D13" i="14"/>
  <c r="C13" i="14"/>
  <c r="B13" i="14"/>
  <c r="J101" i="3"/>
  <c r="J104" i="3"/>
  <c r="M100" i="3"/>
  <c r="N100" i="3"/>
  <c r="G388" i="6"/>
  <c r="G382" i="6"/>
  <c r="H116" i="2"/>
  <c r="H117" i="2"/>
  <c r="H115" i="2"/>
  <c r="Z12" i="14"/>
  <c r="Y12" i="14"/>
  <c r="X12" i="14"/>
  <c r="W12" i="14"/>
  <c r="V12" i="14"/>
  <c r="U12" i="14"/>
  <c r="T12" i="14"/>
  <c r="S12" i="14"/>
  <c r="R12" i="14"/>
  <c r="Q12" i="14"/>
  <c r="F12" i="14"/>
  <c r="G12" i="14"/>
  <c r="H12" i="14"/>
  <c r="B12" i="14"/>
  <c r="C12" i="14"/>
  <c r="D12" i="14"/>
  <c r="G346" i="6"/>
  <c r="H110" i="2"/>
  <c r="J94" i="3"/>
  <c r="H109" i="2"/>
  <c r="H106" i="2"/>
  <c r="H107" i="2"/>
  <c r="U11" i="14"/>
  <c r="V11" i="14"/>
  <c r="W11" i="14"/>
  <c r="X11" i="14"/>
  <c r="Y11" i="14"/>
  <c r="Z11" i="14"/>
  <c r="Q11" i="14"/>
  <c r="R11" i="14"/>
  <c r="S11" i="14"/>
  <c r="T11" i="14"/>
  <c r="F11" i="14"/>
  <c r="G11" i="14"/>
  <c r="H11" i="14"/>
  <c r="B11" i="14"/>
  <c r="C11" i="14"/>
  <c r="D11" i="14"/>
  <c r="DX83" i="3"/>
  <c r="DY83" i="3"/>
  <c r="DZ83" i="3"/>
  <c r="EA83" i="3"/>
  <c r="EB83" i="3"/>
  <c r="EC83" i="3"/>
  <c r="ED83" i="3"/>
  <c r="EE83" i="3"/>
  <c r="EF83" i="3"/>
  <c r="EG83" i="3"/>
  <c r="EH83" i="3"/>
  <c r="EI83" i="3"/>
  <c r="EJ83" i="3"/>
  <c r="EK83" i="3"/>
  <c r="EL83" i="3"/>
  <c r="EM83" i="3"/>
  <c r="EN83" i="3"/>
  <c r="EO83" i="3"/>
  <c r="EP83" i="3"/>
  <c r="EQ83" i="3"/>
  <c r="ER83" i="3"/>
  <c r="ES83" i="3"/>
  <c r="ET83" i="3"/>
  <c r="EU83" i="3"/>
  <c r="EV83" i="3"/>
  <c r="EW83" i="3"/>
  <c r="EX83" i="3"/>
  <c r="EY83" i="3"/>
  <c r="EZ83" i="3"/>
  <c r="FA83" i="3"/>
  <c r="FB83" i="3"/>
  <c r="FC83" i="3"/>
  <c r="FD83" i="3"/>
  <c r="FE83" i="3"/>
  <c r="FF83" i="3"/>
  <c r="J86" i="3"/>
  <c r="J84" i="3"/>
  <c r="J83" i="3"/>
  <c r="N83" i="3" s="1"/>
  <c r="M83" i="3"/>
  <c r="H100" i="2"/>
  <c r="H101" i="2"/>
  <c r="H98" i="2"/>
  <c r="H97" i="2"/>
  <c r="H95" i="2"/>
  <c r="BQ44" i="9"/>
  <c r="BR44" i="9"/>
  <c r="BS44" i="9"/>
  <c r="BT44" i="9"/>
  <c r="BU44" i="9"/>
  <c r="BV44" i="9"/>
  <c r="BW44" i="9"/>
  <c r="BX44" i="9"/>
  <c r="BY44" i="9"/>
  <c r="BZ44" i="9"/>
  <c r="CA44" i="9"/>
  <c r="BQ45" i="9"/>
  <c r="BR45" i="9"/>
  <c r="BS45" i="9"/>
  <c r="BT45" i="9"/>
  <c r="BU45" i="9"/>
  <c r="BV45" i="9"/>
  <c r="BW45" i="9"/>
  <c r="BX45" i="9"/>
  <c r="BY45" i="9"/>
  <c r="BZ45" i="9"/>
  <c r="CA45" i="9"/>
  <c r="BQ46" i="9"/>
  <c r="BR46" i="9"/>
  <c r="BS46" i="9"/>
  <c r="BT46" i="9"/>
  <c r="BU46" i="9"/>
  <c r="BV46" i="9"/>
  <c r="BW46" i="9"/>
  <c r="BX46" i="9"/>
  <c r="BY46" i="9"/>
  <c r="BZ46" i="9"/>
  <c r="CA46" i="9"/>
  <c r="BQ47" i="9"/>
  <c r="BR47" i="9"/>
  <c r="BS47" i="9"/>
  <c r="BT47" i="9"/>
  <c r="BU47" i="9"/>
  <c r="BV47" i="9"/>
  <c r="BW47" i="9"/>
  <c r="BX47" i="9"/>
  <c r="BY47" i="9"/>
  <c r="BZ47" i="9"/>
  <c r="CA47" i="9"/>
  <c r="BP47" i="9"/>
  <c r="BP46" i="9"/>
  <c r="BP45" i="9"/>
  <c r="BP44" i="9"/>
  <c r="BL44" i="9"/>
  <c r="BM44" i="9"/>
  <c r="BN44" i="9"/>
  <c r="BO44" i="9"/>
  <c r="BL45" i="9"/>
  <c r="BM45" i="9"/>
  <c r="BN45" i="9"/>
  <c r="BO45" i="9"/>
  <c r="BL46" i="9"/>
  <c r="BM46" i="9"/>
  <c r="BN46" i="9"/>
  <c r="BO46" i="9"/>
  <c r="BL47" i="9"/>
  <c r="BM47" i="9"/>
  <c r="BN47" i="9"/>
  <c r="BO47" i="9"/>
  <c r="BK47" i="9"/>
  <c r="BK46" i="9"/>
  <c r="BK45" i="9"/>
  <c r="BK44" i="9"/>
  <c r="BF44" i="9"/>
  <c r="BG44" i="9"/>
  <c r="BH44" i="9"/>
  <c r="BI44" i="9"/>
  <c r="BJ44" i="9"/>
  <c r="BF45" i="9"/>
  <c r="BG45" i="9"/>
  <c r="BH45" i="9"/>
  <c r="BI45" i="9"/>
  <c r="BJ45" i="9"/>
  <c r="BF46" i="9"/>
  <c r="BG46" i="9"/>
  <c r="BH46" i="9"/>
  <c r="BI46" i="9"/>
  <c r="BJ46" i="9"/>
  <c r="BF47" i="9"/>
  <c r="BG47" i="9"/>
  <c r="BH47" i="9"/>
  <c r="BI47" i="9"/>
  <c r="BJ47" i="9"/>
  <c r="BE47" i="9"/>
  <c r="BE46" i="9"/>
  <c r="BE45" i="9"/>
  <c r="BE44" i="9"/>
  <c r="BB44" i="9"/>
  <c r="BC44" i="9"/>
  <c r="BD44" i="9"/>
  <c r="BB45" i="9"/>
  <c r="BC45" i="9"/>
  <c r="BD45" i="9"/>
  <c r="BB46" i="9"/>
  <c r="BC46" i="9"/>
  <c r="BD46" i="9"/>
  <c r="BB47" i="9"/>
  <c r="BC47" i="9"/>
  <c r="BD47" i="9"/>
  <c r="BA47" i="9"/>
  <c r="BA46" i="9"/>
  <c r="BA45" i="9"/>
  <c r="BA44" i="9"/>
  <c r="AS46" i="9"/>
  <c r="AS45" i="9"/>
  <c r="AS44" i="9"/>
  <c r="AS40" i="9"/>
  <c r="AT40" i="9"/>
  <c r="AU40" i="9"/>
  <c r="AV40" i="9"/>
  <c r="AW40" i="9"/>
  <c r="AX40" i="9"/>
  <c r="AY40" i="9"/>
  <c r="AZ40" i="9"/>
  <c r="AS41" i="9"/>
  <c r="AT41" i="9"/>
  <c r="AU41" i="9"/>
  <c r="AV41" i="9"/>
  <c r="AW41" i="9"/>
  <c r="AX41" i="9"/>
  <c r="AY41" i="9"/>
  <c r="AZ41" i="9"/>
  <c r="AS42" i="9"/>
  <c r="AT42" i="9"/>
  <c r="AU42" i="9"/>
  <c r="AV42" i="9"/>
  <c r="AW42" i="9"/>
  <c r="AX42" i="9"/>
  <c r="AY42" i="9"/>
  <c r="AZ42" i="9"/>
  <c r="AS43" i="9"/>
  <c r="AT43" i="9"/>
  <c r="AU43" i="9"/>
  <c r="AV43" i="9"/>
  <c r="AW43" i="9"/>
  <c r="AX43" i="9"/>
  <c r="AY43" i="9"/>
  <c r="AZ43" i="9"/>
  <c r="AX24" i="9"/>
  <c r="P17" i="14" s="1"/>
  <c r="AZ24" i="9"/>
  <c r="AZ25" i="9"/>
  <c r="AS55" i="9"/>
  <c r="AT55" i="9"/>
  <c r="AT26" i="9" s="1"/>
  <c r="AU55" i="9"/>
  <c r="AU26" i="9" s="1"/>
  <c r="AV55" i="9"/>
  <c r="AV26" i="9" s="1"/>
  <c r="AW55" i="9"/>
  <c r="AX55" i="9"/>
  <c r="AY55" i="9"/>
  <c r="AY26" i="9" s="1"/>
  <c r="AZ55" i="9"/>
  <c r="AZ26" i="9" s="1"/>
  <c r="AS56" i="9"/>
  <c r="AT56" i="9"/>
  <c r="AU56" i="9"/>
  <c r="AV56" i="9"/>
  <c r="AW56" i="9"/>
  <c r="AX56" i="9"/>
  <c r="AY56" i="9"/>
  <c r="AZ56" i="9"/>
  <c r="AS57" i="9"/>
  <c r="AT57" i="9"/>
  <c r="AU57" i="9"/>
  <c r="AV57" i="9"/>
  <c r="AW57" i="9"/>
  <c r="AX57" i="9"/>
  <c r="AY57" i="9"/>
  <c r="AZ57" i="9"/>
  <c r="AS58" i="9"/>
  <c r="AT58" i="9"/>
  <c r="AU58" i="9"/>
  <c r="AV58" i="9"/>
  <c r="AW58" i="9"/>
  <c r="AX58" i="9"/>
  <c r="AY58" i="9"/>
  <c r="AZ58" i="9"/>
  <c r="AS59" i="9"/>
  <c r="AT59" i="9"/>
  <c r="AU59" i="9"/>
  <c r="AV59" i="9"/>
  <c r="AW59" i="9"/>
  <c r="AX59" i="9"/>
  <c r="AY59" i="9"/>
  <c r="AZ59" i="9"/>
  <c r="AS60" i="9"/>
  <c r="AT60" i="9"/>
  <c r="AU60" i="9"/>
  <c r="AV60" i="9"/>
  <c r="AW60" i="9"/>
  <c r="AX60" i="9"/>
  <c r="AY60" i="9"/>
  <c r="AZ60" i="9"/>
  <c r="AT39" i="9"/>
  <c r="AU39" i="9"/>
  <c r="AV39" i="9"/>
  <c r="AW39" i="9"/>
  <c r="AX39" i="9"/>
  <c r="AY39" i="9"/>
  <c r="AZ39" i="9"/>
  <c r="AS39" i="9"/>
  <c r="AW26" i="9"/>
  <c r="AX26" i="9"/>
  <c r="AT24" i="9"/>
  <c r="L17" i="14" s="1"/>
  <c r="AU24" i="9"/>
  <c r="AS26" i="9"/>
  <c r="DX63" i="3"/>
  <c r="DY63" i="3"/>
  <c r="DZ63" i="3"/>
  <c r="EA63" i="3"/>
  <c r="EB63" i="3"/>
  <c r="EC63" i="3"/>
  <c r="ED63" i="3"/>
  <c r="EE63" i="3"/>
  <c r="EF63" i="3"/>
  <c r="EG63" i="3"/>
  <c r="EH63" i="3"/>
  <c r="EI63" i="3"/>
  <c r="EJ63" i="3"/>
  <c r="EK63" i="3"/>
  <c r="EL63" i="3"/>
  <c r="EM63" i="3"/>
  <c r="EN63" i="3"/>
  <c r="EO63" i="3"/>
  <c r="EP63" i="3"/>
  <c r="EQ63" i="3"/>
  <c r="ER63" i="3"/>
  <c r="ES63" i="3"/>
  <c r="ET63" i="3"/>
  <c r="EU63" i="3"/>
  <c r="EV63" i="3"/>
  <c r="EW63" i="3"/>
  <c r="EX63" i="3"/>
  <c r="EY63" i="3"/>
  <c r="EZ63" i="3"/>
  <c r="FA63" i="3"/>
  <c r="FB63" i="3"/>
  <c r="FC63" i="3"/>
  <c r="FD63" i="3"/>
  <c r="FE63" i="3"/>
  <c r="FF63" i="3"/>
  <c r="DX64" i="3"/>
  <c r="DY64" i="3"/>
  <c r="DZ64" i="3"/>
  <c r="EA64" i="3"/>
  <c r="EB64" i="3"/>
  <c r="EC64" i="3"/>
  <c r="ED64" i="3"/>
  <c r="BH64" i="3" s="1"/>
  <c r="EE64" i="3"/>
  <c r="EF64" i="3"/>
  <c r="EG64" i="3"/>
  <c r="EH64" i="3"/>
  <c r="EI64" i="3"/>
  <c r="EJ64" i="3"/>
  <c r="EK64" i="3"/>
  <c r="EL64" i="3"/>
  <c r="EM64" i="3"/>
  <c r="EN64" i="3"/>
  <c r="EO64" i="3"/>
  <c r="EP64" i="3"/>
  <c r="EQ64" i="3"/>
  <c r="ER64" i="3"/>
  <c r="ES64" i="3"/>
  <c r="ET64" i="3"/>
  <c r="EU64" i="3"/>
  <c r="EV64" i="3"/>
  <c r="EW64" i="3"/>
  <c r="EX64" i="3"/>
  <c r="EY64" i="3"/>
  <c r="EZ64" i="3"/>
  <c r="FA64" i="3"/>
  <c r="FB64" i="3"/>
  <c r="CF64" i="3" s="1"/>
  <c r="FC64" i="3"/>
  <c r="FD64" i="3"/>
  <c r="FE64" i="3"/>
  <c r="FF64" i="3"/>
  <c r="DX73" i="3"/>
  <c r="DY73" i="3"/>
  <c r="DZ73" i="3"/>
  <c r="EA73" i="3"/>
  <c r="EB73" i="3"/>
  <c r="EC73" i="3"/>
  <c r="ED73" i="3"/>
  <c r="BH73" i="3" s="1"/>
  <c r="EE73" i="3"/>
  <c r="BI73" i="3" s="1"/>
  <c r="EF73" i="3"/>
  <c r="EG73" i="3"/>
  <c r="EH73" i="3"/>
  <c r="EI73" i="3"/>
  <c r="EJ73" i="3"/>
  <c r="EK73" i="3"/>
  <c r="EL73" i="3"/>
  <c r="EM73" i="3"/>
  <c r="EN73" i="3"/>
  <c r="EO73" i="3"/>
  <c r="EP73" i="3"/>
  <c r="BT73" i="3" s="1"/>
  <c r="EQ73" i="3"/>
  <c r="BU73" i="3" s="1"/>
  <c r="ER73" i="3"/>
  <c r="ES73" i="3"/>
  <c r="ET73" i="3"/>
  <c r="EU73" i="3"/>
  <c r="EV73" i="3"/>
  <c r="EW73" i="3"/>
  <c r="EX73" i="3"/>
  <c r="EY73" i="3"/>
  <c r="EZ73" i="3"/>
  <c r="FA73" i="3"/>
  <c r="FB73" i="3"/>
  <c r="FC73" i="3"/>
  <c r="FD73" i="3"/>
  <c r="CH73" i="3" s="1"/>
  <c r="FE73" i="3"/>
  <c r="FF73" i="3"/>
  <c r="B10" i="14"/>
  <c r="H91" i="2"/>
  <c r="J78" i="3"/>
  <c r="J76" i="3"/>
  <c r="J77" i="3"/>
  <c r="H90" i="2"/>
  <c r="H89" i="2"/>
  <c r="E86" i="2"/>
  <c r="H250" i="6"/>
  <c r="M73" i="3"/>
  <c r="N73" i="3"/>
  <c r="BN73" i="3" s="1"/>
  <c r="B9" i="14"/>
  <c r="H80" i="2"/>
  <c r="H81" i="2"/>
  <c r="J69" i="3"/>
  <c r="J68" i="3"/>
  <c r="J65" i="3"/>
  <c r="J64" i="3"/>
  <c r="N64" i="3" s="1"/>
  <c r="BB64" i="3" s="1"/>
  <c r="M63" i="3"/>
  <c r="M64" i="3"/>
  <c r="J63" i="3"/>
  <c r="N63" i="3" s="1"/>
  <c r="H76" i="2"/>
  <c r="H75" i="2"/>
  <c r="G190" i="6"/>
  <c r="AX25" i="9" l="1"/>
  <c r="P18" i="14" s="1"/>
  <c r="AW25" i="9"/>
  <c r="M18" i="14" s="1"/>
  <c r="AV25" i="9"/>
  <c r="N18" i="14" s="1"/>
  <c r="AS24" i="9"/>
  <c r="K17" i="14" s="1"/>
  <c r="I12" i="14"/>
  <c r="I11" i="14"/>
  <c r="CB73" i="3"/>
  <c r="BV73" i="3"/>
  <c r="BJ73" i="3"/>
  <c r="BG73" i="3"/>
  <c r="BS73" i="3"/>
  <c r="CA73" i="3"/>
  <c r="BZ73" i="3"/>
  <c r="BE73" i="3"/>
  <c r="BD73" i="3"/>
  <c r="BF73" i="3"/>
  <c r="BF64" i="3"/>
  <c r="BS64" i="3"/>
  <c r="CE64" i="3"/>
  <c r="BD64" i="3"/>
  <c r="BY64" i="3"/>
  <c r="BT64" i="3"/>
  <c r="BR73" i="3"/>
  <c r="BQ73" i="3"/>
  <c r="BY73" i="3"/>
  <c r="BM73" i="3"/>
  <c r="BX64" i="3"/>
  <c r="BL64" i="3"/>
  <c r="CJ73" i="3"/>
  <c r="BP64" i="3"/>
  <c r="CD73" i="3"/>
  <c r="BO73" i="3"/>
  <c r="CI73" i="3"/>
  <c r="BW73" i="3"/>
  <c r="BK73" i="3"/>
  <c r="BE64" i="3"/>
  <c r="CB64" i="3"/>
  <c r="CG73" i="3"/>
  <c r="BC73" i="3"/>
  <c r="BR64" i="3"/>
  <c r="CF73" i="3"/>
  <c r="BB73" i="3"/>
  <c r="CJ64" i="3"/>
  <c r="BQ64" i="3"/>
  <c r="CE73" i="3"/>
  <c r="BP73" i="3"/>
  <c r="BX73" i="3"/>
  <c r="BL73" i="3"/>
  <c r="BM64" i="3"/>
  <c r="CC73" i="3"/>
  <c r="CD64" i="3"/>
  <c r="BG64" i="3"/>
  <c r="CC64" i="3"/>
  <c r="CC63" i="3"/>
  <c r="BM63" i="3"/>
  <c r="BY63" i="3"/>
  <c r="BB63" i="3"/>
  <c r="BN63" i="3"/>
  <c r="BZ63" i="3"/>
  <c r="BC63" i="3"/>
  <c r="BO63" i="3"/>
  <c r="CA63" i="3"/>
  <c r="BD63" i="3"/>
  <c r="CB63" i="3"/>
  <c r="BE63" i="3"/>
  <c r="BR63" i="3"/>
  <c r="CD63" i="3"/>
  <c r="BS63" i="3"/>
  <c r="BH63" i="3"/>
  <c r="BT63" i="3"/>
  <c r="CF63" i="3"/>
  <c r="BI63" i="3"/>
  <c r="BU63" i="3"/>
  <c r="CG63" i="3"/>
  <c r="BJ63" i="3"/>
  <c r="BV63" i="3"/>
  <c r="CH63" i="3"/>
  <c r="BK63" i="3"/>
  <c r="BW63" i="3"/>
  <c r="CI63" i="3"/>
  <c r="BL63" i="3"/>
  <c r="BX63" i="3"/>
  <c r="CJ63" i="3"/>
  <c r="BP63" i="3"/>
  <c r="BQ63" i="3"/>
  <c r="BF63" i="3"/>
  <c r="BG63" i="3"/>
  <c r="CE63" i="3"/>
  <c r="CI64" i="3"/>
  <c r="BW64" i="3"/>
  <c r="BK64" i="3"/>
  <c r="CH64" i="3"/>
  <c r="BV64" i="3"/>
  <c r="BJ64" i="3"/>
  <c r="CG64" i="3"/>
  <c r="BU64" i="3"/>
  <c r="BI64" i="3"/>
  <c r="CA64" i="3"/>
  <c r="BO64" i="3"/>
  <c r="BC64" i="3"/>
  <c r="BZ64" i="3"/>
  <c r="BN64" i="3"/>
  <c r="H185" i="6"/>
  <c r="H184" i="6"/>
  <c r="H53" i="6"/>
  <c r="H52" i="6"/>
  <c r="H68" i="2"/>
  <c r="H69" i="2"/>
  <c r="H71" i="2"/>
  <c r="H67" i="2"/>
  <c r="H66" i="2"/>
  <c r="J60" i="3"/>
  <c r="J59" i="3"/>
  <c r="M55" i="3"/>
  <c r="N55" i="3"/>
  <c r="CD55" i="3" s="1"/>
  <c r="H179" i="6"/>
  <c r="H178" i="6"/>
  <c r="H173" i="6"/>
  <c r="H172" i="6"/>
  <c r="H59" i="6"/>
  <c r="H58" i="6"/>
  <c r="H166" i="6"/>
  <c r="CF55" i="3" l="1"/>
  <c r="BT55" i="3"/>
  <c r="BH55" i="3"/>
  <c r="BS55" i="3"/>
  <c r="BR55" i="3"/>
  <c r="BF55" i="3"/>
  <c r="CC55" i="3"/>
  <c r="BQ55" i="3"/>
  <c r="BE55" i="3"/>
  <c r="CB55" i="3"/>
  <c r="BP55" i="3"/>
  <c r="BD55" i="3"/>
  <c r="CA55" i="3"/>
  <c r="BO55" i="3"/>
  <c r="BC55" i="3"/>
  <c r="BZ55" i="3"/>
  <c r="BN55" i="3"/>
  <c r="BB55" i="3"/>
  <c r="BY55" i="3"/>
  <c r="BM55" i="3"/>
  <c r="CJ55" i="3"/>
  <c r="BX55" i="3"/>
  <c r="BL55" i="3"/>
  <c r="CI55" i="3"/>
  <c r="BW55" i="3"/>
  <c r="BK55" i="3"/>
  <c r="CH55" i="3"/>
  <c r="BV55" i="3"/>
  <c r="BJ55" i="3"/>
  <c r="CG55" i="3"/>
  <c r="BU55" i="3"/>
  <c r="BI55" i="3"/>
  <c r="CE55" i="3"/>
  <c r="BG55" i="3"/>
  <c r="H86" i="9"/>
  <c r="G55" i="9"/>
  <c r="C21" i="2"/>
  <c r="FF130" i="3"/>
  <c r="FE130" i="3"/>
  <c r="FD130" i="3"/>
  <c r="FC130" i="3"/>
  <c r="FB130" i="3"/>
  <c r="FA130" i="3"/>
  <c r="EZ130" i="3"/>
  <c r="EY130" i="3"/>
  <c r="EX130" i="3"/>
  <c r="EW130" i="3"/>
  <c r="EV130" i="3"/>
  <c r="EU130" i="3"/>
  <c r="ET130" i="3"/>
  <c r="ES130" i="3"/>
  <c r="ER130" i="3"/>
  <c r="EQ130" i="3"/>
  <c r="EP130" i="3"/>
  <c r="EO130" i="3"/>
  <c r="EN130" i="3"/>
  <c r="EM130" i="3"/>
  <c r="EL130" i="3"/>
  <c r="EK130" i="3"/>
  <c r="EJ130" i="3"/>
  <c r="EI130" i="3"/>
  <c r="EH130" i="3"/>
  <c r="EG130" i="3"/>
  <c r="EF130" i="3"/>
  <c r="EE130" i="3"/>
  <c r="ED130" i="3"/>
  <c r="EC130" i="3"/>
  <c r="EB130" i="3"/>
  <c r="EA130" i="3"/>
  <c r="DZ130" i="3"/>
  <c r="DY130" i="3"/>
  <c r="DX130" i="3"/>
  <c r="FF123" i="3"/>
  <c r="FE123" i="3"/>
  <c r="FD123" i="3"/>
  <c r="FC123" i="3"/>
  <c r="FB123" i="3"/>
  <c r="FA123" i="3"/>
  <c r="EZ123" i="3"/>
  <c r="EY123" i="3"/>
  <c r="EX123" i="3"/>
  <c r="EW123" i="3"/>
  <c r="EV123" i="3"/>
  <c r="EU123" i="3"/>
  <c r="ET123" i="3"/>
  <c r="ES123" i="3"/>
  <c r="ER123" i="3"/>
  <c r="EQ123" i="3"/>
  <c r="EP123" i="3"/>
  <c r="EO123" i="3"/>
  <c r="EN123" i="3"/>
  <c r="EM123" i="3"/>
  <c r="EL123" i="3"/>
  <c r="EK123" i="3"/>
  <c r="EJ123" i="3"/>
  <c r="EI123" i="3"/>
  <c r="EH123" i="3"/>
  <c r="EG123" i="3"/>
  <c r="EF123" i="3"/>
  <c r="EE123" i="3"/>
  <c r="ED123" i="3"/>
  <c r="EC123" i="3"/>
  <c r="EB123" i="3"/>
  <c r="EA123" i="3"/>
  <c r="DZ123" i="3"/>
  <c r="DY123" i="3"/>
  <c r="DX123" i="3"/>
  <c r="FF119" i="3"/>
  <c r="FE119" i="3"/>
  <c r="FD119" i="3"/>
  <c r="FC119" i="3"/>
  <c r="FB119" i="3"/>
  <c r="FA119" i="3"/>
  <c r="EZ119" i="3"/>
  <c r="EY119" i="3"/>
  <c r="EX119" i="3"/>
  <c r="EW119" i="3"/>
  <c r="EV119" i="3"/>
  <c r="EU119" i="3"/>
  <c r="ET119" i="3"/>
  <c r="ES119" i="3"/>
  <c r="ER119" i="3"/>
  <c r="EQ119" i="3"/>
  <c r="EP119" i="3"/>
  <c r="EO119" i="3"/>
  <c r="EN119" i="3"/>
  <c r="EM119" i="3"/>
  <c r="EL119" i="3"/>
  <c r="EK119" i="3"/>
  <c r="EJ119" i="3"/>
  <c r="EI119" i="3"/>
  <c r="EH119" i="3"/>
  <c r="EG119" i="3"/>
  <c r="EF119" i="3"/>
  <c r="EE119" i="3"/>
  <c r="ED119" i="3"/>
  <c r="EC119" i="3"/>
  <c r="EB119" i="3"/>
  <c r="EA119" i="3"/>
  <c r="DZ119" i="3"/>
  <c r="DY119" i="3"/>
  <c r="DX119" i="3"/>
  <c r="FF117" i="3"/>
  <c r="FE117" i="3"/>
  <c r="FD117" i="3"/>
  <c r="FC117" i="3"/>
  <c r="FB117" i="3"/>
  <c r="FA117" i="3"/>
  <c r="EZ117" i="3"/>
  <c r="EY117" i="3"/>
  <c r="EX117" i="3"/>
  <c r="EW117" i="3"/>
  <c r="EV117" i="3"/>
  <c r="EU117" i="3"/>
  <c r="ET117" i="3"/>
  <c r="ES117" i="3"/>
  <c r="ER117" i="3"/>
  <c r="EQ117" i="3"/>
  <c r="EP117" i="3"/>
  <c r="EO117" i="3"/>
  <c r="EN117" i="3"/>
  <c r="EM117" i="3"/>
  <c r="EL117" i="3"/>
  <c r="EK117" i="3"/>
  <c r="EJ117" i="3"/>
  <c r="EI117" i="3"/>
  <c r="EH117" i="3"/>
  <c r="EG117" i="3"/>
  <c r="EF117" i="3"/>
  <c r="EE117" i="3"/>
  <c r="ED117" i="3"/>
  <c r="EC117" i="3"/>
  <c r="EB117" i="3"/>
  <c r="EA117" i="3"/>
  <c r="DZ117" i="3"/>
  <c r="DY117" i="3"/>
  <c r="DX117" i="3"/>
  <c r="I84" i="9" l="1"/>
  <c r="G84" i="9" s="1"/>
  <c r="G54" i="9"/>
  <c r="H54" i="9"/>
  <c r="H55" i="9"/>
  <c r="DX99" i="3"/>
  <c r="DY99" i="3"/>
  <c r="DZ99" i="3"/>
  <c r="EA99" i="3"/>
  <c r="EB99" i="3"/>
  <c r="FF99" i="3"/>
  <c r="FE99" i="3"/>
  <c r="FD99" i="3"/>
  <c r="FC99" i="3"/>
  <c r="FB99" i="3"/>
  <c r="FA99" i="3"/>
  <c r="EZ99" i="3"/>
  <c r="EY99" i="3"/>
  <c r="EX99" i="3"/>
  <c r="EW99" i="3"/>
  <c r="EV99" i="3"/>
  <c r="EU99" i="3"/>
  <c r="ET99" i="3"/>
  <c r="ES99" i="3"/>
  <c r="ER99" i="3"/>
  <c r="EQ99" i="3"/>
  <c r="EP99" i="3"/>
  <c r="EO99" i="3"/>
  <c r="EN99" i="3"/>
  <c r="EM99" i="3"/>
  <c r="EL99" i="3"/>
  <c r="EK99" i="3"/>
  <c r="EJ99" i="3"/>
  <c r="EI99" i="3"/>
  <c r="EH99" i="3"/>
  <c r="EG99" i="3"/>
  <c r="EF99" i="3"/>
  <c r="EE99" i="3"/>
  <c r="ED99" i="3"/>
  <c r="EC99" i="3"/>
  <c r="DX101" i="3"/>
  <c r="DY101" i="3"/>
  <c r="DZ101" i="3"/>
  <c r="EA101" i="3"/>
  <c r="EB101" i="3"/>
  <c r="EC101" i="3"/>
  <c r="ED101" i="3"/>
  <c r="EE101" i="3"/>
  <c r="EF101" i="3"/>
  <c r="EG101" i="3"/>
  <c r="EH101" i="3"/>
  <c r="EI101" i="3"/>
  <c r="EJ101" i="3"/>
  <c r="EK101" i="3"/>
  <c r="EL101" i="3"/>
  <c r="EM101" i="3"/>
  <c r="EN101" i="3"/>
  <c r="EO101" i="3"/>
  <c r="EP101" i="3"/>
  <c r="EQ101" i="3"/>
  <c r="ER101" i="3"/>
  <c r="ES101" i="3"/>
  <c r="ET101" i="3"/>
  <c r="EU101" i="3"/>
  <c r="EV101" i="3"/>
  <c r="EW101" i="3"/>
  <c r="EX101" i="3"/>
  <c r="EY101" i="3"/>
  <c r="EZ101" i="3"/>
  <c r="FA101" i="3"/>
  <c r="FB101" i="3"/>
  <c r="FC101" i="3"/>
  <c r="FD101" i="3"/>
  <c r="FE101" i="3"/>
  <c r="FF101" i="3"/>
  <c r="H395" i="6" l="1"/>
  <c r="H396" i="6"/>
  <c r="H397" i="6"/>
  <c r="G377" i="6"/>
  <c r="G376" i="6"/>
  <c r="W92" i="2"/>
  <c r="X92" i="2"/>
  <c r="H310" i="6" l="1"/>
  <c r="H311" i="6"/>
  <c r="H328" i="6"/>
  <c r="H329" i="6"/>
  <c r="H292" i="6"/>
  <c r="H293" i="6"/>
  <c r="M58" i="3"/>
  <c r="H251" i="6"/>
  <c r="CA52" i="9"/>
  <c r="BZ52" i="9"/>
  <c r="BY52" i="9"/>
  <c r="BX52" i="9"/>
  <c r="BW52" i="9"/>
  <c r="BV52" i="9"/>
  <c r="BU52" i="9"/>
  <c r="BT52" i="9"/>
  <c r="BS52" i="9"/>
  <c r="BR52" i="9"/>
  <c r="BQ52" i="9"/>
  <c r="BP52" i="9"/>
  <c r="BO52" i="9"/>
  <c r="BN52" i="9"/>
  <c r="BM52" i="9"/>
  <c r="BL52" i="9"/>
  <c r="BK52" i="9"/>
  <c r="BJ52" i="9"/>
  <c r="BI52" i="9"/>
  <c r="BH52" i="9"/>
  <c r="BG52" i="9"/>
  <c r="BF52" i="9"/>
  <c r="BE52" i="9"/>
  <c r="BD52" i="9"/>
  <c r="BC52" i="9"/>
  <c r="BB52" i="9"/>
  <c r="BA52" i="9"/>
  <c r="CA51" i="9"/>
  <c r="BZ51" i="9"/>
  <c r="BY51" i="9"/>
  <c r="BX51" i="9"/>
  <c r="BW51" i="9"/>
  <c r="BV51" i="9"/>
  <c r="BU51" i="9"/>
  <c r="BT51" i="9"/>
  <c r="BS51" i="9"/>
  <c r="BR51" i="9"/>
  <c r="BQ51" i="9"/>
  <c r="BP51" i="9"/>
  <c r="BO51" i="9"/>
  <c r="BN51" i="9"/>
  <c r="BM51" i="9"/>
  <c r="BL51" i="9"/>
  <c r="BK51" i="9"/>
  <c r="BJ51" i="9"/>
  <c r="BI51" i="9"/>
  <c r="BH51" i="9"/>
  <c r="BG51" i="9"/>
  <c r="BF51" i="9"/>
  <c r="BE51" i="9"/>
  <c r="BD51" i="9"/>
  <c r="BC51" i="9"/>
  <c r="BB51" i="9"/>
  <c r="BA51" i="9"/>
  <c r="CA50" i="9"/>
  <c r="BZ50" i="9"/>
  <c r="BY50" i="9"/>
  <c r="BX50" i="9"/>
  <c r="BW50" i="9"/>
  <c r="BV50" i="9"/>
  <c r="BU50" i="9"/>
  <c r="BT50" i="9"/>
  <c r="BS50" i="9"/>
  <c r="BR50" i="9"/>
  <c r="BQ50" i="9"/>
  <c r="BP50" i="9"/>
  <c r="BO50" i="9"/>
  <c r="BN50" i="9"/>
  <c r="BM50" i="9"/>
  <c r="BL50" i="9"/>
  <c r="BK50" i="9"/>
  <c r="BJ50" i="9"/>
  <c r="BI50" i="9"/>
  <c r="BH50" i="9"/>
  <c r="BG50" i="9"/>
  <c r="BF50" i="9"/>
  <c r="BE50" i="9"/>
  <c r="BD50" i="9"/>
  <c r="BC50" i="9"/>
  <c r="BB50" i="9"/>
  <c r="BA50" i="9"/>
  <c r="CA49" i="9"/>
  <c r="BZ49" i="9"/>
  <c r="BY49" i="9"/>
  <c r="BX49" i="9"/>
  <c r="BW49" i="9"/>
  <c r="BV49" i="9"/>
  <c r="BU49" i="9"/>
  <c r="BT49" i="9"/>
  <c r="BS49" i="9"/>
  <c r="BR49" i="9"/>
  <c r="BQ49" i="9"/>
  <c r="BP49" i="9"/>
  <c r="BO49" i="9"/>
  <c r="BN49" i="9"/>
  <c r="BM49" i="9"/>
  <c r="BL49" i="9"/>
  <c r="BK49" i="9"/>
  <c r="BJ49" i="9"/>
  <c r="BI49" i="9"/>
  <c r="BH49" i="9"/>
  <c r="BG49" i="9"/>
  <c r="BF49" i="9"/>
  <c r="BE49" i="9"/>
  <c r="BD49" i="9"/>
  <c r="BC49" i="9"/>
  <c r="BB49" i="9"/>
  <c r="BA49" i="9"/>
  <c r="EQ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FF42" i="3"/>
  <c r="FE42" i="3"/>
  <c r="FD42" i="3"/>
  <c r="FC42" i="3"/>
  <c r="FB42" i="3"/>
  <c r="FA42" i="3"/>
  <c r="EZ42" i="3"/>
  <c r="EY42" i="3"/>
  <c r="EX42" i="3"/>
  <c r="EW42" i="3"/>
  <c r="EV42" i="3"/>
  <c r="EU42" i="3"/>
  <c r="ET42" i="3"/>
  <c r="ES42" i="3"/>
  <c r="ER42" i="3"/>
  <c r="EQ42" i="3"/>
  <c r="EP42" i="3"/>
  <c r="EO42" i="3"/>
  <c r="EN42" i="3"/>
  <c r="EM42" i="3"/>
  <c r="EL42" i="3"/>
  <c r="EK42" i="3"/>
  <c r="EJ42" i="3"/>
  <c r="EI42" i="3"/>
  <c r="EH42" i="3"/>
  <c r="EG42" i="3"/>
  <c r="EF42" i="3"/>
  <c r="EE42" i="3"/>
  <c r="ED42" i="3"/>
  <c r="EC42" i="3"/>
  <c r="EB42" i="3"/>
  <c r="EA42" i="3"/>
  <c r="DZ42" i="3"/>
  <c r="DY42" i="3"/>
  <c r="DX42" i="3"/>
  <c r="N42" i="3"/>
  <c r="CE42" i="3" s="1"/>
  <c r="M42" i="3"/>
  <c r="FF41" i="3"/>
  <c r="FE41" i="3"/>
  <c r="FD41" i="3"/>
  <c r="FC41" i="3"/>
  <c r="FB41" i="3"/>
  <c r="CF41" i="3" s="1"/>
  <c r="DR41" i="3" s="1"/>
  <c r="FA41" i="3"/>
  <c r="EZ41" i="3"/>
  <c r="EY41" i="3"/>
  <c r="EX41" i="3"/>
  <c r="EW41" i="3"/>
  <c r="EV41" i="3"/>
  <c r="EU41" i="3"/>
  <c r="ET41" i="3"/>
  <c r="ES41" i="3"/>
  <c r="ER41" i="3"/>
  <c r="EQ41" i="3"/>
  <c r="EP41" i="3"/>
  <c r="EO41" i="3"/>
  <c r="EN41" i="3"/>
  <c r="EM41" i="3"/>
  <c r="EL41" i="3"/>
  <c r="EK41" i="3"/>
  <c r="EJ41" i="3"/>
  <c r="EI41" i="3"/>
  <c r="EH41" i="3"/>
  <c r="EG41" i="3"/>
  <c r="EF41" i="3"/>
  <c r="EE41" i="3"/>
  <c r="ED41" i="3"/>
  <c r="EC41" i="3"/>
  <c r="EB41" i="3"/>
  <c r="EA41" i="3"/>
  <c r="DZ41" i="3"/>
  <c r="DY41" i="3"/>
  <c r="DX41" i="3"/>
  <c r="N41" i="3"/>
  <c r="M41" i="3"/>
  <c r="FF40" i="3"/>
  <c r="FE40" i="3"/>
  <c r="FD40" i="3"/>
  <c r="FC40" i="3"/>
  <c r="FB40" i="3"/>
  <c r="FA40" i="3"/>
  <c r="EZ40" i="3"/>
  <c r="EY40" i="3"/>
  <c r="EX40" i="3"/>
  <c r="EW40" i="3"/>
  <c r="EV40" i="3"/>
  <c r="EU40" i="3"/>
  <c r="ET40" i="3"/>
  <c r="ES40" i="3"/>
  <c r="ER40" i="3"/>
  <c r="EQ40" i="3"/>
  <c r="EP40" i="3"/>
  <c r="EO40" i="3"/>
  <c r="EN40" i="3"/>
  <c r="EM40" i="3"/>
  <c r="EL40" i="3"/>
  <c r="EK40" i="3"/>
  <c r="EJ40" i="3"/>
  <c r="EI40" i="3"/>
  <c r="EH40" i="3"/>
  <c r="EG40" i="3"/>
  <c r="EF40" i="3"/>
  <c r="EE40" i="3"/>
  <c r="ED40" i="3"/>
  <c r="EC40" i="3"/>
  <c r="EB40" i="3"/>
  <c r="EA40" i="3"/>
  <c r="DZ40" i="3"/>
  <c r="DY40" i="3"/>
  <c r="DX40" i="3"/>
  <c r="N40" i="3"/>
  <c r="M40" i="3"/>
  <c r="FF39" i="3"/>
  <c r="FE39" i="3"/>
  <c r="FD39" i="3"/>
  <c r="FC39" i="3"/>
  <c r="FB39" i="3"/>
  <c r="FA39" i="3"/>
  <c r="EZ39" i="3"/>
  <c r="EY39" i="3"/>
  <c r="EX39" i="3"/>
  <c r="EW39" i="3"/>
  <c r="EV39" i="3"/>
  <c r="EU39" i="3"/>
  <c r="ET39" i="3"/>
  <c r="ES39" i="3"/>
  <c r="ER39" i="3"/>
  <c r="EQ39" i="3"/>
  <c r="EP39" i="3"/>
  <c r="EO39" i="3"/>
  <c r="EN39" i="3"/>
  <c r="EM39" i="3"/>
  <c r="EL39" i="3"/>
  <c r="EK39" i="3"/>
  <c r="EJ39" i="3"/>
  <c r="EI39" i="3"/>
  <c r="EH39" i="3"/>
  <c r="EG39" i="3"/>
  <c r="EF39" i="3"/>
  <c r="EE39" i="3"/>
  <c r="ED39" i="3"/>
  <c r="EC39" i="3"/>
  <c r="EB39" i="3"/>
  <c r="EA39" i="3"/>
  <c r="DZ39" i="3"/>
  <c r="DY39" i="3"/>
  <c r="DX39" i="3"/>
  <c r="N39" i="3"/>
  <c r="BZ39" i="3" s="1"/>
  <c r="M39" i="3"/>
  <c r="FF38" i="3"/>
  <c r="FE38" i="3"/>
  <c r="FD38" i="3"/>
  <c r="FC38" i="3"/>
  <c r="FB38" i="3"/>
  <c r="FA38" i="3"/>
  <c r="EZ38" i="3"/>
  <c r="EY38" i="3"/>
  <c r="EX38" i="3"/>
  <c r="EW38" i="3"/>
  <c r="EV38" i="3"/>
  <c r="EU38" i="3"/>
  <c r="ET38" i="3"/>
  <c r="ES38" i="3"/>
  <c r="ER38" i="3"/>
  <c r="EQ38" i="3"/>
  <c r="EP38" i="3"/>
  <c r="EO38" i="3"/>
  <c r="EN38" i="3"/>
  <c r="EM38" i="3"/>
  <c r="EL38" i="3"/>
  <c r="EK38" i="3"/>
  <c r="EJ38" i="3"/>
  <c r="EI38" i="3"/>
  <c r="EH38" i="3"/>
  <c r="EG38" i="3"/>
  <c r="EF38" i="3"/>
  <c r="EE38" i="3"/>
  <c r="ED38" i="3"/>
  <c r="EC38" i="3"/>
  <c r="EB38" i="3"/>
  <c r="EA38" i="3"/>
  <c r="DZ38" i="3"/>
  <c r="DY38" i="3"/>
  <c r="DX38" i="3"/>
  <c r="N38" i="3"/>
  <c r="BR38" i="3" s="1"/>
  <c r="M38" i="3"/>
  <c r="FF37" i="3"/>
  <c r="FE37" i="3"/>
  <c r="FD37" i="3"/>
  <c r="FC37" i="3"/>
  <c r="FB37" i="3"/>
  <c r="FA37" i="3"/>
  <c r="EZ37" i="3"/>
  <c r="EY37" i="3"/>
  <c r="EX37" i="3"/>
  <c r="EW37" i="3"/>
  <c r="EV37" i="3"/>
  <c r="EU37" i="3"/>
  <c r="ET37" i="3"/>
  <c r="ES37" i="3"/>
  <c r="ER37" i="3"/>
  <c r="EQ37" i="3"/>
  <c r="EP37" i="3"/>
  <c r="EO37" i="3"/>
  <c r="EN37" i="3"/>
  <c r="EM37" i="3"/>
  <c r="EL37" i="3"/>
  <c r="EK37" i="3"/>
  <c r="EJ37" i="3"/>
  <c r="EI37" i="3"/>
  <c r="EH37" i="3"/>
  <c r="EG37" i="3"/>
  <c r="EF37" i="3"/>
  <c r="EE37" i="3"/>
  <c r="ED37" i="3"/>
  <c r="EC37" i="3"/>
  <c r="EB37" i="3"/>
  <c r="EA37" i="3"/>
  <c r="DZ37" i="3"/>
  <c r="DY37" i="3"/>
  <c r="DX37" i="3"/>
  <c r="N37" i="3"/>
  <c r="CG37" i="3" s="1"/>
  <c r="M37" i="3"/>
  <c r="FF36" i="3"/>
  <c r="FF43" i="3" s="1"/>
  <c r="FE36" i="3"/>
  <c r="FE43" i="3" s="1"/>
  <c r="FD36" i="3"/>
  <c r="FD43" i="3" s="1"/>
  <c r="FC36" i="3"/>
  <c r="FC43" i="3" s="1"/>
  <c r="FB36" i="3"/>
  <c r="FB43" i="3" s="1"/>
  <c r="FA36" i="3"/>
  <c r="FA43" i="3" s="1"/>
  <c r="EZ36" i="3"/>
  <c r="EZ43" i="3" s="1"/>
  <c r="EY36" i="3"/>
  <c r="EX36" i="3"/>
  <c r="EX43" i="3" s="1"/>
  <c r="EW36" i="3"/>
  <c r="EW43" i="3" s="1"/>
  <c r="EV36" i="3"/>
  <c r="EV43" i="3" s="1"/>
  <c r="EU36" i="3"/>
  <c r="EU43" i="3" s="1"/>
  <c r="ET36" i="3"/>
  <c r="ET43" i="3" s="1"/>
  <c r="ES36" i="3"/>
  <c r="ES43" i="3" s="1"/>
  <c r="ER36" i="3"/>
  <c r="ER43" i="3" s="1"/>
  <c r="EQ36" i="3"/>
  <c r="EP36" i="3"/>
  <c r="EP43" i="3" s="1"/>
  <c r="EO36" i="3"/>
  <c r="EO43" i="3" s="1"/>
  <c r="EN36" i="3"/>
  <c r="EM36" i="3"/>
  <c r="EM43" i="3" s="1"/>
  <c r="EL36" i="3"/>
  <c r="EL43" i="3" s="1"/>
  <c r="EK36" i="3"/>
  <c r="EK43" i="3" s="1"/>
  <c r="EJ36" i="3"/>
  <c r="EJ43" i="3" s="1"/>
  <c r="EI36" i="3"/>
  <c r="EI43" i="3" s="1"/>
  <c r="EH36" i="3"/>
  <c r="EH43" i="3" s="1"/>
  <c r="EG36" i="3"/>
  <c r="EG43" i="3" s="1"/>
  <c r="EF36" i="3"/>
  <c r="EF43" i="3" s="1"/>
  <c r="EE36" i="3"/>
  <c r="EE43" i="3" s="1"/>
  <c r="ED36" i="3"/>
  <c r="ED43" i="3" s="1"/>
  <c r="EC36" i="3"/>
  <c r="EC43" i="3" s="1"/>
  <c r="EB36" i="3"/>
  <c r="EB43" i="3" s="1"/>
  <c r="EA36" i="3"/>
  <c r="DZ36" i="3"/>
  <c r="DZ43" i="3" s="1"/>
  <c r="DY36" i="3"/>
  <c r="DY43" i="3" s="1"/>
  <c r="DX36" i="3"/>
  <c r="DX43" i="3" s="1"/>
  <c r="N36" i="3"/>
  <c r="BS36" i="3" s="1"/>
  <c r="DE36" i="3" s="1"/>
  <c r="DE43" i="3" s="1"/>
  <c r="M36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FF33" i="3"/>
  <c r="FE33" i="3"/>
  <c r="FD33" i="3"/>
  <c r="FC33" i="3"/>
  <c r="FB33" i="3"/>
  <c r="FA33" i="3"/>
  <c r="EZ33" i="3"/>
  <c r="EY33" i="3"/>
  <c r="EX33" i="3"/>
  <c r="EW33" i="3"/>
  <c r="EV33" i="3"/>
  <c r="EU33" i="3"/>
  <c r="ET33" i="3"/>
  <c r="ES33" i="3"/>
  <c r="ER33" i="3"/>
  <c r="EQ33" i="3"/>
  <c r="EP33" i="3"/>
  <c r="EO33" i="3"/>
  <c r="EN33" i="3"/>
  <c r="EM33" i="3"/>
  <c r="EL33" i="3"/>
  <c r="EK33" i="3"/>
  <c r="EJ33" i="3"/>
  <c r="EI33" i="3"/>
  <c r="EH33" i="3"/>
  <c r="EG33" i="3"/>
  <c r="EF33" i="3"/>
  <c r="EE33" i="3"/>
  <c r="ED33" i="3"/>
  <c r="EC33" i="3"/>
  <c r="BG33" i="3" s="1"/>
  <c r="EB33" i="3"/>
  <c r="EA33" i="3"/>
  <c r="DZ33" i="3"/>
  <c r="DY33" i="3"/>
  <c r="DX33" i="3"/>
  <c r="N33" i="3"/>
  <c r="M33" i="3"/>
  <c r="FF32" i="3"/>
  <c r="FE32" i="3"/>
  <c r="CI32" i="3" s="1"/>
  <c r="DU32" i="3" s="1"/>
  <c r="FD32" i="3"/>
  <c r="FC32" i="3"/>
  <c r="FB32" i="3"/>
  <c r="FA32" i="3"/>
  <c r="EZ32" i="3"/>
  <c r="EY32" i="3"/>
  <c r="EX32" i="3"/>
  <c r="EW32" i="3"/>
  <c r="EV32" i="3"/>
  <c r="EU32" i="3"/>
  <c r="ET32" i="3"/>
  <c r="ES32" i="3"/>
  <c r="ER32" i="3"/>
  <c r="EQ32" i="3"/>
  <c r="EP32" i="3"/>
  <c r="EO32" i="3"/>
  <c r="EN32" i="3"/>
  <c r="EM32" i="3"/>
  <c r="EL32" i="3"/>
  <c r="EK32" i="3"/>
  <c r="EJ32" i="3"/>
  <c r="EI32" i="3"/>
  <c r="EH32" i="3"/>
  <c r="EG32" i="3"/>
  <c r="EF32" i="3"/>
  <c r="EE32" i="3"/>
  <c r="ED32" i="3"/>
  <c r="EC32" i="3"/>
  <c r="EB32" i="3"/>
  <c r="EA32" i="3"/>
  <c r="DZ32" i="3"/>
  <c r="DY32" i="3"/>
  <c r="DX32" i="3"/>
  <c r="N32" i="3"/>
  <c r="CH32" i="3" s="1"/>
  <c r="DT32" i="3" s="1"/>
  <c r="M32" i="3"/>
  <c r="FF31" i="3"/>
  <c r="FE31" i="3"/>
  <c r="FD31" i="3"/>
  <c r="FC31" i="3"/>
  <c r="FB31" i="3"/>
  <c r="FA31" i="3"/>
  <c r="EZ31" i="3"/>
  <c r="EY31" i="3"/>
  <c r="EX31" i="3"/>
  <c r="EW31" i="3"/>
  <c r="EV31" i="3"/>
  <c r="EU31" i="3"/>
  <c r="ET31" i="3"/>
  <c r="ES31" i="3"/>
  <c r="ER31" i="3"/>
  <c r="EQ31" i="3"/>
  <c r="EP31" i="3"/>
  <c r="EO31" i="3"/>
  <c r="EN31" i="3"/>
  <c r="EM31" i="3"/>
  <c r="EL31" i="3"/>
  <c r="EK31" i="3"/>
  <c r="EJ31" i="3"/>
  <c r="EI31" i="3"/>
  <c r="EH31" i="3"/>
  <c r="EG31" i="3"/>
  <c r="EF31" i="3"/>
  <c r="EE31" i="3"/>
  <c r="ED31" i="3"/>
  <c r="EC31" i="3"/>
  <c r="EB31" i="3"/>
  <c r="EA31" i="3"/>
  <c r="DZ31" i="3"/>
  <c r="DY31" i="3"/>
  <c r="DX31" i="3"/>
  <c r="CA31" i="3"/>
  <c r="BJ31" i="3"/>
  <c r="N31" i="3"/>
  <c r="CG31" i="3" s="1"/>
  <c r="M31" i="3"/>
  <c r="FF30" i="3"/>
  <c r="FE30" i="3"/>
  <c r="FD30" i="3"/>
  <c r="FC30" i="3"/>
  <c r="FB30" i="3"/>
  <c r="FA30" i="3"/>
  <c r="EZ30" i="3"/>
  <c r="EY30" i="3"/>
  <c r="EX30" i="3"/>
  <c r="EW30" i="3"/>
  <c r="EV30" i="3"/>
  <c r="EU30" i="3"/>
  <c r="ET30" i="3"/>
  <c r="ES30" i="3"/>
  <c r="ER30" i="3"/>
  <c r="EQ30" i="3"/>
  <c r="EP30" i="3"/>
  <c r="EO30" i="3"/>
  <c r="EN30" i="3"/>
  <c r="EM30" i="3"/>
  <c r="EL30" i="3"/>
  <c r="EK30" i="3"/>
  <c r="EJ30" i="3"/>
  <c r="EI30" i="3"/>
  <c r="EH30" i="3"/>
  <c r="EG30" i="3"/>
  <c r="EF30" i="3"/>
  <c r="EE30" i="3"/>
  <c r="ED30" i="3"/>
  <c r="EC30" i="3"/>
  <c r="EB30" i="3"/>
  <c r="EA30" i="3"/>
  <c r="DZ30" i="3"/>
  <c r="DY30" i="3"/>
  <c r="DX30" i="3"/>
  <c r="N30" i="3"/>
  <c r="M30" i="3"/>
  <c r="FF29" i="3"/>
  <c r="FE29" i="3"/>
  <c r="FD29" i="3"/>
  <c r="FC29" i="3"/>
  <c r="FB29" i="3"/>
  <c r="FA29" i="3"/>
  <c r="EZ29" i="3"/>
  <c r="EY29" i="3"/>
  <c r="EX29" i="3"/>
  <c r="EW29" i="3"/>
  <c r="EV29" i="3"/>
  <c r="BZ29" i="3" s="1"/>
  <c r="EU29" i="3"/>
  <c r="ET29" i="3"/>
  <c r="ES29" i="3"/>
  <c r="ER29" i="3"/>
  <c r="EQ29" i="3"/>
  <c r="EP29" i="3"/>
  <c r="EO29" i="3"/>
  <c r="EN29" i="3"/>
  <c r="EM29" i="3"/>
  <c r="EL29" i="3"/>
  <c r="EK29" i="3"/>
  <c r="EJ29" i="3"/>
  <c r="EI29" i="3"/>
  <c r="EH29" i="3"/>
  <c r="EG29" i="3"/>
  <c r="BK29" i="3" s="1"/>
  <c r="EF29" i="3"/>
  <c r="EE29" i="3"/>
  <c r="ED29" i="3"/>
  <c r="EC29" i="3"/>
  <c r="EB29" i="3"/>
  <c r="EA29" i="3"/>
  <c r="DZ29" i="3"/>
  <c r="DY29" i="3"/>
  <c r="DX29" i="3"/>
  <c r="N29" i="3"/>
  <c r="BR29" i="3" s="1"/>
  <c r="M29" i="3"/>
  <c r="FF28" i="3"/>
  <c r="FE28" i="3"/>
  <c r="FD28" i="3"/>
  <c r="FC28" i="3"/>
  <c r="FB28" i="3"/>
  <c r="FA28" i="3"/>
  <c r="EZ28" i="3"/>
  <c r="EY28" i="3"/>
  <c r="EX28" i="3"/>
  <c r="EW28" i="3"/>
  <c r="EV28" i="3"/>
  <c r="EU28" i="3"/>
  <c r="ET28" i="3"/>
  <c r="ES28" i="3"/>
  <c r="ER28" i="3"/>
  <c r="EQ28" i="3"/>
  <c r="EP28" i="3"/>
  <c r="EO28" i="3"/>
  <c r="EN28" i="3"/>
  <c r="EM28" i="3"/>
  <c r="EL28" i="3"/>
  <c r="EK28" i="3"/>
  <c r="EJ28" i="3"/>
  <c r="EI28" i="3"/>
  <c r="EH28" i="3"/>
  <c r="EG28" i="3"/>
  <c r="EF28" i="3"/>
  <c r="EE28" i="3"/>
  <c r="ED28" i="3"/>
  <c r="EC28" i="3"/>
  <c r="EB28" i="3"/>
  <c r="EA28" i="3"/>
  <c r="DZ28" i="3"/>
  <c r="DY28" i="3"/>
  <c r="DX28" i="3"/>
  <c r="BS28" i="3"/>
  <c r="BR28" i="3"/>
  <c r="BC28" i="3"/>
  <c r="N28" i="3"/>
  <c r="BB28" i="3" s="1"/>
  <c r="M28" i="3"/>
  <c r="FF27" i="3"/>
  <c r="FF34" i="3" s="1"/>
  <c r="FE27" i="3"/>
  <c r="FE34" i="3" s="1"/>
  <c r="FD27" i="3"/>
  <c r="FD34" i="3" s="1"/>
  <c r="FC27" i="3"/>
  <c r="FC34" i="3" s="1"/>
  <c r="FB27" i="3"/>
  <c r="FB34" i="3" s="1"/>
  <c r="FA27" i="3"/>
  <c r="FA34" i="3" s="1"/>
  <c r="EZ27" i="3"/>
  <c r="EZ34" i="3" s="1"/>
  <c r="EY27" i="3"/>
  <c r="EY34" i="3" s="1"/>
  <c r="EX27" i="3"/>
  <c r="EX34" i="3" s="1"/>
  <c r="EW27" i="3"/>
  <c r="EW34" i="3" s="1"/>
  <c r="EV27" i="3"/>
  <c r="EV34" i="3" s="1"/>
  <c r="EU27" i="3"/>
  <c r="EU34" i="3" s="1"/>
  <c r="ET27" i="3"/>
  <c r="ET34" i="3" s="1"/>
  <c r="ES27" i="3"/>
  <c r="ES34" i="3" s="1"/>
  <c r="ER27" i="3"/>
  <c r="ER34" i="3" s="1"/>
  <c r="EQ27" i="3"/>
  <c r="EQ34" i="3" s="1"/>
  <c r="EP27" i="3"/>
  <c r="EP34" i="3" s="1"/>
  <c r="EO27" i="3"/>
  <c r="EO34" i="3" s="1"/>
  <c r="EN27" i="3"/>
  <c r="EN34" i="3" s="1"/>
  <c r="EM27" i="3"/>
  <c r="EM34" i="3" s="1"/>
  <c r="EL27" i="3"/>
  <c r="EL34" i="3" s="1"/>
  <c r="EK27" i="3"/>
  <c r="EK34" i="3" s="1"/>
  <c r="EJ27" i="3"/>
  <c r="EJ34" i="3" s="1"/>
  <c r="EI27" i="3"/>
  <c r="EI34" i="3" s="1"/>
  <c r="EH27" i="3"/>
  <c r="EH34" i="3" s="1"/>
  <c r="EG27" i="3"/>
  <c r="EG34" i="3" s="1"/>
  <c r="EF27" i="3"/>
  <c r="EF34" i="3" s="1"/>
  <c r="EE27" i="3"/>
  <c r="EE34" i="3" s="1"/>
  <c r="ED27" i="3"/>
  <c r="ED34" i="3" s="1"/>
  <c r="EC27" i="3"/>
  <c r="EC34" i="3" s="1"/>
  <c r="EB27" i="3"/>
  <c r="EB34" i="3" s="1"/>
  <c r="EA27" i="3"/>
  <c r="EA34" i="3" s="1"/>
  <c r="DZ27" i="3"/>
  <c r="DZ34" i="3" s="1"/>
  <c r="DY27" i="3"/>
  <c r="DY34" i="3" s="1"/>
  <c r="DX27" i="3"/>
  <c r="DX34" i="3" s="1"/>
  <c r="N27" i="3"/>
  <c r="M27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FF24" i="3"/>
  <c r="FE24" i="3"/>
  <c r="FD24" i="3"/>
  <c r="FC24" i="3"/>
  <c r="FB24" i="3"/>
  <c r="FA24" i="3"/>
  <c r="EZ24" i="3"/>
  <c r="EY24" i="3"/>
  <c r="EX24" i="3"/>
  <c r="EW24" i="3"/>
  <c r="EV24" i="3"/>
  <c r="EU24" i="3"/>
  <c r="ET24" i="3"/>
  <c r="ES24" i="3"/>
  <c r="ER24" i="3"/>
  <c r="EQ24" i="3"/>
  <c r="EP24" i="3"/>
  <c r="EO24" i="3"/>
  <c r="EN24" i="3"/>
  <c r="EM24" i="3"/>
  <c r="EL24" i="3"/>
  <c r="EK24" i="3"/>
  <c r="EJ24" i="3"/>
  <c r="EI24" i="3"/>
  <c r="EH24" i="3"/>
  <c r="EG24" i="3"/>
  <c r="EF24" i="3"/>
  <c r="EE24" i="3"/>
  <c r="ED24" i="3"/>
  <c r="EC24" i="3"/>
  <c r="EB24" i="3"/>
  <c r="EA24" i="3"/>
  <c r="DZ24" i="3"/>
  <c r="DY24" i="3"/>
  <c r="DX24" i="3"/>
  <c r="N24" i="3"/>
  <c r="CC24" i="3" s="1"/>
  <c r="M24" i="3"/>
  <c r="FF23" i="3"/>
  <c r="FE23" i="3"/>
  <c r="FD23" i="3"/>
  <c r="FC23" i="3"/>
  <c r="FB23" i="3"/>
  <c r="FA23" i="3"/>
  <c r="EZ23" i="3"/>
  <c r="EY23" i="3"/>
  <c r="EX23" i="3"/>
  <c r="EW23" i="3"/>
  <c r="EV23" i="3"/>
  <c r="EU23" i="3"/>
  <c r="ET23" i="3"/>
  <c r="ES23" i="3"/>
  <c r="ER23" i="3"/>
  <c r="EQ23" i="3"/>
  <c r="EP23" i="3"/>
  <c r="EO23" i="3"/>
  <c r="EN23" i="3"/>
  <c r="EM23" i="3"/>
  <c r="EL23" i="3"/>
  <c r="EK23" i="3"/>
  <c r="EJ23" i="3"/>
  <c r="EI23" i="3"/>
  <c r="EH23" i="3"/>
  <c r="EG23" i="3"/>
  <c r="EF23" i="3"/>
  <c r="EE23" i="3"/>
  <c r="ED23" i="3"/>
  <c r="EC23" i="3"/>
  <c r="EB23" i="3"/>
  <c r="EA23" i="3"/>
  <c r="DZ23" i="3"/>
  <c r="DY23" i="3"/>
  <c r="DX23" i="3"/>
  <c r="N23" i="3"/>
  <c r="M23" i="3"/>
  <c r="FF22" i="3"/>
  <c r="FE22" i="3"/>
  <c r="FD22" i="3"/>
  <c r="FC22" i="3"/>
  <c r="FB22" i="3"/>
  <c r="FA22" i="3"/>
  <c r="EZ22" i="3"/>
  <c r="EY22" i="3"/>
  <c r="EX22" i="3"/>
  <c r="EW22" i="3"/>
  <c r="EV22" i="3"/>
  <c r="EU22" i="3"/>
  <c r="ET22" i="3"/>
  <c r="ES22" i="3"/>
  <c r="ER22" i="3"/>
  <c r="EQ22" i="3"/>
  <c r="EP22" i="3"/>
  <c r="EO22" i="3"/>
  <c r="EN22" i="3"/>
  <c r="EM22" i="3"/>
  <c r="EL22" i="3"/>
  <c r="EK22" i="3"/>
  <c r="EJ22" i="3"/>
  <c r="EI22" i="3"/>
  <c r="EH22" i="3"/>
  <c r="EG22" i="3"/>
  <c r="EF22" i="3"/>
  <c r="EE22" i="3"/>
  <c r="ED22" i="3"/>
  <c r="EC22" i="3"/>
  <c r="EB22" i="3"/>
  <c r="EA22" i="3"/>
  <c r="DZ22" i="3"/>
  <c r="DY22" i="3"/>
  <c r="DX22" i="3"/>
  <c r="N22" i="3"/>
  <c r="M22" i="3"/>
  <c r="FF21" i="3"/>
  <c r="FE21" i="3"/>
  <c r="FD21" i="3"/>
  <c r="FC21" i="3"/>
  <c r="FB21" i="3"/>
  <c r="FA21" i="3"/>
  <c r="EZ21" i="3"/>
  <c r="EY21" i="3"/>
  <c r="EX21" i="3"/>
  <c r="EW21" i="3"/>
  <c r="EV21" i="3"/>
  <c r="EU21" i="3"/>
  <c r="ET21" i="3"/>
  <c r="ES21" i="3"/>
  <c r="ER21" i="3"/>
  <c r="EQ21" i="3"/>
  <c r="EP21" i="3"/>
  <c r="EO21" i="3"/>
  <c r="EN21" i="3"/>
  <c r="EM21" i="3"/>
  <c r="EL21" i="3"/>
  <c r="EK21" i="3"/>
  <c r="EJ21" i="3"/>
  <c r="EI21" i="3"/>
  <c r="EH21" i="3"/>
  <c r="EG21" i="3"/>
  <c r="EF21" i="3"/>
  <c r="EE21" i="3"/>
  <c r="ED21" i="3"/>
  <c r="EC21" i="3"/>
  <c r="EB21" i="3"/>
  <c r="EA21" i="3"/>
  <c r="DZ21" i="3"/>
  <c r="DY21" i="3"/>
  <c r="DX21" i="3"/>
  <c r="N21" i="3"/>
  <c r="BH21" i="3" s="1"/>
  <c r="M21" i="3"/>
  <c r="FF20" i="3"/>
  <c r="FE20" i="3"/>
  <c r="FD20" i="3"/>
  <c r="FC20" i="3"/>
  <c r="FB20" i="3"/>
  <c r="FA20" i="3"/>
  <c r="EZ20" i="3"/>
  <c r="EY20" i="3"/>
  <c r="EX20" i="3"/>
  <c r="EW20" i="3"/>
  <c r="EV20" i="3"/>
  <c r="EU20" i="3"/>
  <c r="ET20" i="3"/>
  <c r="ES20" i="3"/>
  <c r="ER20" i="3"/>
  <c r="EQ20" i="3"/>
  <c r="EP20" i="3"/>
  <c r="EO20" i="3"/>
  <c r="EN20" i="3"/>
  <c r="EM20" i="3"/>
  <c r="EL20" i="3"/>
  <c r="EK20" i="3"/>
  <c r="EJ20" i="3"/>
  <c r="EI20" i="3"/>
  <c r="EH20" i="3"/>
  <c r="EG20" i="3"/>
  <c r="EF20" i="3"/>
  <c r="EE20" i="3"/>
  <c r="ED20" i="3"/>
  <c r="EC20" i="3"/>
  <c r="EB20" i="3"/>
  <c r="EA20" i="3"/>
  <c r="DZ20" i="3"/>
  <c r="DY20" i="3"/>
  <c r="DX20" i="3"/>
  <c r="N20" i="3"/>
  <c r="M20" i="3"/>
  <c r="FF19" i="3"/>
  <c r="FE19" i="3"/>
  <c r="FD19" i="3"/>
  <c r="FC19" i="3"/>
  <c r="FB19" i="3"/>
  <c r="FA19" i="3"/>
  <c r="EZ19" i="3"/>
  <c r="EY19" i="3"/>
  <c r="EX19" i="3"/>
  <c r="EW19" i="3"/>
  <c r="EV19" i="3"/>
  <c r="EU19" i="3"/>
  <c r="ET19" i="3"/>
  <c r="ES19" i="3"/>
  <c r="ER19" i="3"/>
  <c r="EQ19" i="3"/>
  <c r="EP19" i="3"/>
  <c r="EO19" i="3"/>
  <c r="EN19" i="3"/>
  <c r="EM19" i="3"/>
  <c r="EL19" i="3"/>
  <c r="EK19" i="3"/>
  <c r="EJ19" i="3"/>
  <c r="EI19" i="3"/>
  <c r="EH19" i="3"/>
  <c r="EG19" i="3"/>
  <c r="EF19" i="3"/>
  <c r="EE19" i="3"/>
  <c r="ED19" i="3"/>
  <c r="EC19" i="3"/>
  <c r="EB19" i="3"/>
  <c r="EA19" i="3"/>
  <c r="DZ19" i="3"/>
  <c r="DY19" i="3"/>
  <c r="DX19" i="3"/>
  <c r="N19" i="3"/>
  <c r="CF19" i="3" s="1"/>
  <c r="M19" i="3"/>
  <c r="FF18" i="3"/>
  <c r="FF25" i="3" s="1"/>
  <c r="FE18" i="3"/>
  <c r="FE25" i="3" s="1"/>
  <c r="FD18" i="3"/>
  <c r="FD25" i="3" s="1"/>
  <c r="FC18" i="3"/>
  <c r="FC25" i="3" s="1"/>
  <c r="FB18" i="3"/>
  <c r="FB25" i="3" s="1"/>
  <c r="FA18" i="3"/>
  <c r="FA25" i="3" s="1"/>
  <c r="EZ18" i="3"/>
  <c r="EZ25" i="3" s="1"/>
  <c r="EY18" i="3"/>
  <c r="EY25" i="3" s="1"/>
  <c r="EX18" i="3"/>
  <c r="EX25" i="3" s="1"/>
  <c r="EW18" i="3"/>
  <c r="EW25" i="3" s="1"/>
  <c r="EV18" i="3"/>
  <c r="EV25" i="3" s="1"/>
  <c r="EU18" i="3"/>
  <c r="EU25" i="3" s="1"/>
  <c r="ET18" i="3"/>
  <c r="ET25" i="3" s="1"/>
  <c r="ES18" i="3"/>
  <c r="ES25" i="3" s="1"/>
  <c r="ER18" i="3"/>
  <c r="ER25" i="3" s="1"/>
  <c r="EQ18" i="3"/>
  <c r="EQ25" i="3" s="1"/>
  <c r="EP18" i="3"/>
  <c r="EP25" i="3" s="1"/>
  <c r="EO18" i="3"/>
  <c r="EO25" i="3" s="1"/>
  <c r="EN18" i="3"/>
  <c r="EN25" i="3" s="1"/>
  <c r="EM18" i="3"/>
  <c r="EM25" i="3" s="1"/>
  <c r="EL18" i="3"/>
  <c r="EL25" i="3" s="1"/>
  <c r="EK18" i="3"/>
  <c r="EK25" i="3" s="1"/>
  <c r="EJ18" i="3"/>
  <c r="EJ25" i="3" s="1"/>
  <c r="EI18" i="3"/>
  <c r="EI25" i="3" s="1"/>
  <c r="EH18" i="3"/>
  <c r="EH25" i="3" s="1"/>
  <c r="EG18" i="3"/>
  <c r="EG25" i="3" s="1"/>
  <c r="EF18" i="3"/>
  <c r="EF25" i="3" s="1"/>
  <c r="EE18" i="3"/>
  <c r="EE25" i="3" s="1"/>
  <c r="ED18" i="3"/>
  <c r="ED25" i="3" s="1"/>
  <c r="EC18" i="3"/>
  <c r="EC25" i="3" s="1"/>
  <c r="EB18" i="3"/>
  <c r="EB25" i="3" s="1"/>
  <c r="EA18" i="3"/>
  <c r="EA25" i="3" s="1"/>
  <c r="DZ18" i="3"/>
  <c r="DZ25" i="3" s="1"/>
  <c r="DY18" i="3"/>
  <c r="BC18" i="3" s="1"/>
  <c r="CO18" i="3" s="1"/>
  <c r="CO25" i="3" s="1"/>
  <c r="DX18" i="3"/>
  <c r="DX25" i="3" s="1"/>
  <c r="N18" i="3"/>
  <c r="CJ18" i="3" s="1"/>
  <c r="DV18" i="3" s="1"/>
  <c r="DV25" i="3" s="1"/>
  <c r="M18" i="3"/>
  <c r="DY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FF15" i="3"/>
  <c r="FE15" i="3"/>
  <c r="FD15" i="3"/>
  <c r="FC15" i="3"/>
  <c r="FB15" i="3"/>
  <c r="FA15" i="3"/>
  <c r="EZ15" i="3"/>
  <c r="EY15" i="3"/>
  <c r="EX15" i="3"/>
  <c r="EW15" i="3"/>
  <c r="EV15" i="3"/>
  <c r="EU15" i="3"/>
  <c r="ET15" i="3"/>
  <c r="ES15" i="3"/>
  <c r="ER15" i="3"/>
  <c r="EQ15" i="3"/>
  <c r="EP15" i="3"/>
  <c r="EO15" i="3"/>
  <c r="EN15" i="3"/>
  <c r="EM15" i="3"/>
  <c r="EL15" i="3"/>
  <c r="EK15" i="3"/>
  <c r="EJ15" i="3"/>
  <c r="EI15" i="3"/>
  <c r="EH15" i="3"/>
  <c r="EG15" i="3"/>
  <c r="EF15" i="3"/>
  <c r="EE15" i="3"/>
  <c r="ED15" i="3"/>
  <c r="EC15" i="3"/>
  <c r="EB15" i="3"/>
  <c r="EA15" i="3"/>
  <c r="DZ15" i="3"/>
  <c r="DY15" i="3"/>
  <c r="DX15" i="3"/>
  <c r="N15" i="3"/>
  <c r="CJ15" i="3" s="1"/>
  <c r="M15" i="3"/>
  <c r="FF14" i="3"/>
  <c r="FE14" i="3"/>
  <c r="FD14" i="3"/>
  <c r="FC14" i="3"/>
  <c r="FB14" i="3"/>
  <c r="FA14" i="3"/>
  <c r="EZ14" i="3"/>
  <c r="EY14" i="3"/>
  <c r="EX14" i="3"/>
  <c r="EW14" i="3"/>
  <c r="EV14" i="3"/>
  <c r="EU14" i="3"/>
  <c r="ET14" i="3"/>
  <c r="ES14" i="3"/>
  <c r="BW14" i="3" s="1"/>
  <c r="DI14" i="3" s="1"/>
  <c r="ER14" i="3"/>
  <c r="EQ14" i="3"/>
  <c r="EP14" i="3"/>
  <c r="EO14" i="3"/>
  <c r="EN14" i="3"/>
  <c r="EM14" i="3"/>
  <c r="EL14" i="3"/>
  <c r="EK14" i="3"/>
  <c r="EJ14" i="3"/>
  <c r="EI14" i="3"/>
  <c r="EH14" i="3"/>
  <c r="EG14" i="3"/>
  <c r="EF14" i="3"/>
  <c r="EE14" i="3"/>
  <c r="ED14" i="3"/>
  <c r="BH14" i="3" s="1"/>
  <c r="CT14" i="3" s="1"/>
  <c r="EC14" i="3"/>
  <c r="EB14" i="3"/>
  <c r="EA14" i="3"/>
  <c r="DZ14" i="3"/>
  <c r="DY14" i="3"/>
  <c r="DX14" i="3"/>
  <c r="BP14" i="3"/>
  <c r="DB14" i="3" s="1"/>
  <c r="BO14" i="3"/>
  <c r="DA14" i="3" s="1"/>
  <c r="BG14" i="3"/>
  <c r="CS14" i="3" s="1"/>
  <c r="N14" i="3"/>
  <c r="M14" i="3"/>
  <c r="FF13" i="3"/>
  <c r="FE13" i="3"/>
  <c r="FD13" i="3"/>
  <c r="FC13" i="3"/>
  <c r="FB13" i="3"/>
  <c r="CF13" i="3" s="1"/>
  <c r="FA13" i="3"/>
  <c r="EZ13" i="3"/>
  <c r="EY13" i="3"/>
  <c r="CC13" i="3" s="1"/>
  <c r="EX13" i="3"/>
  <c r="EW13" i="3"/>
  <c r="EV13" i="3"/>
  <c r="EU13" i="3"/>
  <c r="ET13" i="3"/>
  <c r="ES13" i="3"/>
  <c r="ER13" i="3"/>
  <c r="EQ13" i="3"/>
  <c r="EP13" i="3"/>
  <c r="EO13" i="3"/>
  <c r="EN13" i="3"/>
  <c r="EM13" i="3"/>
  <c r="EL13" i="3"/>
  <c r="EK13" i="3"/>
  <c r="EJ13" i="3"/>
  <c r="EI13" i="3"/>
  <c r="EH13" i="3"/>
  <c r="EG13" i="3"/>
  <c r="EF13" i="3"/>
  <c r="EE13" i="3"/>
  <c r="ED13" i="3"/>
  <c r="EC13" i="3"/>
  <c r="EB13" i="3"/>
  <c r="EA13" i="3"/>
  <c r="BE13" i="3" s="1"/>
  <c r="DZ13" i="3"/>
  <c r="DY13" i="3"/>
  <c r="DX13" i="3"/>
  <c r="N13" i="3"/>
  <c r="BW13" i="3" s="1"/>
  <c r="M13" i="3"/>
  <c r="FF12" i="3"/>
  <c r="FE12" i="3"/>
  <c r="FD12" i="3"/>
  <c r="FC12" i="3"/>
  <c r="FB12" i="3"/>
  <c r="FA12" i="3"/>
  <c r="EZ12" i="3"/>
  <c r="EY12" i="3"/>
  <c r="EX12" i="3"/>
  <c r="EW12" i="3"/>
  <c r="EV12" i="3"/>
  <c r="EU12" i="3"/>
  <c r="ET12" i="3"/>
  <c r="ES12" i="3"/>
  <c r="ER12" i="3"/>
  <c r="EQ12" i="3"/>
  <c r="EP12" i="3"/>
  <c r="EO12" i="3"/>
  <c r="EN12" i="3"/>
  <c r="EM12" i="3"/>
  <c r="EL12" i="3"/>
  <c r="EK12" i="3"/>
  <c r="EJ12" i="3"/>
  <c r="EI12" i="3"/>
  <c r="EH12" i="3"/>
  <c r="EG12" i="3"/>
  <c r="EF12" i="3"/>
  <c r="EE12" i="3"/>
  <c r="ED12" i="3"/>
  <c r="EC12" i="3"/>
  <c r="EB12" i="3"/>
  <c r="EA12" i="3"/>
  <c r="DZ12" i="3"/>
  <c r="DY12" i="3"/>
  <c r="DX12" i="3"/>
  <c r="BO12" i="3"/>
  <c r="N12" i="3"/>
  <c r="BX12" i="3" s="1"/>
  <c r="M12" i="3"/>
  <c r="FF11" i="3"/>
  <c r="FE11" i="3"/>
  <c r="FD11" i="3"/>
  <c r="FC11" i="3"/>
  <c r="FB11" i="3"/>
  <c r="FA11" i="3"/>
  <c r="EZ11" i="3"/>
  <c r="EY11" i="3"/>
  <c r="EX11" i="3"/>
  <c r="EW11" i="3"/>
  <c r="EV11" i="3"/>
  <c r="EU11" i="3"/>
  <c r="ET11" i="3"/>
  <c r="ES11" i="3"/>
  <c r="ER11" i="3"/>
  <c r="EQ11" i="3"/>
  <c r="EP11" i="3"/>
  <c r="EO11" i="3"/>
  <c r="EN11" i="3"/>
  <c r="EM11" i="3"/>
  <c r="EL11" i="3"/>
  <c r="EK11" i="3"/>
  <c r="EJ11" i="3"/>
  <c r="EI11" i="3"/>
  <c r="EH11" i="3"/>
  <c r="EG11" i="3"/>
  <c r="EF11" i="3"/>
  <c r="EE11" i="3"/>
  <c r="ED11" i="3"/>
  <c r="EC11" i="3"/>
  <c r="EB11" i="3"/>
  <c r="EA11" i="3"/>
  <c r="BE11" i="3" s="1"/>
  <c r="DZ11" i="3"/>
  <c r="DY11" i="3"/>
  <c r="DX11" i="3"/>
  <c r="N11" i="3"/>
  <c r="M11" i="3"/>
  <c r="FF10" i="3"/>
  <c r="FE10" i="3"/>
  <c r="FD10" i="3"/>
  <c r="FC10" i="3"/>
  <c r="FB10" i="3"/>
  <c r="FA10" i="3"/>
  <c r="EZ10" i="3"/>
  <c r="EY10" i="3"/>
  <c r="EX10" i="3"/>
  <c r="EW10" i="3"/>
  <c r="EV10" i="3"/>
  <c r="EU10" i="3"/>
  <c r="ET10" i="3"/>
  <c r="ES10" i="3"/>
  <c r="ER10" i="3"/>
  <c r="EQ10" i="3"/>
  <c r="EP10" i="3"/>
  <c r="EO10" i="3"/>
  <c r="EN10" i="3"/>
  <c r="EM10" i="3"/>
  <c r="EL10" i="3"/>
  <c r="EK10" i="3"/>
  <c r="EJ10" i="3"/>
  <c r="EI10" i="3"/>
  <c r="EH10" i="3"/>
  <c r="EG10" i="3"/>
  <c r="EF10" i="3"/>
  <c r="EE10" i="3"/>
  <c r="ED10" i="3"/>
  <c r="EC10" i="3"/>
  <c r="EB10" i="3"/>
  <c r="EA10" i="3"/>
  <c r="DZ10" i="3"/>
  <c r="DY10" i="3"/>
  <c r="DX10" i="3"/>
  <c r="N10" i="3"/>
  <c r="CF10" i="3" s="1"/>
  <c r="M10" i="3"/>
  <c r="FF9" i="3"/>
  <c r="FF16" i="3" s="1"/>
  <c r="FE9" i="3"/>
  <c r="FE16" i="3" s="1"/>
  <c r="FD9" i="3"/>
  <c r="FD16" i="3" s="1"/>
  <c r="FC9" i="3"/>
  <c r="FC16" i="3" s="1"/>
  <c r="FB9" i="3"/>
  <c r="FB16" i="3" s="1"/>
  <c r="FA9" i="3"/>
  <c r="FA16" i="3" s="1"/>
  <c r="EZ9" i="3"/>
  <c r="EZ16" i="3" s="1"/>
  <c r="EY9" i="3"/>
  <c r="EY16" i="3" s="1"/>
  <c r="EX9" i="3"/>
  <c r="EX16" i="3" s="1"/>
  <c r="EW9" i="3"/>
  <c r="EW16" i="3" s="1"/>
  <c r="EV9" i="3"/>
  <c r="EV16" i="3" s="1"/>
  <c r="EU9" i="3"/>
  <c r="EU16" i="3" s="1"/>
  <c r="ET9" i="3"/>
  <c r="ET16" i="3" s="1"/>
  <c r="ES9" i="3"/>
  <c r="ES16" i="3" s="1"/>
  <c r="ER9" i="3"/>
  <c r="ER16" i="3" s="1"/>
  <c r="EQ9" i="3"/>
  <c r="EQ16" i="3" s="1"/>
  <c r="EP9" i="3"/>
  <c r="EP16" i="3" s="1"/>
  <c r="EO9" i="3"/>
  <c r="EO16" i="3" s="1"/>
  <c r="EN9" i="3"/>
  <c r="EM9" i="3"/>
  <c r="EM16" i="3" s="1"/>
  <c r="EL9" i="3"/>
  <c r="EL16" i="3" s="1"/>
  <c r="EK9" i="3"/>
  <c r="EK16" i="3" s="1"/>
  <c r="EJ9" i="3"/>
  <c r="EJ16" i="3" s="1"/>
  <c r="EI9" i="3"/>
  <c r="EI16" i="3" s="1"/>
  <c r="EH9" i="3"/>
  <c r="EH16" i="3" s="1"/>
  <c r="EG9" i="3"/>
  <c r="EG16" i="3" s="1"/>
  <c r="EF9" i="3"/>
  <c r="EE9" i="3"/>
  <c r="EE16" i="3" s="1"/>
  <c r="ED9" i="3"/>
  <c r="ED16" i="3" s="1"/>
  <c r="EC9" i="3"/>
  <c r="EC16" i="3" s="1"/>
  <c r="EB9" i="3"/>
  <c r="EB16" i="3" s="1"/>
  <c r="EA9" i="3"/>
  <c r="EA16" i="3" s="1"/>
  <c r="DZ9" i="3"/>
  <c r="DZ16" i="3" s="1"/>
  <c r="DY9" i="3"/>
  <c r="DX9" i="3"/>
  <c r="DX16" i="3" s="1"/>
  <c r="CA9" i="3"/>
  <c r="DM9" i="3" s="1"/>
  <c r="DM16" i="3" s="1"/>
  <c r="BS9" i="3"/>
  <c r="DE9" i="3" s="1"/>
  <c r="DE16" i="3" s="1"/>
  <c r="N9" i="3"/>
  <c r="CI9" i="3" s="1"/>
  <c r="DU9" i="3" s="1"/>
  <c r="DU16" i="3" s="1"/>
  <c r="M9" i="3"/>
  <c r="N60" i="3"/>
  <c r="M60" i="3"/>
  <c r="N59" i="3"/>
  <c r="M59" i="3"/>
  <c r="N58" i="3"/>
  <c r="N56" i="3"/>
  <c r="M56" i="3"/>
  <c r="N69" i="3"/>
  <c r="M69" i="3"/>
  <c r="N68" i="3"/>
  <c r="M68" i="3"/>
  <c r="N65" i="3"/>
  <c r="M65" i="3"/>
  <c r="N78" i="3"/>
  <c r="M78" i="3"/>
  <c r="N77" i="3"/>
  <c r="M77" i="3"/>
  <c r="N76" i="3"/>
  <c r="M76" i="3"/>
  <c r="I83" i="9"/>
  <c r="G83" i="9" s="1"/>
  <c r="N86" i="3"/>
  <c r="M86" i="3"/>
  <c r="N84" i="3"/>
  <c r="M84" i="3"/>
  <c r="N81" i="3"/>
  <c r="M81" i="3"/>
  <c r="BE10" i="3" l="1"/>
  <c r="CF39" i="3"/>
  <c r="CB27" i="3"/>
  <c r="CB34" i="3" s="1"/>
  <c r="BH22" i="3"/>
  <c r="CF22" i="3"/>
  <c r="BJ39" i="3"/>
  <c r="BM12" i="3"/>
  <c r="CA32" i="3"/>
  <c r="DM32" i="3" s="1"/>
  <c r="BJ9" i="3"/>
  <c r="BJ16" i="3" s="1"/>
  <c r="BK9" i="3"/>
  <c r="CW9" i="3" s="1"/>
  <c r="CW16" i="3" s="1"/>
  <c r="BX14" i="3"/>
  <c r="DJ14" i="3" s="1"/>
  <c r="BU14" i="3"/>
  <c r="DG14" i="3" s="1"/>
  <c r="BS18" i="3"/>
  <c r="DE18" i="3" s="1"/>
  <c r="DE25" i="3" s="1"/>
  <c r="CH28" i="3"/>
  <c r="CE33" i="3"/>
  <c r="BO39" i="3"/>
  <c r="CE41" i="3"/>
  <c r="DQ41" i="3" s="1"/>
  <c r="CF12" i="3"/>
  <c r="BU12" i="3"/>
  <c r="CG30" i="3"/>
  <c r="CF23" i="3"/>
  <c r="DR23" i="3" s="1"/>
  <c r="BH12" i="3"/>
  <c r="BT15" i="3"/>
  <c r="BL23" i="3"/>
  <c r="CX23" i="3" s="1"/>
  <c r="BP12" i="3"/>
  <c r="BW12" i="3"/>
  <c r="BR32" i="3"/>
  <c r="DD32" i="3" s="1"/>
  <c r="CH39" i="3"/>
  <c r="BG37" i="3"/>
  <c r="CF40" i="3"/>
  <c r="CI27" i="3"/>
  <c r="DU27" i="3" s="1"/>
  <c r="DU34" i="3" s="1"/>
  <c r="BB9" i="3"/>
  <c r="BB16" i="3" s="1"/>
  <c r="BD14" i="3"/>
  <c r="CP14" i="3" s="1"/>
  <c r="BU15" i="3"/>
  <c r="BT18" i="3"/>
  <c r="DF18" i="3" s="1"/>
  <c r="DF25" i="3" s="1"/>
  <c r="CJ27" i="3"/>
  <c r="DV27" i="3" s="1"/>
  <c r="DV34" i="3" s="1"/>
  <c r="CA29" i="3"/>
  <c r="BB32" i="3"/>
  <c r="CN32" i="3" s="1"/>
  <c r="CH36" i="3"/>
  <c r="DT36" i="3" s="1"/>
  <c r="DT43" i="3" s="1"/>
  <c r="BP39" i="3"/>
  <c r="BU42" i="3"/>
  <c r="BJ30" i="3"/>
  <c r="BJ37" i="3"/>
  <c r="BU36" i="3"/>
  <c r="DG36" i="3" s="1"/>
  <c r="DG43" i="3" s="1"/>
  <c r="CE37" i="3"/>
  <c r="BC9" i="3"/>
  <c r="CO9" i="3" s="1"/>
  <c r="CO16" i="3" s="1"/>
  <c r="BG12" i="3"/>
  <c r="BE14" i="3"/>
  <c r="CQ14" i="3" s="1"/>
  <c r="DY25" i="3"/>
  <c r="CI29" i="3"/>
  <c r="BK32" i="3"/>
  <c r="CW32" i="3" s="1"/>
  <c r="CI36" i="3"/>
  <c r="DU36" i="3" s="1"/>
  <c r="DU43" i="3" s="1"/>
  <c r="BW39" i="3"/>
  <c r="BW42" i="3"/>
  <c r="CI30" i="3"/>
  <c r="BP40" i="3"/>
  <c r="CE14" i="3"/>
  <c r="DQ14" i="3" s="1"/>
  <c r="BD27" i="3"/>
  <c r="CP27" i="3" s="1"/>
  <c r="CP34" i="3" s="1"/>
  <c r="BO33" i="3"/>
  <c r="BC36" i="3"/>
  <c r="CC36" i="3"/>
  <c r="DO36" i="3" s="1"/>
  <c r="DO43" i="3" s="1"/>
  <c r="BZ37" i="3"/>
  <c r="CH38" i="3"/>
  <c r="BR40" i="3"/>
  <c r="CH30" i="3"/>
  <c r="CA30" i="3"/>
  <c r="BZ9" i="3"/>
  <c r="BZ16" i="3" s="1"/>
  <c r="CF14" i="3"/>
  <c r="DR14" i="3" s="1"/>
  <c r="BL27" i="3"/>
  <c r="CX27" i="3" s="1"/>
  <c r="CX34" i="3" s="1"/>
  <c r="BP33" i="3"/>
  <c r="BH36" i="3"/>
  <c r="BO37" i="3"/>
  <c r="BX40" i="3"/>
  <c r="BK30" i="3"/>
  <c r="BW37" i="3"/>
  <c r="BZ30" i="3"/>
  <c r="BP10" i="3"/>
  <c r="CI18" i="3"/>
  <c r="DU18" i="3" s="1"/>
  <c r="DU25" i="3" s="1"/>
  <c r="BS27" i="3"/>
  <c r="BS34" i="3" s="1"/>
  <c r="BB29" i="3"/>
  <c r="BK31" i="3"/>
  <c r="BV33" i="3"/>
  <c r="BJ36" i="3"/>
  <c r="BJ43" i="3" s="1"/>
  <c r="BX38" i="3"/>
  <c r="CH40" i="3"/>
  <c r="BC27" i="3"/>
  <c r="CO27" i="3" s="1"/>
  <c r="CO34" i="3" s="1"/>
  <c r="BB36" i="3"/>
  <c r="CN36" i="3" s="1"/>
  <c r="CN43" i="3" s="1"/>
  <c r="BP37" i="3"/>
  <c r="BW10" i="3"/>
  <c r="BM14" i="3"/>
  <c r="CY14" i="3" s="1"/>
  <c r="BV27" i="3"/>
  <c r="DH27" i="3" s="1"/>
  <c r="DH34" i="3" s="1"/>
  <c r="BC29" i="3"/>
  <c r="CD33" i="3"/>
  <c r="BK36" i="3"/>
  <c r="CW36" i="3" s="1"/>
  <c r="CW43" i="3" s="1"/>
  <c r="CG39" i="3"/>
  <c r="BG39" i="3"/>
  <c r="CE39" i="3"/>
  <c r="BB40" i="3"/>
  <c r="BC30" i="3"/>
  <c r="CH9" i="3"/>
  <c r="CH16" i="3" s="1"/>
  <c r="BM10" i="3"/>
  <c r="BM13" i="3"/>
  <c r="BD18" i="3"/>
  <c r="CP18" i="3" s="1"/>
  <c r="CP25" i="3" s="1"/>
  <c r="BS29" i="3"/>
  <c r="BJ29" i="3"/>
  <c r="CH29" i="3"/>
  <c r="BR30" i="3"/>
  <c r="CH31" i="3"/>
  <c r="BS32" i="3"/>
  <c r="DE32" i="3" s="1"/>
  <c r="BH39" i="3"/>
  <c r="CG11" i="3"/>
  <c r="BP11" i="3"/>
  <c r="CG20" i="3"/>
  <c r="BP20" i="3"/>
  <c r="BH20" i="3"/>
  <c r="BX33" i="3"/>
  <c r="BG11" i="3"/>
  <c r="BG18" i="3"/>
  <c r="CS18" i="3" s="1"/>
  <c r="CS25" i="3" s="1"/>
  <c r="BX20" i="3"/>
  <c r="CD24" i="3"/>
  <c r="BU24" i="3"/>
  <c r="BM24" i="3"/>
  <c r="BH11" i="3"/>
  <c r="BD13" i="3"/>
  <c r="EF16" i="3"/>
  <c r="BO18" i="3"/>
  <c r="DA18" i="3" s="1"/>
  <c r="DA25" i="3" s="1"/>
  <c r="CF20" i="3"/>
  <c r="BE24" i="3"/>
  <c r="CA27" i="3"/>
  <c r="BB43" i="3"/>
  <c r="EY43" i="3"/>
  <c r="BO11" i="3"/>
  <c r="CG21" i="3"/>
  <c r="CF21" i="3"/>
  <c r="BX21" i="3"/>
  <c r="DN27" i="3"/>
  <c r="DN34" i="3" s="1"/>
  <c r="CO36" i="3"/>
  <c r="CO43" i="3" s="1"/>
  <c r="BC43" i="3"/>
  <c r="BW11" i="3"/>
  <c r="CG13" i="3"/>
  <c r="BO13" i="3"/>
  <c r="BE36" i="3"/>
  <c r="CQ36" i="3" s="1"/>
  <c r="CQ43" i="3" s="1"/>
  <c r="EA43" i="3"/>
  <c r="CG10" i="3"/>
  <c r="BG10" i="3"/>
  <c r="BX10" i="3"/>
  <c r="BX11" i="3"/>
  <c r="BG13" i="3"/>
  <c r="CD15" i="3"/>
  <c r="BL15" i="3"/>
  <c r="BE15" i="3"/>
  <c r="CC15" i="3"/>
  <c r="CB18" i="3"/>
  <c r="DN18" i="3" s="1"/>
  <c r="DN25" i="3" s="1"/>
  <c r="BP21" i="3"/>
  <c r="EN43" i="3"/>
  <c r="BR36" i="3"/>
  <c r="BH10" i="3"/>
  <c r="CE11" i="3"/>
  <c r="BH13" i="3"/>
  <c r="BD15" i="3"/>
  <c r="CE18" i="3"/>
  <c r="DQ18" i="3" s="1"/>
  <c r="DQ25" i="3" s="1"/>
  <c r="CG22" i="3"/>
  <c r="BX22" i="3"/>
  <c r="BP22" i="3"/>
  <c r="BO10" i="3"/>
  <c r="CF11" i="3"/>
  <c r="BM11" i="3"/>
  <c r="BP13" i="3"/>
  <c r="BU13" i="3"/>
  <c r="BM15" i="3"/>
  <c r="BD22" i="3"/>
  <c r="CH27" i="3"/>
  <c r="CH34" i="3" s="1"/>
  <c r="BU27" i="3"/>
  <c r="DG27" i="3" s="1"/>
  <c r="DG34" i="3" s="1"/>
  <c r="BT27" i="3"/>
  <c r="BN27" i="3"/>
  <c r="CZ27" i="3" s="1"/>
  <c r="CZ34" i="3" s="1"/>
  <c r="N34" i="3"/>
  <c r="BM27" i="3"/>
  <c r="CY27" i="3" s="1"/>
  <c r="CY34" i="3" s="1"/>
  <c r="CD27" i="3"/>
  <c r="DP27" i="3" s="1"/>
  <c r="DP34" i="3" s="1"/>
  <c r="BF27" i="3"/>
  <c r="CR27" i="3" s="1"/>
  <c r="CR34" i="3" s="1"/>
  <c r="CC27" i="3"/>
  <c r="DO27" i="3" s="1"/>
  <c r="DO34" i="3" s="1"/>
  <c r="BE27" i="3"/>
  <c r="CQ27" i="3" s="1"/>
  <c r="CQ34" i="3" s="1"/>
  <c r="CG28" i="3"/>
  <c r="H72" i="9"/>
  <c r="CI28" i="3"/>
  <c r="CA28" i="3"/>
  <c r="BZ28" i="3"/>
  <c r="BK28" i="3"/>
  <c r="BJ28" i="3"/>
  <c r="CG41" i="3"/>
  <c r="DS41" i="3" s="1"/>
  <c r="BW41" i="3"/>
  <c r="DI41" i="3" s="1"/>
  <c r="BR41" i="3"/>
  <c r="DD41" i="3" s="1"/>
  <c r="BP41" i="3"/>
  <c r="DB41" i="3" s="1"/>
  <c r="BO41" i="3"/>
  <c r="DA41" i="3" s="1"/>
  <c r="BJ41" i="3"/>
  <c r="CV41" i="3" s="1"/>
  <c r="BH41" i="3"/>
  <c r="CT41" i="3" s="1"/>
  <c r="BG41" i="3"/>
  <c r="CS41" i="3" s="1"/>
  <c r="CH41" i="3"/>
  <c r="DT41" i="3" s="1"/>
  <c r="BB41" i="3"/>
  <c r="CN41" i="3" s="1"/>
  <c r="BZ41" i="3"/>
  <c r="DL41" i="3" s="1"/>
  <c r="BX41" i="3"/>
  <c r="DJ41" i="3" s="1"/>
  <c r="BC68" i="3"/>
  <c r="EN16" i="3"/>
  <c r="BR9" i="3"/>
  <c r="BR16" i="3" s="1"/>
  <c r="BX13" i="3"/>
  <c r="CH18" i="3"/>
  <c r="DT18" i="3" s="1"/>
  <c r="DT25" i="3" s="1"/>
  <c r="BL18" i="3"/>
  <c r="CX18" i="3" s="1"/>
  <c r="CX25" i="3" s="1"/>
  <c r="BK18" i="3"/>
  <c r="CW18" i="3" s="1"/>
  <c r="CW25" i="3" s="1"/>
  <c r="CA18" i="3"/>
  <c r="DM18" i="3" s="1"/>
  <c r="DM25" i="3" s="1"/>
  <c r="BW18" i="3"/>
  <c r="DI18" i="3" s="1"/>
  <c r="DI25" i="3" s="1"/>
  <c r="CG19" i="3"/>
  <c r="H71" i="9"/>
  <c r="BP19" i="3"/>
  <c r="BH19" i="3"/>
  <c r="CE10" i="3"/>
  <c r="CE13" i="3"/>
  <c r="BL13" i="3"/>
  <c r="CB15" i="3"/>
  <c r="BB18" i="3"/>
  <c r="BB25" i="3" s="1"/>
  <c r="BX19" i="3"/>
  <c r="CG23" i="3"/>
  <c r="DS23" i="3" s="1"/>
  <c r="BX23" i="3"/>
  <c r="DJ23" i="3" s="1"/>
  <c r="BP23" i="3"/>
  <c r="DB23" i="3" s="1"/>
  <c r="BH23" i="3"/>
  <c r="CT23" i="3" s="1"/>
  <c r="BD23" i="3"/>
  <c r="CP23" i="3" s="1"/>
  <c r="BK27" i="3"/>
  <c r="CH43" i="3"/>
  <c r="BS31" i="3"/>
  <c r="BZ32" i="3"/>
  <c r="DL32" i="3" s="1"/>
  <c r="BW33" i="3"/>
  <c r="BU33" i="3"/>
  <c r="BZ36" i="3"/>
  <c r="BB37" i="3"/>
  <c r="BJ38" i="3"/>
  <c r="BG38" i="3"/>
  <c r="CE38" i="3"/>
  <c r="BR39" i="3"/>
  <c r="BZ40" i="3"/>
  <c r="BW40" i="3"/>
  <c r="BM42" i="3"/>
  <c r="BT42" i="3"/>
  <c r="CG12" i="3"/>
  <c r="BE12" i="3"/>
  <c r="CC12" i="3"/>
  <c r="BL14" i="3"/>
  <c r="CX14" i="3" s="1"/>
  <c r="BS30" i="3"/>
  <c r="BZ31" i="3"/>
  <c r="CJ36" i="3"/>
  <c r="DV36" i="3" s="1"/>
  <c r="DV43" i="3" s="1"/>
  <c r="CA36" i="3"/>
  <c r="BH37" i="3"/>
  <c r="BP38" i="3"/>
  <c r="BX39" i="3"/>
  <c r="BO42" i="3"/>
  <c r="CI31" i="3"/>
  <c r="CJ33" i="3"/>
  <c r="CF33" i="3"/>
  <c r="BM33" i="3"/>
  <c r="BR37" i="3"/>
  <c r="BZ38" i="3"/>
  <c r="BW38" i="3"/>
  <c r="BO40" i="3"/>
  <c r="CC42" i="3"/>
  <c r="BL42" i="3"/>
  <c r="CJ42" i="3"/>
  <c r="CG32" i="3"/>
  <c r="DS32" i="3" s="1"/>
  <c r="BF33" i="3"/>
  <c r="BX37" i="3"/>
  <c r="CF38" i="3"/>
  <c r="CG40" i="3"/>
  <c r="H87" i="9"/>
  <c r="BC32" i="3"/>
  <c r="CO32" i="3" s="1"/>
  <c r="CG14" i="3"/>
  <c r="DS14" i="3" s="1"/>
  <c r="BB31" i="3"/>
  <c r="BH33" i="3"/>
  <c r="CV36" i="3"/>
  <c r="CV43" i="3" s="1"/>
  <c r="CF37" i="3"/>
  <c r="BH40" i="3"/>
  <c r="BK43" i="3"/>
  <c r="CJ9" i="3"/>
  <c r="CJ16" i="3" s="1"/>
  <c r="BU11" i="3"/>
  <c r="CE12" i="3"/>
  <c r="BC14" i="3"/>
  <c r="CO14" i="3" s="1"/>
  <c r="CC14" i="3"/>
  <c r="DO14" i="3" s="1"/>
  <c r="CG29" i="3"/>
  <c r="BB30" i="3"/>
  <c r="BC31" i="3"/>
  <c r="BJ32" i="3"/>
  <c r="CV32" i="3" s="1"/>
  <c r="BN33" i="3"/>
  <c r="BE33" i="3"/>
  <c r="CC33" i="3"/>
  <c r="BM36" i="3"/>
  <c r="CY36" i="3" s="1"/>
  <c r="CY43" i="3" s="1"/>
  <c r="CH37" i="3"/>
  <c r="BO38" i="3"/>
  <c r="BB39" i="3"/>
  <c r="BJ40" i="3"/>
  <c r="BG40" i="3"/>
  <c r="CE40" i="3"/>
  <c r="BD42" i="3"/>
  <c r="CB42" i="3"/>
  <c r="BS43" i="3"/>
  <c r="CG38" i="3"/>
  <c r="CD42" i="3"/>
  <c r="H89" i="9"/>
  <c r="BB38" i="3"/>
  <c r="BE42" i="3"/>
  <c r="BR31" i="3"/>
  <c r="BH38" i="3"/>
  <c r="BG42" i="3"/>
  <c r="N88" i="3"/>
  <c r="H76" i="9" s="1"/>
  <c r="N79" i="3"/>
  <c r="H75" i="9" s="1"/>
  <c r="N70" i="3"/>
  <c r="H74" i="9" s="1"/>
  <c r="N61" i="3"/>
  <c r="H73" i="9" s="1"/>
  <c r="CJ43" i="3"/>
  <c r="BF36" i="3"/>
  <c r="BN36" i="3"/>
  <c r="BV36" i="3"/>
  <c r="CD36" i="3"/>
  <c r="BC37" i="3"/>
  <c r="BK37" i="3"/>
  <c r="BS37" i="3"/>
  <c r="CA37" i="3"/>
  <c r="CI37" i="3"/>
  <c r="BC38" i="3"/>
  <c r="BK38" i="3"/>
  <c r="BS38" i="3"/>
  <c r="CA38" i="3"/>
  <c r="CI38" i="3"/>
  <c r="BC39" i="3"/>
  <c r="BK39" i="3"/>
  <c r="BS39" i="3"/>
  <c r="CA39" i="3"/>
  <c r="CI39" i="3"/>
  <c r="BC40" i="3"/>
  <c r="BK40" i="3"/>
  <c r="BS40" i="3"/>
  <c r="CA40" i="3"/>
  <c r="CI40" i="3"/>
  <c r="BC41" i="3"/>
  <c r="CO41" i="3" s="1"/>
  <c r="BK41" i="3"/>
  <c r="CW41" i="3" s="1"/>
  <c r="BS41" i="3"/>
  <c r="DE41" i="3" s="1"/>
  <c r="CA41" i="3"/>
  <c r="DM41" i="3" s="1"/>
  <c r="CI41" i="3"/>
  <c r="DU41" i="3" s="1"/>
  <c r="BH42" i="3"/>
  <c r="BP42" i="3"/>
  <c r="BX42" i="3"/>
  <c r="CF42" i="3"/>
  <c r="N43" i="3"/>
  <c r="BG36" i="3"/>
  <c r="BO36" i="3"/>
  <c r="BW36" i="3"/>
  <c r="CE36" i="3"/>
  <c r="BD37" i="3"/>
  <c r="BL37" i="3"/>
  <c r="BT37" i="3"/>
  <c r="CB37" i="3"/>
  <c r="CJ37" i="3"/>
  <c r="BD38" i="3"/>
  <c r="BL38" i="3"/>
  <c r="BT38" i="3"/>
  <c r="CB38" i="3"/>
  <c r="CJ38" i="3"/>
  <c r="BD39" i="3"/>
  <c r="BL39" i="3"/>
  <c r="BT39" i="3"/>
  <c r="CB39" i="3"/>
  <c r="CJ39" i="3"/>
  <c r="BD40" i="3"/>
  <c r="BL40" i="3"/>
  <c r="BT40" i="3"/>
  <c r="CB40" i="3"/>
  <c r="CJ40" i="3"/>
  <c r="BD41" i="3"/>
  <c r="CP41" i="3" s="1"/>
  <c r="BL41" i="3"/>
  <c r="CX41" i="3" s="1"/>
  <c r="BT41" i="3"/>
  <c r="DF41" i="3" s="1"/>
  <c r="CB41" i="3"/>
  <c r="DN41" i="3" s="1"/>
  <c r="CJ41" i="3"/>
  <c r="DV41" i="3" s="1"/>
  <c r="BI42" i="3"/>
  <c r="BQ42" i="3"/>
  <c r="BY42" i="3"/>
  <c r="CG42" i="3"/>
  <c r="BP36" i="3"/>
  <c r="BX36" i="3"/>
  <c r="CF36" i="3"/>
  <c r="BE37" i="3"/>
  <c r="BM37" i="3"/>
  <c r="BU37" i="3"/>
  <c r="CC37" i="3"/>
  <c r="BE38" i="3"/>
  <c r="BM38" i="3"/>
  <c r="BU38" i="3"/>
  <c r="CC38" i="3"/>
  <c r="BE39" i="3"/>
  <c r="BM39" i="3"/>
  <c r="BU39" i="3"/>
  <c r="CC39" i="3"/>
  <c r="BE40" i="3"/>
  <c r="BM40" i="3"/>
  <c r="BU40" i="3"/>
  <c r="CC40" i="3"/>
  <c r="BE41" i="3"/>
  <c r="CQ41" i="3" s="1"/>
  <c r="BM41" i="3"/>
  <c r="CY41" i="3" s="1"/>
  <c r="BU41" i="3"/>
  <c r="DG41" i="3" s="1"/>
  <c r="CC41" i="3"/>
  <c r="DO41" i="3" s="1"/>
  <c r="BB42" i="3"/>
  <c r="BJ42" i="3"/>
  <c r="BR42" i="3"/>
  <c r="BZ42" i="3"/>
  <c r="CH42" i="3"/>
  <c r="BI36" i="3"/>
  <c r="BQ36" i="3"/>
  <c r="BY36" i="3"/>
  <c r="CG36" i="3"/>
  <c r="BF37" i="3"/>
  <c r="BN37" i="3"/>
  <c r="BV37" i="3"/>
  <c r="CD37" i="3"/>
  <c r="BF38" i="3"/>
  <c r="BN38" i="3"/>
  <c r="BV38" i="3"/>
  <c r="CD38" i="3"/>
  <c r="BF39" i="3"/>
  <c r="BN39" i="3"/>
  <c r="BV39" i="3"/>
  <c r="CD39" i="3"/>
  <c r="BF40" i="3"/>
  <c r="BN40" i="3"/>
  <c r="BV40" i="3"/>
  <c r="CD40" i="3"/>
  <c r="BF41" i="3"/>
  <c r="CR41" i="3" s="1"/>
  <c r="BN41" i="3"/>
  <c r="CZ41" i="3" s="1"/>
  <c r="BV41" i="3"/>
  <c r="DH41" i="3" s="1"/>
  <c r="CD41" i="3"/>
  <c r="DP41" i="3" s="1"/>
  <c r="BC42" i="3"/>
  <c r="BK42" i="3"/>
  <c r="BS42" i="3"/>
  <c r="CA42" i="3"/>
  <c r="CI42" i="3"/>
  <c r="BD36" i="3"/>
  <c r="BL36" i="3"/>
  <c r="BT36" i="3"/>
  <c r="CB36" i="3"/>
  <c r="BI37" i="3"/>
  <c r="BQ37" i="3"/>
  <c r="BY37" i="3"/>
  <c r="BI38" i="3"/>
  <c r="BQ38" i="3"/>
  <c r="BY38" i="3"/>
  <c r="BI39" i="3"/>
  <c r="BQ39" i="3"/>
  <c r="BY39" i="3"/>
  <c r="BI40" i="3"/>
  <c r="BQ40" i="3"/>
  <c r="BY40" i="3"/>
  <c r="BI41" i="3"/>
  <c r="CU41" i="3" s="1"/>
  <c r="BQ41" i="3"/>
  <c r="DC41" i="3" s="1"/>
  <c r="BY41" i="3"/>
  <c r="DK41" i="3" s="1"/>
  <c r="BF42" i="3"/>
  <c r="BN42" i="3"/>
  <c r="BV42" i="3"/>
  <c r="BG27" i="3"/>
  <c r="BO27" i="3"/>
  <c r="BW27" i="3"/>
  <c r="CE27" i="3"/>
  <c r="BD28" i="3"/>
  <c r="BL28" i="3"/>
  <c r="BT28" i="3"/>
  <c r="CB28" i="3"/>
  <c r="CJ28" i="3"/>
  <c r="BD29" i="3"/>
  <c r="BL29" i="3"/>
  <c r="BT29" i="3"/>
  <c r="CB29" i="3"/>
  <c r="CJ29" i="3"/>
  <c r="BD30" i="3"/>
  <c r="BL30" i="3"/>
  <c r="BT30" i="3"/>
  <c r="CB30" i="3"/>
  <c r="CJ30" i="3"/>
  <c r="BD31" i="3"/>
  <c r="BL31" i="3"/>
  <c r="BT31" i="3"/>
  <c r="CB31" i="3"/>
  <c r="CJ31" i="3"/>
  <c r="BD32" i="3"/>
  <c r="CP32" i="3" s="1"/>
  <c r="BL32" i="3"/>
  <c r="CX32" i="3" s="1"/>
  <c r="BT32" i="3"/>
  <c r="DF32" i="3" s="1"/>
  <c r="CB32" i="3"/>
  <c r="DN32" i="3" s="1"/>
  <c r="CJ32" i="3"/>
  <c r="DV32" i="3" s="1"/>
  <c r="BI33" i="3"/>
  <c r="BQ33" i="3"/>
  <c r="BY33" i="3"/>
  <c r="CG33" i="3"/>
  <c r="BH27" i="3"/>
  <c r="BP27" i="3"/>
  <c r="BX27" i="3"/>
  <c r="CF27" i="3"/>
  <c r="BE28" i="3"/>
  <c r="BM28" i="3"/>
  <c r="BU28" i="3"/>
  <c r="CC28" i="3"/>
  <c r="BE29" i="3"/>
  <c r="BM29" i="3"/>
  <c r="BU29" i="3"/>
  <c r="CC29" i="3"/>
  <c r="BE30" i="3"/>
  <c r="BM30" i="3"/>
  <c r="BU30" i="3"/>
  <c r="CC30" i="3"/>
  <c r="BE31" i="3"/>
  <c r="BM31" i="3"/>
  <c r="BU31" i="3"/>
  <c r="CC31" i="3"/>
  <c r="BE32" i="3"/>
  <c r="CQ32" i="3" s="1"/>
  <c r="BM32" i="3"/>
  <c r="CY32" i="3" s="1"/>
  <c r="BU32" i="3"/>
  <c r="DG32" i="3" s="1"/>
  <c r="CC32" i="3"/>
  <c r="DO32" i="3" s="1"/>
  <c r="BB33" i="3"/>
  <c r="BJ33" i="3"/>
  <c r="BR33" i="3"/>
  <c r="BZ33" i="3"/>
  <c r="CH33" i="3"/>
  <c r="BN34" i="3"/>
  <c r="BV34" i="3"/>
  <c r="BI27" i="3"/>
  <c r="BQ27" i="3"/>
  <c r="BY27" i="3"/>
  <c r="CG27" i="3"/>
  <c r="BF28" i="3"/>
  <c r="BN28" i="3"/>
  <c r="BV28" i="3"/>
  <c r="CD28" i="3"/>
  <c r="BF29" i="3"/>
  <c r="BN29" i="3"/>
  <c r="BV29" i="3"/>
  <c r="CD29" i="3"/>
  <c r="BF30" i="3"/>
  <c r="BN30" i="3"/>
  <c r="BV30" i="3"/>
  <c r="CD30" i="3"/>
  <c r="BF31" i="3"/>
  <c r="BN31" i="3"/>
  <c r="BV31" i="3"/>
  <c r="CD31" i="3"/>
  <c r="BF32" i="3"/>
  <c r="CR32" i="3" s="1"/>
  <c r="BN32" i="3"/>
  <c r="CZ32" i="3" s="1"/>
  <c r="BV32" i="3"/>
  <c r="DH32" i="3" s="1"/>
  <c r="CD32" i="3"/>
  <c r="DP32" i="3" s="1"/>
  <c r="BC33" i="3"/>
  <c r="BK33" i="3"/>
  <c r="BS33" i="3"/>
  <c r="CA33" i="3"/>
  <c r="CI33" i="3"/>
  <c r="BB27" i="3"/>
  <c r="BJ27" i="3"/>
  <c r="BR27" i="3"/>
  <c r="BZ27" i="3"/>
  <c r="BG28" i="3"/>
  <c r="BO28" i="3"/>
  <c r="BW28" i="3"/>
  <c r="CE28" i="3"/>
  <c r="BG29" i="3"/>
  <c r="BO29" i="3"/>
  <c r="BW29" i="3"/>
  <c r="CE29" i="3"/>
  <c r="BG30" i="3"/>
  <c r="BO30" i="3"/>
  <c r="BW30" i="3"/>
  <c r="CE30" i="3"/>
  <c r="BG31" i="3"/>
  <c r="BO31" i="3"/>
  <c r="BW31" i="3"/>
  <c r="CE31" i="3"/>
  <c r="BG32" i="3"/>
  <c r="CS32" i="3" s="1"/>
  <c r="BO32" i="3"/>
  <c r="DA32" i="3" s="1"/>
  <c r="BW32" i="3"/>
  <c r="DI32" i="3" s="1"/>
  <c r="CE32" i="3"/>
  <c r="DQ32" i="3" s="1"/>
  <c r="BD33" i="3"/>
  <c r="BL33" i="3"/>
  <c r="BT33" i="3"/>
  <c r="CB33" i="3"/>
  <c r="BH28" i="3"/>
  <c r="BP28" i="3"/>
  <c r="BX28" i="3"/>
  <c r="CF28" i="3"/>
  <c r="BH29" i="3"/>
  <c r="BP29" i="3"/>
  <c r="BX29" i="3"/>
  <c r="CF29" i="3"/>
  <c r="BH30" i="3"/>
  <c r="BP30" i="3"/>
  <c r="BX30" i="3"/>
  <c r="CF30" i="3"/>
  <c r="BH31" i="3"/>
  <c r="BP31" i="3"/>
  <c r="BX31" i="3"/>
  <c r="CF31" i="3"/>
  <c r="BH32" i="3"/>
  <c r="CT32" i="3" s="1"/>
  <c r="BP32" i="3"/>
  <c r="DB32" i="3" s="1"/>
  <c r="BX32" i="3"/>
  <c r="DJ32" i="3" s="1"/>
  <c r="CF32" i="3"/>
  <c r="DR32" i="3" s="1"/>
  <c r="BI28" i="3"/>
  <c r="BQ28" i="3"/>
  <c r="BY28" i="3"/>
  <c r="BI29" i="3"/>
  <c r="BQ29" i="3"/>
  <c r="BY29" i="3"/>
  <c r="BI30" i="3"/>
  <c r="BQ30" i="3"/>
  <c r="BY30" i="3"/>
  <c r="BI31" i="3"/>
  <c r="BQ31" i="3"/>
  <c r="BY31" i="3"/>
  <c r="BI32" i="3"/>
  <c r="CU32" i="3" s="1"/>
  <c r="BQ32" i="3"/>
  <c r="DC32" i="3" s="1"/>
  <c r="BY32" i="3"/>
  <c r="DK32" i="3" s="1"/>
  <c r="CH25" i="3"/>
  <c r="BE18" i="3"/>
  <c r="BM18" i="3"/>
  <c r="BU18" i="3"/>
  <c r="CC18" i="3"/>
  <c r="BB19" i="3"/>
  <c r="BJ19" i="3"/>
  <c r="BR19" i="3"/>
  <c r="BZ19" i="3"/>
  <c r="CH19" i="3"/>
  <c r="BB20" i="3"/>
  <c r="BJ20" i="3"/>
  <c r="BR20" i="3"/>
  <c r="BZ20" i="3"/>
  <c r="CH20" i="3"/>
  <c r="BB21" i="3"/>
  <c r="BJ21" i="3"/>
  <c r="BR21" i="3"/>
  <c r="BZ21" i="3"/>
  <c r="CH21" i="3"/>
  <c r="BB22" i="3"/>
  <c r="BJ22" i="3"/>
  <c r="BR22" i="3"/>
  <c r="BZ22" i="3"/>
  <c r="CH22" i="3"/>
  <c r="BB23" i="3"/>
  <c r="CN23" i="3" s="1"/>
  <c r="BJ23" i="3"/>
  <c r="CV23" i="3" s="1"/>
  <c r="BR23" i="3"/>
  <c r="DD23" i="3" s="1"/>
  <c r="BZ23" i="3"/>
  <c r="DL23" i="3" s="1"/>
  <c r="CH23" i="3"/>
  <c r="DT23" i="3" s="1"/>
  <c r="BG24" i="3"/>
  <c r="BO24" i="3"/>
  <c r="BW24" i="3"/>
  <c r="CE24" i="3"/>
  <c r="BC25" i="3"/>
  <c r="BS25" i="3"/>
  <c r="CI25" i="3"/>
  <c r="BF18" i="3"/>
  <c r="BN18" i="3"/>
  <c r="BV18" i="3"/>
  <c r="CD18" i="3"/>
  <c r="BC19" i="3"/>
  <c r="BK19" i="3"/>
  <c r="BS19" i="3"/>
  <c r="CA19" i="3"/>
  <c r="CI19" i="3"/>
  <c r="BC20" i="3"/>
  <c r="BK20" i="3"/>
  <c r="BS20" i="3"/>
  <c r="CA20" i="3"/>
  <c r="CI20" i="3"/>
  <c r="BC21" i="3"/>
  <c r="BK21" i="3"/>
  <c r="BS21" i="3"/>
  <c r="CA21" i="3"/>
  <c r="CI21" i="3"/>
  <c r="BC22" i="3"/>
  <c r="BK22" i="3"/>
  <c r="BS22" i="3"/>
  <c r="CA22" i="3"/>
  <c r="CI22" i="3"/>
  <c r="BC23" i="3"/>
  <c r="CO23" i="3" s="1"/>
  <c r="BK23" i="3"/>
  <c r="CW23" i="3" s="1"/>
  <c r="BS23" i="3"/>
  <c r="DE23" i="3" s="1"/>
  <c r="CA23" i="3"/>
  <c r="DM23" i="3" s="1"/>
  <c r="CI23" i="3"/>
  <c r="DU23" i="3" s="1"/>
  <c r="BH24" i="3"/>
  <c r="BP24" i="3"/>
  <c r="BX24" i="3"/>
  <c r="CF24" i="3"/>
  <c r="N25" i="3"/>
  <c r="BL25" i="3"/>
  <c r="BT25" i="3"/>
  <c r="CJ25" i="3"/>
  <c r="BD19" i="3"/>
  <c r="BL19" i="3"/>
  <c r="BT19" i="3"/>
  <c r="CB19" i="3"/>
  <c r="CJ19" i="3"/>
  <c r="BD20" i="3"/>
  <c r="BL20" i="3"/>
  <c r="BT20" i="3"/>
  <c r="CB20" i="3"/>
  <c r="CJ20" i="3"/>
  <c r="BD21" i="3"/>
  <c r="BL21" i="3"/>
  <c r="BT21" i="3"/>
  <c r="CB21" i="3"/>
  <c r="CJ21" i="3"/>
  <c r="BL22" i="3"/>
  <c r="BT22" i="3"/>
  <c r="CB22" i="3"/>
  <c r="CJ22" i="3"/>
  <c r="BT23" i="3"/>
  <c r="DF23" i="3" s="1"/>
  <c r="CB23" i="3"/>
  <c r="DN23" i="3" s="1"/>
  <c r="CJ23" i="3"/>
  <c r="DV23" i="3" s="1"/>
  <c r="BI24" i="3"/>
  <c r="BQ24" i="3"/>
  <c r="BY24" i="3"/>
  <c r="CG24" i="3"/>
  <c r="BH18" i="3"/>
  <c r="BP18" i="3"/>
  <c r="BX18" i="3"/>
  <c r="CF18" i="3"/>
  <c r="BE19" i="3"/>
  <c r="BM19" i="3"/>
  <c r="BU19" i="3"/>
  <c r="CC19" i="3"/>
  <c r="BE20" i="3"/>
  <c r="BM20" i="3"/>
  <c r="BU20" i="3"/>
  <c r="CC20" i="3"/>
  <c r="BE21" i="3"/>
  <c r="BM21" i="3"/>
  <c r="BU21" i="3"/>
  <c r="CC21" i="3"/>
  <c r="BE22" i="3"/>
  <c r="BM22" i="3"/>
  <c r="BU22" i="3"/>
  <c r="CC22" i="3"/>
  <c r="BE23" i="3"/>
  <c r="CQ23" i="3" s="1"/>
  <c r="BM23" i="3"/>
  <c r="CY23" i="3" s="1"/>
  <c r="BU23" i="3"/>
  <c r="DG23" i="3" s="1"/>
  <c r="CC23" i="3"/>
  <c r="DO23" i="3" s="1"/>
  <c r="BB24" i="3"/>
  <c r="BJ24" i="3"/>
  <c r="BR24" i="3"/>
  <c r="BZ24" i="3"/>
  <c r="CH24" i="3"/>
  <c r="BI18" i="3"/>
  <c r="BQ18" i="3"/>
  <c r="BY18" i="3"/>
  <c r="CG18" i="3"/>
  <c r="BF19" i="3"/>
  <c r="BN19" i="3"/>
  <c r="BV19" i="3"/>
  <c r="CD19" i="3"/>
  <c r="BF20" i="3"/>
  <c r="BN20" i="3"/>
  <c r="BV20" i="3"/>
  <c r="CD20" i="3"/>
  <c r="BF21" i="3"/>
  <c r="BN21" i="3"/>
  <c r="BV21" i="3"/>
  <c r="CD21" i="3"/>
  <c r="BF22" i="3"/>
  <c r="BN22" i="3"/>
  <c r="BV22" i="3"/>
  <c r="CD22" i="3"/>
  <c r="BF23" i="3"/>
  <c r="CR23" i="3" s="1"/>
  <c r="BN23" i="3"/>
  <c r="CZ23" i="3" s="1"/>
  <c r="BV23" i="3"/>
  <c r="DH23" i="3" s="1"/>
  <c r="CD23" i="3"/>
  <c r="DP23" i="3" s="1"/>
  <c r="BC24" i="3"/>
  <c r="BK24" i="3"/>
  <c r="BS24" i="3"/>
  <c r="CA24" i="3"/>
  <c r="CI24" i="3"/>
  <c r="BJ18" i="3"/>
  <c r="BR18" i="3"/>
  <c r="BZ18" i="3"/>
  <c r="BG19" i="3"/>
  <c r="BO19" i="3"/>
  <c r="BW19" i="3"/>
  <c r="CE19" i="3"/>
  <c r="BG20" i="3"/>
  <c r="BO20" i="3"/>
  <c r="BW20" i="3"/>
  <c r="CE20" i="3"/>
  <c r="BG21" i="3"/>
  <c r="BO21" i="3"/>
  <c r="BW21" i="3"/>
  <c r="CE21" i="3"/>
  <c r="BG22" i="3"/>
  <c r="BO22" i="3"/>
  <c r="BW22" i="3"/>
  <c r="CE22" i="3"/>
  <c r="BG23" i="3"/>
  <c r="CS23" i="3" s="1"/>
  <c r="BO23" i="3"/>
  <c r="DA23" i="3" s="1"/>
  <c r="BW23" i="3"/>
  <c r="DI23" i="3" s="1"/>
  <c r="CE23" i="3"/>
  <c r="DQ23" i="3" s="1"/>
  <c r="BD24" i="3"/>
  <c r="BL24" i="3"/>
  <c r="BT24" i="3"/>
  <c r="CB24" i="3"/>
  <c r="CJ24" i="3"/>
  <c r="BI19" i="3"/>
  <c r="BQ19" i="3"/>
  <c r="BY19" i="3"/>
  <c r="BI20" i="3"/>
  <c r="BQ20" i="3"/>
  <c r="BY20" i="3"/>
  <c r="BI21" i="3"/>
  <c r="BQ21" i="3"/>
  <c r="BY21" i="3"/>
  <c r="BI22" i="3"/>
  <c r="BQ22" i="3"/>
  <c r="BY22" i="3"/>
  <c r="BI23" i="3"/>
  <c r="CU23" i="3" s="1"/>
  <c r="BQ23" i="3"/>
  <c r="DC23" i="3" s="1"/>
  <c r="BY23" i="3"/>
  <c r="DK23" i="3" s="1"/>
  <c r="BF24" i="3"/>
  <c r="BN24" i="3"/>
  <c r="BV24" i="3"/>
  <c r="BE9" i="3"/>
  <c r="BM9" i="3"/>
  <c r="BU9" i="3"/>
  <c r="CC9" i="3"/>
  <c r="DD9" i="3"/>
  <c r="DD16" i="3" s="1"/>
  <c r="BB10" i="3"/>
  <c r="BJ10" i="3"/>
  <c r="BR10" i="3"/>
  <c r="BZ10" i="3"/>
  <c r="CH10" i="3"/>
  <c r="BB11" i="3"/>
  <c r="BJ11" i="3"/>
  <c r="BR11" i="3"/>
  <c r="BZ11" i="3"/>
  <c r="CH11" i="3"/>
  <c r="BB12" i="3"/>
  <c r="BJ12" i="3"/>
  <c r="BR12" i="3"/>
  <c r="BZ12" i="3"/>
  <c r="CH12" i="3"/>
  <c r="BB13" i="3"/>
  <c r="BJ13" i="3"/>
  <c r="BR13" i="3"/>
  <c r="BZ13" i="3"/>
  <c r="CH13" i="3"/>
  <c r="BB14" i="3"/>
  <c r="CN14" i="3" s="1"/>
  <c r="BJ14" i="3"/>
  <c r="CV14" i="3" s="1"/>
  <c r="BR14" i="3"/>
  <c r="DD14" i="3" s="1"/>
  <c r="BZ14" i="3"/>
  <c r="DL14" i="3" s="1"/>
  <c r="CH14" i="3"/>
  <c r="DT14" i="3" s="1"/>
  <c r="BG15" i="3"/>
  <c r="BO15" i="3"/>
  <c r="BW15" i="3"/>
  <c r="CE15" i="3"/>
  <c r="BS16" i="3"/>
  <c r="CA16" i="3"/>
  <c r="CI16" i="3"/>
  <c r="BF9" i="3"/>
  <c r="BN9" i="3"/>
  <c r="BV9" i="3"/>
  <c r="CD9" i="3"/>
  <c r="BC10" i="3"/>
  <c r="BK10" i="3"/>
  <c r="BS10" i="3"/>
  <c r="CA10" i="3"/>
  <c r="CI10" i="3"/>
  <c r="BC11" i="3"/>
  <c r="BK11" i="3"/>
  <c r="BS11" i="3"/>
  <c r="CA11" i="3"/>
  <c r="CI11" i="3"/>
  <c r="BC12" i="3"/>
  <c r="BK12" i="3"/>
  <c r="BS12" i="3"/>
  <c r="CA12" i="3"/>
  <c r="CI12" i="3"/>
  <c r="BC13" i="3"/>
  <c r="BK13" i="3"/>
  <c r="BS13" i="3"/>
  <c r="CA13" i="3"/>
  <c r="CI13" i="3"/>
  <c r="BK14" i="3"/>
  <c r="CW14" i="3" s="1"/>
  <c r="BS14" i="3"/>
  <c r="DE14" i="3" s="1"/>
  <c r="CA14" i="3"/>
  <c r="DM14" i="3" s="1"/>
  <c r="CI14" i="3"/>
  <c r="DU14" i="3" s="1"/>
  <c r="BH15" i="3"/>
  <c r="BP15" i="3"/>
  <c r="BX15" i="3"/>
  <c r="CF15" i="3"/>
  <c r="N16" i="3"/>
  <c r="BG9" i="3"/>
  <c r="BO9" i="3"/>
  <c r="BW9" i="3"/>
  <c r="CE9" i="3"/>
  <c r="BD10" i="3"/>
  <c r="BL10" i="3"/>
  <c r="BT10" i="3"/>
  <c r="CB10" i="3"/>
  <c r="CJ10" i="3"/>
  <c r="BD11" i="3"/>
  <c r="BL11" i="3"/>
  <c r="BT11" i="3"/>
  <c r="CB11" i="3"/>
  <c r="CJ11" i="3"/>
  <c r="BD12" i="3"/>
  <c r="BL12" i="3"/>
  <c r="BT12" i="3"/>
  <c r="CB12" i="3"/>
  <c r="CJ12" i="3"/>
  <c r="BT13" i="3"/>
  <c r="CB13" i="3"/>
  <c r="CJ13" i="3"/>
  <c r="BT14" i="3"/>
  <c r="DF14" i="3" s="1"/>
  <c r="CB14" i="3"/>
  <c r="DN14" i="3" s="1"/>
  <c r="CJ14" i="3"/>
  <c r="DV14" i="3" s="1"/>
  <c r="BI15" i="3"/>
  <c r="BQ15" i="3"/>
  <c r="BY15" i="3"/>
  <c r="CG15" i="3"/>
  <c r="BH9" i="3"/>
  <c r="BP9" i="3"/>
  <c r="BX9" i="3"/>
  <c r="CF9" i="3"/>
  <c r="BU10" i="3"/>
  <c r="CC10" i="3"/>
  <c r="CC11" i="3"/>
  <c r="BB15" i="3"/>
  <c r="BJ15" i="3"/>
  <c r="BR15" i="3"/>
  <c r="BZ15" i="3"/>
  <c r="CH15" i="3"/>
  <c r="BI9" i="3"/>
  <c r="BQ9" i="3"/>
  <c r="BY9" i="3"/>
  <c r="CG9" i="3"/>
  <c r="BF10" i="3"/>
  <c r="BN10" i="3"/>
  <c r="BV10" i="3"/>
  <c r="CD10" i="3"/>
  <c r="BF11" i="3"/>
  <c r="BN11" i="3"/>
  <c r="BV11" i="3"/>
  <c r="CD11" i="3"/>
  <c r="BF12" i="3"/>
  <c r="BN12" i="3"/>
  <c r="BV12" i="3"/>
  <c r="CD12" i="3"/>
  <c r="BF13" i="3"/>
  <c r="BN13" i="3"/>
  <c r="BV13" i="3"/>
  <c r="CD13" i="3"/>
  <c r="BF14" i="3"/>
  <c r="CR14" i="3" s="1"/>
  <c r="BN14" i="3"/>
  <c r="CZ14" i="3" s="1"/>
  <c r="BV14" i="3"/>
  <c r="DH14" i="3" s="1"/>
  <c r="CD14" i="3"/>
  <c r="DP14" i="3" s="1"/>
  <c r="BC15" i="3"/>
  <c r="BK15" i="3"/>
  <c r="BS15" i="3"/>
  <c r="CA15" i="3"/>
  <c r="CI15" i="3"/>
  <c r="BD9" i="3"/>
  <c r="BL9" i="3"/>
  <c r="BT9" i="3"/>
  <c r="CB9" i="3"/>
  <c r="BI10" i="3"/>
  <c r="BQ10" i="3"/>
  <c r="BY10" i="3"/>
  <c r="BI11" i="3"/>
  <c r="BQ11" i="3"/>
  <c r="BY11" i="3"/>
  <c r="BI12" i="3"/>
  <c r="BQ12" i="3"/>
  <c r="BY12" i="3"/>
  <c r="BI13" i="3"/>
  <c r="BQ13" i="3"/>
  <c r="BY13" i="3"/>
  <c r="BI14" i="3"/>
  <c r="CU14" i="3" s="1"/>
  <c r="BQ14" i="3"/>
  <c r="DC14" i="3" s="1"/>
  <c r="BY14" i="3"/>
  <c r="DK14" i="3" s="1"/>
  <c r="BF15" i="3"/>
  <c r="BN15" i="3"/>
  <c r="BV15" i="3"/>
  <c r="M3" i="1"/>
  <c r="FF51" i="3"/>
  <c r="FE51" i="3"/>
  <c r="FD51" i="3"/>
  <c r="FC51" i="3"/>
  <c r="FB51" i="3"/>
  <c r="FA51" i="3"/>
  <c r="EZ51" i="3"/>
  <c r="EY51" i="3"/>
  <c r="EX51" i="3"/>
  <c r="EW51" i="3"/>
  <c r="EV51" i="3"/>
  <c r="EU51" i="3"/>
  <c r="ET51" i="3"/>
  <c r="ES51" i="3"/>
  <c r="ER51" i="3"/>
  <c r="EQ51" i="3"/>
  <c r="EP51" i="3"/>
  <c r="EO51" i="3"/>
  <c r="EN51" i="3"/>
  <c r="EM51" i="3"/>
  <c r="EL51" i="3"/>
  <c r="EK51" i="3"/>
  <c r="EJ51" i="3"/>
  <c r="EI51" i="3"/>
  <c r="EH51" i="3"/>
  <c r="EG51" i="3"/>
  <c r="EF51" i="3"/>
  <c r="EE51" i="3"/>
  <c r="ED51" i="3"/>
  <c r="EC51" i="3"/>
  <c r="EB51" i="3"/>
  <c r="EA51" i="3"/>
  <c r="DZ51" i="3"/>
  <c r="DY51" i="3"/>
  <c r="DX51" i="3"/>
  <c r="EB50" i="3"/>
  <c r="EA50" i="3"/>
  <c r="DZ50" i="3"/>
  <c r="DY50" i="3"/>
  <c r="DX50" i="3"/>
  <c r="FF49" i="3"/>
  <c r="FF52" i="3" s="1"/>
  <c r="FE49" i="3"/>
  <c r="FD49" i="3"/>
  <c r="FC49" i="3"/>
  <c r="FC52" i="3" s="1"/>
  <c r="FB49" i="3"/>
  <c r="FB52" i="3" s="1"/>
  <c r="FA49" i="3"/>
  <c r="FA52" i="3" s="1"/>
  <c r="EZ49" i="3"/>
  <c r="EZ52" i="3" s="1"/>
  <c r="EY49" i="3"/>
  <c r="EY52" i="3" s="1"/>
  <c r="EX49" i="3"/>
  <c r="EX52" i="3" s="1"/>
  <c r="EW49" i="3"/>
  <c r="EW52" i="3" s="1"/>
  <c r="EV49" i="3"/>
  <c r="EU49" i="3"/>
  <c r="EU52" i="3" s="1"/>
  <c r="ET49" i="3"/>
  <c r="ET52" i="3" s="1"/>
  <c r="ES49" i="3"/>
  <c r="ES52" i="3" s="1"/>
  <c r="ER49" i="3"/>
  <c r="EQ49" i="3"/>
  <c r="EQ52" i="3" s="1"/>
  <c r="EP49" i="3"/>
  <c r="EP52" i="3" s="1"/>
  <c r="EO49" i="3"/>
  <c r="EO52" i="3" s="1"/>
  <c r="EN49" i="3"/>
  <c r="EM49" i="3"/>
  <c r="EM52" i="3" s="1"/>
  <c r="EL49" i="3"/>
  <c r="EL52" i="3" s="1"/>
  <c r="EK49" i="3"/>
  <c r="EJ49" i="3"/>
  <c r="EI49" i="3"/>
  <c r="EH49" i="3"/>
  <c r="EH52" i="3" s="1"/>
  <c r="EG49" i="3"/>
  <c r="EG52" i="3" s="1"/>
  <c r="EF49" i="3"/>
  <c r="EF52" i="3" s="1"/>
  <c r="EE49" i="3"/>
  <c r="EE52" i="3" s="1"/>
  <c r="ED49" i="3"/>
  <c r="ED52" i="3" s="1"/>
  <c r="EC49" i="3"/>
  <c r="EC52" i="3" s="1"/>
  <c r="EB49" i="3"/>
  <c r="EA49" i="3"/>
  <c r="DZ49" i="3"/>
  <c r="DY49" i="3"/>
  <c r="DX49" i="3"/>
  <c r="EB48" i="3"/>
  <c r="EA48" i="3"/>
  <c r="DZ48" i="3"/>
  <c r="DY48" i="3"/>
  <c r="DX48" i="3"/>
  <c r="EB47" i="3"/>
  <c r="EA47" i="3"/>
  <c r="DZ47" i="3"/>
  <c r="DY47" i="3"/>
  <c r="DX47" i="3"/>
  <c r="EB46" i="3"/>
  <c r="EA46" i="3"/>
  <c r="DZ46" i="3"/>
  <c r="DY46" i="3"/>
  <c r="DX46" i="3"/>
  <c r="FE52" i="3"/>
  <c r="EV52" i="3"/>
  <c r="EJ52" i="3"/>
  <c r="EI52" i="3"/>
  <c r="EB45" i="3"/>
  <c r="EB52" i="3" s="1"/>
  <c r="EA45" i="3"/>
  <c r="EA52" i="3" s="1"/>
  <c r="DZ45" i="3"/>
  <c r="DZ52" i="3" s="1"/>
  <c r="DY45" i="3"/>
  <c r="DY52" i="3" s="1"/>
  <c r="DX45" i="3"/>
  <c r="DX52" i="3" s="1"/>
  <c r="FF60" i="3"/>
  <c r="CJ60" i="3" s="1"/>
  <c r="FE60" i="3"/>
  <c r="CI60" i="3" s="1"/>
  <c r="FD60" i="3"/>
  <c r="CH60" i="3" s="1"/>
  <c r="FC60" i="3"/>
  <c r="CG60" i="3" s="1"/>
  <c r="FB60" i="3"/>
  <c r="CF60" i="3" s="1"/>
  <c r="FA60" i="3"/>
  <c r="CE60" i="3" s="1"/>
  <c r="EZ60" i="3"/>
  <c r="CD60" i="3" s="1"/>
  <c r="EY60" i="3"/>
  <c r="CC60" i="3" s="1"/>
  <c r="EX60" i="3"/>
  <c r="CB60" i="3" s="1"/>
  <c r="EW60" i="3"/>
  <c r="CA60" i="3" s="1"/>
  <c r="EV60" i="3"/>
  <c r="BZ60" i="3" s="1"/>
  <c r="EU60" i="3"/>
  <c r="ET60" i="3"/>
  <c r="BX60" i="3" s="1"/>
  <c r="ES60" i="3"/>
  <c r="BW60" i="3" s="1"/>
  <c r="ER60" i="3"/>
  <c r="BV60" i="3" s="1"/>
  <c r="EQ60" i="3"/>
  <c r="BU60" i="3" s="1"/>
  <c r="EP60" i="3"/>
  <c r="BT60" i="3" s="1"/>
  <c r="EO60" i="3"/>
  <c r="BS60" i="3" s="1"/>
  <c r="EN60" i="3"/>
  <c r="EM60" i="3"/>
  <c r="BQ60" i="3" s="1"/>
  <c r="EL60" i="3"/>
  <c r="BP60" i="3" s="1"/>
  <c r="EK60" i="3"/>
  <c r="BO60" i="3" s="1"/>
  <c r="EJ60" i="3"/>
  <c r="BN60" i="3" s="1"/>
  <c r="EI60" i="3"/>
  <c r="EH60" i="3"/>
  <c r="BL60" i="3" s="1"/>
  <c r="EG60" i="3"/>
  <c r="BK60" i="3" s="1"/>
  <c r="EF60" i="3"/>
  <c r="BJ60" i="3" s="1"/>
  <c r="EE60" i="3"/>
  <c r="BI60" i="3" s="1"/>
  <c r="ED60" i="3"/>
  <c r="BH60" i="3" s="1"/>
  <c r="EC60" i="3"/>
  <c r="BG60" i="3" s="1"/>
  <c r="EB60" i="3"/>
  <c r="BF60" i="3" s="1"/>
  <c r="EA60" i="3"/>
  <c r="BE60" i="3" s="1"/>
  <c r="DZ60" i="3"/>
  <c r="BD60" i="3" s="1"/>
  <c r="DY60" i="3"/>
  <c r="BC60" i="3" s="1"/>
  <c r="DX60" i="3"/>
  <c r="BB60" i="3" s="1"/>
  <c r="BY60" i="3"/>
  <c r="BR60" i="3"/>
  <c r="BM60" i="3"/>
  <c r="FF59" i="3"/>
  <c r="CJ59" i="3" s="1"/>
  <c r="FE59" i="3"/>
  <c r="CI59" i="3" s="1"/>
  <c r="FD59" i="3"/>
  <c r="CH59" i="3" s="1"/>
  <c r="FC59" i="3"/>
  <c r="FB59" i="3"/>
  <c r="CF59" i="3" s="1"/>
  <c r="FA59" i="3"/>
  <c r="CE59" i="3" s="1"/>
  <c r="EZ59" i="3"/>
  <c r="CD59" i="3" s="1"/>
  <c r="EY59" i="3"/>
  <c r="CC59" i="3" s="1"/>
  <c r="EX59" i="3"/>
  <c r="CB59" i="3" s="1"/>
  <c r="EW59" i="3"/>
  <c r="CA59" i="3" s="1"/>
  <c r="EV59" i="3"/>
  <c r="BZ59" i="3" s="1"/>
  <c r="EU59" i="3"/>
  <c r="BY59" i="3" s="1"/>
  <c r="ET59" i="3"/>
  <c r="BX59" i="3" s="1"/>
  <c r="ES59" i="3"/>
  <c r="BW59" i="3" s="1"/>
  <c r="ER59" i="3"/>
  <c r="BV59" i="3" s="1"/>
  <c r="EQ59" i="3"/>
  <c r="BU59" i="3" s="1"/>
  <c r="EP59" i="3"/>
  <c r="BT59" i="3" s="1"/>
  <c r="EO59" i="3"/>
  <c r="BS59" i="3" s="1"/>
  <c r="EN59" i="3"/>
  <c r="BR59" i="3" s="1"/>
  <c r="EM59" i="3"/>
  <c r="BQ59" i="3" s="1"/>
  <c r="EL59" i="3"/>
  <c r="BP59" i="3" s="1"/>
  <c r="EK59" i="3"/>
  <c r="BO59" i="3" s="1"/>
  <c r="EJ59" i="3"/>
  <c r="BN59" i="3" s="1"/>
  <c r="EI59" i="3"/>
  <c r="BM59" i="3" s="1"/>
  <c r="EH59" i="3"/>
  <c r="BL59" i="3" s="1"/>
  <c r="EG59" i="3"/>
  <c r="BK59" i="3" s="1"/>
  <c r="EF59" i="3"/>
  <c r="BJ59" i="3" s="1"/>
  <c r="EE59" i="3"/>
  <c r="BI59" i="3" s="1"/>
  <c r="ED59" i="3"/>
  <c r="BH59" i="3" s="1"/>
  <c r="EC59" i="3"/>
  <c r="BG59" i="3" s="1"/>
  <c r="EB59" i="3"/>
  <c r="BF59" i="3" s="1"/>
  <c r="EA59" i="3"/>
  <c r="BE59" i="3" s="1"/>
  <c r="DZ59" i="3"/>
  <c r="BD59" i="3" s="1"/>
  <c r="DY59" i="3"/>
  <c r="BC59" i="3" s="1"/>
  <c r="DX59" i="3"/>
  <c r="BB59" i="3" s="1"/>
  <c r="CG59" i="3"/>
  <c r="FF58" i="3"/>
  <c r="CJ58" i="3" s="1"/>
  <c r="DV54" i="3" s="1"/>
  <c r="FE58" i="3"/>
  <c r="CI58" i="3" s="1"/>
  <c r="DU54" i="3" s="1"/>
  <c r="FD58" i="3"/>
  <c r="CH58" i="3" s="1"/>
  <c r="FC58" i="3"/>
  <c r="CG58" i="3" s="1"/>
  <c r="FB58" i="3"/>
  <c r="CF58" i="3" s="1"/>
  <c r="FA58" i="3"/>
  <c r="CE58" i="3" s="1"/>
  <c r="EZ58" i="3"/>
  <c r="CD58" i="3" s="1"/>
  <c r="EY58" i="3"/>
  <c r="CC58" i="3" s="1"/>
  <c r="EX58" i="3"/>
  <c r="CB58" i="3" s="1"/>
  <c r="DN54" i="3" s="1"/>
  <c r="EW58" i="3"/>
  <c r="CA58" i="3" s="1"/>
  <c r="DM54" i="3" s="1"/>
  <c r="EV58" i="3"/>
  <c r="BZ58" i="3" s="1"/>
  <c r="EU58" i="3"/>
  <c r="BY58" i="3" s="1"/>
  <c r="ET58" i="3"/>
  <c r="BX58" i="3" s="1"/>
  <c r="ES58" i="3"/>
  <c r="BW58" i="3" s="1"/>
  <c r="ER58" i="3"/>
  <c r="BV58" i="3" s="1"/>
  <c r="DH54" i="3" s="1"/>
  <c r="EQ58" i="3"/>
  <c r="BU58" i="3" s="1"/>
  <c r="EP58" i="3"/>
  <c r="BT58" i="3" s="1"/>
  <c r="EO58" i="3"/>
  <c r="EN58" i="3"/>
  <c r="EM58" i="3"/>
  <c r="BQ58" i="3" s="1"/>
  <c r="EL58" i="3"/>
  <c r="BP58" i="3" s="1"/>
  <c r="BP61" i="3" s="1"/>
  <c r="EK58" i="3"/>
  <c r="BO58" i="3" s="1"/>
  <c r="EJ58" i="3"/>
  <c r="BN58" i="3" s="1"/>
  <c r="CZ54" i="3" s="1"/>
  <c r="EI58" i="3"/>
  <c r="BM58" i="3" s="1"/>
  <c r="EH58" i="3"/>
  <c r="BL58" i="3" s="1"/>
  <c r="CX54" i="3" s="1"/>
  <c r="EG58" i="3"/>
  <c r="BK58" i="3" s="1"/>
  <c r="CW54" i="3" s="1"/>
  <c r="EF58" i="3"/>
  <c r="BJ58" i="3" s="1"/>
  <c r="EE58" i="3"/>
  <c r="BI58" i="3" s="1"/>
  <c r="ED58" i="3"/>
  <c r="EC58" i="3"/>
  <c r="BG58" i="3" s="1"/>
  <c r="EB58" i="3"/>
  <c r="BF58" i="3" s="1"/>
  <c r="EA58" i="3"/>
  <c r="BE58" i="3" s="1"/>
  <c r="DZ58" i="3"/>
  <c r="BD58" i="3" s="1"/>
  <c r="CP54" i="3" s="1"/>
  <c r="DY58" i="3"/>
  <c r="BC58" i="3" s="1"/>
  <c r="CO54" i="3" s="1"/>
  <c r="DX58" i="3"/>
  <c r="BB58" i="3" s="1"/>
  <c r="BS58" i="3"/>
  <c r="DE54" i="3" s="1"/>
  <c r="BR58" i="3"/>
  <c r="BH58" i="3"/>
  <c r="FF69" i="3"/>
  <c r="CJ69" i="3" s="1"/>
  <c r="FE69" i="3"/>
  <c r="CI69" i="3" s="1"/>
  <c r="FD69" i="3"/>
  <c r="CH69" i="3" s="1"/>
  <c r="FC69" i="3"/>
  <c r="CG69" i="3" s="1"/>
  <c r="FB69" i="3"/>
  <c r="CF69" i="3" s="1"/>
  <c r="FA69" i="3"/>
  <c r="CE69" i="3" s="1"/>
  <c r="EZ69" i="3"/>
  <c r="CD69" i="3" s="1"/>
  <c r="EY69" i="3"/>
  <c r="CC69" i="3" s="1"/>
  <c r="EX69" i="3"/>
  <c r="CB69" i="3" s="1"/>
  <c r="EW69" i="3"/>
  <c r="CA69" i="3" s="1"/>
  <c r="EV69" i="3"/>
  <c r="BZ69" i="3" s="1"/>
  <c r="EU69" i="3"/>
  <c r="BY69" i="3" s="1"/>
  <c r="ET69" i="3"/>
  <c r="BX69" i="3" s="1"/>
  <c r="ES69" i="3"/>
  <c r="BW69" i="3" s="1"/>
  <c r="ER69" i="3"/>
  <c r="BV69" i="3" s="1"/>
  <c r="EQ69" i="3"/>
  <c r="BU69" i="3" s="1"/>
  <c r="EP69" i="3"/>
  <c r="BT69" i="3" s="1"/>
  <c r="EO69" i="3"/>
  <c r="BS69" i="3" s="1"/>
  <c r="EN69" i="3"/>
  <c r="BR69" i="3" s="1"/>
  <c r="EM69" i="3"/>
  <c r="BQ69" i="3" s="1"/>
  <c r="EL69" i="3"/>
  <c r="BP69" i="3" s="1"/>
  <c r="EK69" i="3"/>
  <c r="BO69" i="3" s="1"/>
  <c r="EJ69" i="3"/>
  <c r="BN69" i="3" s="1"/>
  <c r="EI69" i="3"/>
  <c r="BM69" i="3" s="1"/>
  <c r="EH69" i="3"/>
  <c r="BL69" i="3" s="1"/>
  <c r="EG69" i="3"/>
  <c r="BK69" i="3" s="1"/>
  <c r="EF69" i="3"/>
  <c r="BJ69" i="3" s="1"/>
  <c r="EE69" i="3"/>
  <c r="BI69" i="3" s="1"/>
  <c r="ED69" i="3"/>
  <c r="BH69" i="3" s="1"/>
  <c r="EC69" i="3"/>
  <c r="BG69" i="3" s="1"/>
  <c r="EB69" i="3"/>
  <c r="BF69" i="3" s="1"/>
  <c r="EA69" i="3"/>
  <c r="BE69" i="3" s="1"/>
  <c r="DZ69" i="3"/>
  <c r="BD69" i="3" s="1"/>
  <c r="DY69" i="3"/>
  <c r="BC69" i="3" s="1"/>
  <c r="DX69" i="3"/>
  <c r="BB69" i="3" s="1"/>
  <c r="FF68" i="3"/>
  <c r="CJ68" i="3" s="1"/>
  <c r="FE68" i="3"/>
  <c r="CI68" i="3" s="1"/>
  <c r="FD68" i="3"/>
  <c r="CH68" i="3" s="1"/>
  <c r="FC68" i="3"/>
  <c r="CG68" i="3" s="1"/>
  <c r="FB68" i="3"/>
  <c r="CF68" i="3" s="1"/>
  <c r="FA68" i="3"/>
  <c r="CE68" i="3" s="1"/>
  <c r="EZ68" i="3"/>
  <c r="CD68" i="3" s="1"/>
  <c r="EY68" i="3"/>
  <c r="CC68" i="3" s="1"/>
  <c r="EX68" i="3"/>
  <c r="CB68" i="3" s="1"/>
  <c r="EW68" i="3"/>
  <c r="CA68" i="3" s="1"/>
  <c r="EV68" i="3"/>
  <c r="BZ68" i="3" s="1"/>
  <c r="EU68" i="3"/>
  <c r="BY68" i="3" s="1"/>
  <c r="ET68" i="3"/>
  <c r="BX68" i="3" s="1"/>
  <c r="ES68" i="3"/>
  <c r="BW68" i="3" s="1"/>
  <c r="ER68" i="3"/>
  <c r="BV68" i="3" s="1"/>
  <c r="EQ68" i="3"/>
  <c r="BU68" i="3" s="1"/>
  <c r="EP68" i="3"/>
  <c r="BT68" i="3" s="1"/>
  <c r="EO68" i="3"/>
  <c r="BS68" i="3" s="1"/>
  <c r="EN68" i="3"/>
  <c r="BR68" i="3" s="1"/>
  <c r="EM68" i="3"/>
  <c r="BQ68" i="3" s="1"/>
  <c r="EL68" i="3"/>
  <c r="BP68" i="3" s="1"/>
  <c r="EK68" i="3"/>
  <c r="BO68" i="3" s="1"/>
  <c r="EJ68" i="3"/>
  <c r="BN68" i="3" s="1"/>
  <c r="EI68" i="3"/>
  <c r="BM68" i="3" s="1"/>
  <c r="EH68" i="3"/>
  <c r="BL68" i="3" s="1"/>
  <c r="EG68" i="3"/>
  <c r="BK68" i="3" s="1"/>
  <c r="EF68" i="3"/>
  <c r="BJ68" i="3" s="1"/>
  <c r="EE68" i="3"/>
  <c r="BI68" i="3" s="1"/>
  <c r="ED68" i="3"/>
  <c r="BH68" i="3" s="1"/>
  <c r="EC68" i="3"/>
  <c r="BG68" i="3" s="1"/>
  <c r="EB68" i="3"/>
  <c r="BF68" i="3" s="1"/>
  <c r="EA68" i="3"/>
  <c r="BE68" i="3" s="1"/>
  <c r="DZ68" i="3"/>
  <c r="BD68" i="3" s="1"/>
  <c r="DY68" i="3"/>
  <c r="DX68" i="3"/>
  <c r="BB68" i="3" s="1"/>
  <c r="DY70" i="3"/>
  <c r="FF65" i="3"/>
  <c r="CJ65" i="3" s="1"/>
  <c r="FE65" i="3"/>
  <c r="CI65" i="3" s="1"/>
  <c r="DU63" i="3" s="1"/>
  <c r="FD65" i="3"/>
  <c r="CH65" i="3" s="1"/>
  <c r="FC65" i="3"/>
  <c r="CG65" i="3" s="1"/>
  <c r="FB65" i="3"/>
  <c r="CF65" i="3" s="1"/>
  <c r="FA65" i="3"/>
  <c r="CE65" i="3" s="1"/>
  <c r="EZ65" i="3"/>
  <c r="CD65" i="3" s="1"/>
  <c r="EY65" i="3"/>
  <c r="CC65" i="3" s="1"/>
  <c r="EX65" i="3"/>
  <c r="EW65" i="3"/>
  <c r="EV65" i="3"/>
  <c r="BZ65" i="3" s="1"/>
  <c r="EU65" i="3"/>
  <c r="BY65" i="3" s="1"/>
  <c r="ET65" i="3"/>
  <c r="BX65" i="3" s="1"/>
  <c r="ES65" i="3"/>
  <c r="BW65" i="3" s="1"/>
  <c r="ER65" i="3"/>
  <c r="BV65" i="3" s="1"/>
  <c r="EQ65" i="3"/>
  <c r="BU65" i="3" s="1"/>
  <c r="EP65" i="3"/>
  <c r="BT65" i="3" s="1"/>
  <c r="EO65" i="3"/>
  <c r="EN65" i="3"/>
  <c r="BR65" i="3" s="1"/>
  <c r="EM65" i="3"/>
  <c r="BQ65" i="3" s="1"/>
  <c r="EL65" i="3"/>
  <c r="BP65" i="3" s="1"/>
  <c r="EK65" i="3"/>
  <c r="BO65" i="3" s="1"/>
  <c r="EJ65" i="3"/>
  <c r="BN65" i="3" s="1"/>
  <c r="EI65" i="3"/>
  <c r="BM65" i="3" s="1"/>
  <c r="EH65" i="3"/>
  <c r="BL65" i="3" s="1"/>
  <c r="EG65" i="3"/>
  <c r="BK65" i="3" s="1"/>
  <c r="EF65" i="3"/>
  <c r="BJ65" i="3" s="1"/>
  <c r="EE65" i="3"/>
  <c r="BI65" i="3" s="1"/>
  <c r="ED65" i="3"/>
  <c r="BH65" i="3" s="1"/>
  <c r="EC65" i="3"/>
  <c r="BG65" i="3" s="1"/>
  <c r="EB65" i="3"/>
  <c r="BF65" i="3" s="1"/>
  <c r="EA65" i="3"/>
  <c r="EA70" i="3" s="1"/>
  <c r="DZ65" i="3"/>
  <c r="BD65" i="3" s="1"/>
  <c r="DY65" i="3"/>
  <c r="BC65" i="3" s="1"/>
  <c r="CO63" i="3" s="1"/>
  <c r="DX65" i="3"/>
  <c r="BB65" i="3" s="1"/>
  <c r="CA65" i="3"/>
  <c r="DM63" i="3" s="1"/>
  <c r="EW70" i="3"/>
  <c r="EU70" i="3"/>
  <c r="FF78" i="3"/>
  <c r="CJ78" i="3" s="1"/>
  <c r="FE78" i="3"/>
  <c r="CI78" i="3" s="1"/>
  <c r="FD78" i="3"/>
  <c r="CH78" i="3" s="1"/>
  <c r="FC78" i="3"/>
  <c r="CG78" i="3" s="1"/>
  <c r="FB78" i="3"/>
  <c r="CF78" i="3" s="1"/>
  <c r="FA78" i="3"/>
  <c r="CE78" i="3" s="1"/>
  <c r="EZ78" i="3"/>
  <c r="CD78" i="3" s="1"/>
  <c r="EY78" i="3"/>
  <c r="CC78" i="3" s="1"/>
  <c r="EX78" i="3"/>
  <c r="CB78" i="3" s="1"/>
  <c r="EW78" i="3"/>
  <c r="CA78" i="3" s="1"/>
  <c r="EV78" i="3"/>
  <c r="BZ78" i="3" s="1"/>
  <c r="EU78" i="3"/>
  <c r="BY78" i="3" s="1"/>
  <c r="ET78" i="3"/>
  <c r="BX78" i="3" s="1"/>
  <c r="ES78" i="3"/>
  <c r="BW78" i="3" s="1"/>
  <c r="ER78" i="3"/>
  <c r="BV78" i="3" s="1"/>
  <c r="EQ78" i="3"/>
  <c r="BU78" i="3" s="1"/>
  <c r="EP78" i="3"/>
  <c r="BT78" i="3" s="1"/>
  <c r="EO78" i="3"/>
  <c r="BS78" i="3" s="1"/>
  <c r="EN78" i="3"/>
  <c r="BR78" i="3" s="1"/>
  <c r="EM78" i="3"/>
  <c r="BQ78" i="3" s="1"/>
  <c r="EL78" i="3"/>
  <c r="BP78" i="3" s="1"/>
  <c r="EK78" i="3"/>
  <c r="BO78" i="3" s="1"/>
  <c r="EJ78" i="3"/>
  <c r="BN78" i="3" s="1"/>
  <c r="EI78" i="3"/>
  <c r="BM78" i="3" s="1"/>
  <c r="EH78" i="3"/>
  <c r="BL78" i="3" s="1"/>
  <c r="EG78" i="3"/>
  <c r="EF78" i="3"/>
  <c r="BJ78" i="3" s="1"/>
  <c r="EE78" i="3"/>
  <c r="BI78" i="3" s="1"/>
  <c r="ED78" i="3"/>
  <c r="BH78" i="3" s="1"/>
  <c r="EC78" i="3"/>
  <c r="BG78" i="3" s="1"/>
  <c r="EB78" i="3"/>
  <c r="BF78" i="3" s="1"/>
  <c r="EA78" i="3"/>
  <c r="BE78" i="3" s="1"/>
  <c r="DZ78" i="3"/>
  <c r="DY78" i="3"/>
  <c r="BC78" i="3" s="1"/>
  <c r="DX78" i="3"/>
  <c r="BB78" i="3" s="1"/>
  <c r="BK78" i="3"/>
  <c r="BD78" i="3"/>
  <c r="FF77" i="3"/>
  <c r="CJ77" i="3" s="1"/>
  <c r="FE77" i="3"/>
  <c r="CI77" i="3" s="1"/>
  <c r="FD77" i="3"/>
  <c r="FD79" i="3" s="1"/>
  <c r="FC77" i="3"/>
  <c r="CG77" i="3" s="1"/>
  <c r="FB77" i="3"/>
  <c r="CF77" i="3" s="1"/>
  <c r="FA77" i="3"/>
  <c r="CE77" i="3" s="1"/>
  <c r="EZ77" i="3"/>
  <c r="CD77" i="3" s="1"/>
  <c r="EY77" i="3"/>
  <c r="CC77" i="3" s="1"/>
  <c r="EX77" i="3"/>
  <c r="CB77" i="3" s="1"/>
  <c r="EW77" i="3"/>
  <c r="CA77" i="3" s="1"/>
  <c r="EV77" i="3"/>
  <c r="BZ77" i="3" s="1"/>
  <c r="EU77" i="3"/>
  <c r="BY77" i="3" s="1"/>
  <c r="ET77" i="3"/>
  <c r="BX77" i="3" s="1"/>
  <c r="ES77" i="3"/>
  <c r="BW77" i="3" s="1"/>
  <c r="ER77" i="3"/>
  <c r="BV77" i="3" s="1"/>
  <c r="EQ77" i="3"/>
  <c r="BU77" i="3" s="1"/>
  <c r="EP77" i="3"/>
  <c r="BT77" i="3" s="1"/>
  <c r="EO77" i="3"/>
  <c r="BS77" i="3" s="1"/>
  <c r="EN77" i="3"/>
  <c r="BR77" i="3" s="1"/>
  <c r="EM77" i="3"/>
  <c r="BQ77" i="3" s="1"/>
  <c r="EL77" i="3"/>
  <c r="BP77" i="3" s="1"/>
  <c r="EK77" i="3"/>
  <c r="BO77" i="3" s="1"/>
  <c r="EJ77" i="3"/>
  <c r="BN77" i="3" s="1"/>
  <c r="EI77" i="3"/>
  <c r="BM77" i="3" s="1"/>
  <c r="EH77" i="3"/>
  <c r="BL77" i="3" s="1"/>
  <c r="EG77" i="3"/>
  <c r="BK77" i="3" s="1"/>
  <c r="EF77" i="3"/>
  <c r="BJ77" i="3" s="1"/>
  <c r="EE77" i="3"/>
  <c r="ED77" i="3"/>
  <c r="BH77" i="3" s="1"/>
  <c r="EC77" i="3"/>
  <c r="BG77" i="3" s="1"/>
  <c r="EB77" i="3"/>
  <c r="BF77" i="3" s="1"/>
  <c r="EA77" i="3"/>
  <c r="BE77" i="3" s="1"/>
  <c r="DZ77" i="3"/>
  <c r="BD77" i="3" s="1"/>
  <c r="DY77" i="3"/>
  <c r="BC77" i="3" s="1"/>
  <c r="DX77" i="3"/>
  <c r="BB77" i="3" s="1"/>
  <c r="BI77" i="3"/>
  <c r="FF76" i="3"/>
  <c r="CJ76" i="3" s="1"/>
  <c r="FE76" i="3"/>
  <c r="CI76" i="3" s="1"/>
  <c r="FD76" i="3"/>
  <c r="CH76" i="3" s="1"/>
  <c r="FC76" i="3"/>
  <c r="CG76" i="3" s="1"/>
  <c r="FB76" i="3"/>
  <c r="CF76" i="3" s="1"/>
  <c r="FA76" i="3"/>
  <c r="CE76" i="3" s="1"/>
  <c r="EZ76" i="3"/>
  <c r="CD76" i="3" s="1"/>
  <c r="EY76" i="3"/>
  <c r="CC76" i="3" s="1"/>
  <c r="EX76" i="3"/>
  <c r="CB76" i="3" s="1"/>
  <c r="EW76" i="3"/>
  <c r="CA76" i="3" s="1"/>
  <c r="EV76" i="3"/>
  <c r="BZ76" i="3" s="1"/>
  <c r="EU76" i="3"/>
  <c r="BY76" i="3" s="1"/>
  <c r="ET76" i="3"/>
  <c r="BX76" i="3" s="1"/>
  <c r="ES76" i="3"/>
  <c r="BW76" i="3" s="1"/>
  <c r="ER76" i="3"/>
  <c r="BV76" i="3" s="1"/>
  <c r="EQ76" i="3"/>
  <c r="BU76" i="3" s="1"/>
  <c r="EP76" i="3"/>
  <c r="BT76" i="3" s="1"/>
  <c r="EO76" i="3"/>
  <c r="BS76" i="3" s="1"/>
  <c r="EN76" i="3"/>
  <c r="BR76" i="3" s="1"/>
  <c r="EM76" i="3"/>
  <c r="BQ76" i="3" s="1"/>
  <c r="EL76" i="3"/>
  <c r="BP76" i="3" s="1"/>
  <c r="EK76" i="3"/>
  <c r="BO76" i="3" s="1"/>
  <c r="EJ76" i="3"/>
  <c r="BN76" i="3" s="1"/>
  <c r="EI76" i="3"/>
  <c r="BM76" i="3" s="1"/>
  <c r="EH76" i="3"/>
  <c r="BL76" i="3" s="1"/>
  <c r="EG76" i="3"/>
  <c r="BK76" i="3" s="1"/>
  <c r="EF76" i="3"/>
  <c r="BJ76" i="3" s="1"/>
  <c r="EE76" i="3"/>
  <c r="BI76" i="3" s="1"/>
  <c r="ED76" i="3"/>
  <c r="BH76" i="3" s="1"/>
  <c r="EC76" i="3"/>
  <c r="BG76" i="3" s="1"/>
  <c r="EB76" i="3"/>
  <c r="BF76" i="3" s="1"/>
  <c r="EA76" i="3"/>
  <c r="BE76" i="3" s="1"/>
  <c r="DZ76" i="3"/>
  <c r="BD76" i="3" s="1"/>
  <c r="DY76" i="3"/>
  <c r="BC76" i="3" s="1"/>
  <c r="DX76" i="3"/>
  <c r="BB76" i="3" s="1"/>
  <c r="ET79" i="3"/>
  <c r="EN79" i="3"/>
  <c r="DQ72" i="3"/>
  <c r="CS72" i="3"/>
  <c r="FF86" i="3"/>
  <c r="CJ86" i="3" s="1"/>
  <c r="FE86" i="3"/>
  <c r="CI86" i="3" s="1"/>
  <c r="FD86" i="3"/>
  <c r="CH86" i="3" s="1"/>
  <c r="FC86" i="3"/>
  <c r="CG86" i="3" s="1"/>
  <c r="FB86" i="3"/>
  <c r="CF86" i="3" s="1"/>
  <c r="FA86" i="3"/>
  <c r="CE86" i="3" s="1"/>
  <c r="EZ86" i="3"/>
  <c r="CD86" i="3" s="1"/>
  <c r="EY86" i="3"/>
  <c r="CC86" i="3" s="1"/>
  <c r="EX86" i="3"/>
  <c r="CB86" i="3" s="1"/>
  <c r="EW86" i="3"/>
  <c r="CA86" i="3" s="1"/>
  <c r="EV86" i="3"/>
  <c r="EU86" i="3"/>
  <c r="BY86" i="3" s="1"/>
  <c r="ET86" i="3"/>
  <c r="ES86" i="3"/>
  <c r="BW86" i="3" s="1"/>
  <c r="ER86" i="3"/>
  <c r="BV86" i="3" s="1"/>
  <c r="EQ86" i="3"/>
  <c r="BU86" i="3" s="1"/>
  <c r="EP86" i="3"/>
  <c r="BT86" i="3" s="1"/>
  <c r="EO86" i="3"/>
  <c r="BS86" i="3" s="1"/>
  <c r="EN86" i="3"/>
  <c r="BR86" i="3" s="1"/>
  <c r="DD86" i="3" s="1"/>
  <c r="EM86" i="3"/>
  <c r="BQ86" i="3" s="1"/>
  <c r="EL86" i="3"/>
  <c r="BP86" i="3" s="1"/>
  <c r="EK86" i="3"/>
  <c r="BO86" i="3" s="1"/>
  <c r="DA86" i="3" s="1"/>
  <c r="EJ86" i="3"/>
  <c r="BN86" i="3" s="1"/>
  <c r="EI86" i="3"/>
  <c r="BM86" i="3" s="1"/>
  <c r="CY86" i="3" s="1"/>
  <c r="EH86" i="3"/>
  <c r="BL86" i="3" s="1"/>
  <c r="EG86" i="3"/>
  <c r="BK86" i="3" s="1"/>
  <c r="EF86" i="3"/>
  <c r="BJ86" i="3" s="1"/>
  <c r="EE86" i="3"/>
  <c r="BI86" i="3" s="1"/>
  <c r="ED86" i="3"/>
  <c r="BH86" i="3" s="1"/>
  <c r="EC86" i="3"/>
  <c r="BG86" i="3" s="1"/>
  <c r="EB86" i="3"/>
  <c r="BF86" i="3" s="1"/>
  <c r="EA86" i="3"/>
  <c r="BE86" i="3" s="1"/>
  <c r="DZ86" i="3"/>
  <c r="BD86" i="3" s="1"/>
  <c r="DY86" i="3"/>
  <c r="BC86" i="3" s="1"/>
  <c r="DX86" i="3"/>
  <c r="BB86" i="3" s="1"/>
  <c r="BZ86" i="3"/>
  <c r="BX86" i="3"/>
  <c r="FF84" i="3"/>
  <c r="CJ84" i="3" s="1"/>
  <c r="FE84" i="3"/>
  <c r="CI84" i="3" s="1"/>
  <c r="FD84" i="3"/>
  <c r="CH84" i="3" s="1"/>
  <c r="FC84" i="3"/>
  <c r="CG84" i="3" s="1"/>
  <c r="FB84" i="3"/>
  <c r="CF84" i="3" s="1"/>
  <c r="FA84" i="3"/>
  <c r="CE84" i="3" s="1"/>
  <c r="EZ84" i="3"/>
  <c r="CD84" i="3" s="1"/>
  <c r="EY84" i="3"/>
  <c r="CC84" i="3" s="1"/>
  <c r="EX84" i="3"/>
  <c r="CB84" i="3" s="1"/>
  <c r="EW84" i="3"/>
  <c r="CA84" i="3" s="1"/>
  <c r="EV84" i="3"/>
  <c r="BZ84" i="3" s="1"/>
  <c r="EU84" i="3"/>
  <c r="BY84" i="3" s="1"/>
  <c r="ET84" i="3"/>
  <c r="BX84" i="3" s="1"/>
  <c r="ES84" i="3"/>
  <c r="BW84" i="3" s="1"/>
  <c r="ER84" i="3"/>
  <c r="BV84" i="3" s="1"/>
  <c r="EQ84" i="3"/>
  <c r="BU84" i="3" s="1"/>
  <c r="EP84" i="3"/>
  <c r="BT84" i="3" s="1"/>
  <c r="EO84" i="3"/>
  <c r="BS84" i="3" s="1"/>
  <c r="EN84" i="3"/>
  <c r="BR84" i="3" s="1"/>
  <c r="EM84" i="3"/>
  <c r="BQ84" i="3" s="1"/>
  <c r="EL84" i="3"/>
  <c r="BP84" i="3" s="1"/>
  <c r="EK84" i="3"/>
  <c r="BO84" i="3" s="1"/>
  <c r="EJ84" i="3"/>
  <c r="BN84" i="3" s="1"/>
  <c r="EI84" i="3"/>
  <c r="BM84" i="3" s="1"/>
  <c r="EH84" i="3"/>
  <c r="BL84" i="3" s="1"/>
  <c r="EG84" i="3"/>
  <c r="BK84" i="3" s="1"/>
  <c r="EF84" i="3"/>
  <c r="BJ84" i="3" s="1"/>
  <c r="EE84" i="3"/>
  <c r="BI84" i="3" s="1"/>
  <c r="ED84" i="3"/>
  <c r="BH84" i="3" s="1"/>
  <c r="EC84" i="3"/>
  <c r="BG84" i="3" s="1"/>
  <c r="EB84" i="3"/>
  <c r="BF84" i="3" s="1"/>
  <c r="EA84" i="3"/>
  <c r="BE84" i="3" s="1"/>
  <c r="DZ84" i="3"/>
  <c r="DY84" i="3"/>
  <c r="BC84" i="3" s="1"/>
  <c r="DX84" i="3"/>
  <c r="BB84" i="3" s="1"/>
  <c r="BD84" i="3"/>
  <c r="FF81" i="3"/>
  <c r="CJ81" i="3" s="1"/>
  <c r="FE81" i="3"/>
  <c r="FE88" i="3" s="1"/>
  <c r="FD81" i="3"/>
  <c r="FD88" i="3" s="1"/>
  <c r="FC81" i="3"/>
  <c r="FB81" i="3"/>
  <c r="CF81" i="3" s="1"/>
  <c r="FA81" i="3"/>
  <c r="EZ81" i="3"/>
  <c r="EY81" i="3"/>
  <c r="CC81" i="3" s="1"/>
  <c r="EX81" i="3"/>
  <c r="EX88" i="3" s="1"/>
  <c r="EW81" i="3"/>
  <c r="EV81" i="3"/>
  <c r="EV88" i="3" s="1"/>
  <c r="EU81" i="3"/>
  <c r="BY81" i="3" s="1"/>
  <c r="ET81" i="3"/>
  <c r="BX81" i="3" s="1"/>
  <c r="ES81" i="3"/>
  <c r="ER81" i="3"/>
  <c r="ER88" i="3" s="1"/>
  <c r="EQ81" i="3"/>
  <c r="BU81" i="3" s="1"/>
  <c r="EP81" i="3"/>
  <c r="EO81" i="3"/>
  <c r="EO88" i="3" s="1"/>
  <c r="EN81" i="3"/>
  <c r="EM81" i="3"/>
  <c r="EL81" i="3"/>
  <c r="BP81" i="3" s="1"/>
  <c r="EK81" i="3"/>
  <c r="EJ81" i="3"/>
  <c r="EJ88" i="3" s="1"/>
  <c r="EI81" i="3"/>
  <c r="EH81" i="3"/>
  <c r="EG81" i="3"/>
  <c r="EG88" i="3" s="1"/>
  <c r="EF81" i="3"/>
  <c r="EF88" i="3" s="1"/>
  <c r="EE81" i="3"/>
  <c r="ED81" i="3"/>
  <c r="BH81" i="3" s="1"/>
  <c r="EC81" i="3"/>
  <c r="EB81" i="3"/>
  <c r="EA81" i="3"/>
  <c r="DZ81" i="3"/>
  <c r="DZ88" i="3" s="1"/>
  <c r="DY81" i="3"/>
  <c r="DX81" i="3"/>
  <c r="DX88" i="3" s="1"/>
  <c r="CE81" i="3"/>
  <c r="BS81" i="3"/>
  <c r="BB81" i="3"/>
  <c r="N51" i="3"/>
  <c r="M51" i="3"/>
  <c r="N49" i="3"/>
  <c r="M49" i="3"/>
  <c r="H217" i="6"/>
  <c r="H216" i="6"/>
  <c r="H215" i="6"/>
  <c r="H214" i="6"/>
  <c r="H211" i="6"/>
  <c r="H210" i="6"/>
  <c r="H209" i="6"/>
  <c r="H208" i="6"/>
  <c r="H205" i="6"/>
  <c r="H204" i="6"/>
  <c r="H203" i="6"/>
  <c r="H202" i="6"/>
  <c r="CA26" i="9"/>
  <c r="BZ26" i="9"/>
  <c r="BY26" i="9"/>
  <c r="BX26" i="9"/>
  <c r="BW26" i="9"/>
  <c r="BV26" i="9"/>
  <c r="BU26" i="9"/>
  <c r="BT26" i="9"/>
  <c r="BS26" i="9"/>
  <c r="BR26" i="9"/>
  <c r="BQ26" i="9"/>
  <c r="BP26" i="9"/>
  <c r="BO26" i="9"/>
  <c r="BN26" i="9"/>
  <c r="BM26" i="9"/>
  <c r="BL26" i="9"/>
  <c r="BK26" i="9"/>
  <c r="BJ26" i="9"/>
  <c r="BI26" i="9"/>
  <c r="BH26" i="9"/>
  <c r="BG26" i="9"/>
  <c r="BF26" i="9"/>
  <c r="BE26" i="9"/>
  <c r="BD26" i="9"/>
  <c r="BC26" i="9"/>
  <c r="BB26" i="9"/>
  <c r="BA26" i="9"/>
  <c r="H26" i="9"/>
  <c r="G26" i="9"/>
  <c r="F26" i="9"/>
  <c r="D26" i="9"/>
  <c r="C26" i="9"/>
  <c r="B26" i="9"/>
  <c r="CA25" i="9"/>
  <c r="BZ25" i="9"/>
  <c r="BY25" i="9"/>
  <c r="BX25" i="9"/>
  <c r="BW25" i="9"/>
  <c r="BV25" i="9"/>
  <c r="BU25" i="9"/>
  <c r="BT25" i="9"/>
  <c r="BS25" i="9"/>
  <c r="BR25" i="9"/>
  <c r="BQ25" i="9"/>
  <c r="BP25" i="9"/>
  <c r="BO25" i="9"/>
  <c r="BN25" i="9"/>
  <c r="BM25" i="9"/>
  <c r="BL25" i="9"/>
  <c r="BK25" i="9"/>
  <c r="BJ25" i="9"/>
  <c r="BI25" i="9"/>
  <c r="BH25" i="9"/>
  <c r="BG25" i="9"/>
  <c r="BF25" i="9"/>
  <c r="BE25" i="9"/>
  <c r="BD25" i="9"/>
  <c r="BC25" i="9"/>
  <c r="BB25" i="9"/>
  <c r="BA25" i="9"/>
  <c r="AS25" i="9"/>
  <c r="K18" i="14" s="1"/>
  <c r="H25" i="9"/>
  <c r="H18" i="14" s="1"/>
  <c r="G25" i="9"/>
  <c r="G18" i="14" s="1"/>
  <c r="I18" i="14" s="1"/>
  <c r="F25" i="9"/>
  <c r="F18" i="14" s="1"/>
  <c r="D25" i="9"/>
  <c r="C25" i="9"/>
  <c r="B25" i="9"/>
  <c r="CA24" i="9"/>
  <c r="BZ24" i="9"/>
  <c r="BY24" i="9"/>
  <c r="BX24" i="9"/>
  <c r="BW24" i="9"/>
  <c r="BV24" i="9"/>
  <c r="BU24" i="9"/>
  <c r="BT24" i="9"/>
  <c r="BS24" i="9"/>
  <c r="BR24" i="9"/>
  <c r="BQ24" i="9"/>
  <c r="BP24" i="9"/>
  <c r="BO24" i="9"/>
  <c r="BN24" i="9"/>
  <c r="BM24" i="9"/>
  <c r="BL24" i="9"/>
  <c r="BK24" i="9"/>
  <c r="BJ24" i="9"/>
  <c r="BI24" i="9"/>
  <c r="BH24" i="9"/>
  <c r="BG24" i="9"/>
  <c r="BF24" i="9"/>
  <c r="BE24" i="9"/>
  <c r="BD24" i="9"/>
  <c r="BC24" i="9"/>
  <c r="BB24" i="9"/>
  <c r="BA24" i="9"/>
  <c r="D24" i="9"/>
  <c r="C24" i="9"/>
  <c r="B24" i="9"/>
  <c r="AW133" i="3"/>
  <c r="AX133" i="3"/>
  <c r="AW142" i="3"/>
  <c r="AX142" i="3"/>
  <c r="AW169" i="3"/>
  <c r="AX169" i="3"/>
  <c r="AW160" i="3"/>
  <c r="AX160" i="3"/>
  <c r="AP152" i="2"/>
  <c r="AQ152" i="2"/>
  <c r="AP142" i="2"/>
  <c r="AQ142" i="2"/>
  <c r="AP132" i="2"/>
  <c r="AQ132" i="2"/>
  <c r="AP122" i="2"/>
  <c r="AQ122" i="2"/>
  <c r="AP112" i="2"/>
  <c r="AQ112" i="2"/>
  <c r="AP102" i="2"/>
  <c r="AQ102" i="2"/>
  <c r="AP92" i="2"/>
  <c r="AQ92" i="2"/>
  <c r="AP82" i="2"/>
  <c r="AQ82" i="2"/>
  <c r="AP62" i="2"/>
  <c r="AQ62" i="2"/>
  <c r="AP52" i="2"/>
  <c r="AQ52" i="2"/>
  <c r="AP72" i="2"/>
  <c r="AQ72" i="2"/>
  <c r="E290" i="2"/>
  <c r="E259" i="2"/>
  <c r="BU34" i="3" l="1"/>
  <c r="DT27" i="3"/>
  <c r="DT34" i="3" s="1"/>
  <c r="BL49" i="3"/>
  <c r="CX45" i="3" s="1"/>
  <c r="CX52" i="3" s="1"/>
  <c r="EP88" i="3"/>
  <c r="EG79" i="3"/>
  <c r="BK16" i="3"/>
  <c r="CN18" i="3"/>
  <c r="CN25" i="3" s="1"/>
  <c r="BM34" i="3"/>
  <c r="CI34" i="3"/>
  <c r="BL34" i="3"/>
  <c r="EF79" i="3"/>
  <c r="CI43" i="3"/>
  <c r="DF86" i="3"/>
  <c r="DR86" i="3"/>
  <c r="EH79" i="3"/>
  <c r="BC16" i="3"/>
  <c r="BO25" i="3"/>
  <c r="BE34" i="3"/>
  <c r="BZ51" i="3"/>
  <c r="DL50" i="3" s="1"/>
  <c r="FD61" i="3"/>
  <c r="EH88" i="3"/>
  <c r="FF79" i="3"/>
  <c r="BZ79" i="3"/>
  <c r="BJ61" i="3"/>
  <c r="BK25" i="3"/>
  <c r="DY88" i="3"/>
  <c r="EW88" i="3"/>
  <c r="CZ59" i="3"/>
  <c r="CZ61" i="3" s="1"/>
  <c r="DT9" i="3"/>
  <c r="DT16" i="3" s="1"/>
  <c r="CC43" i="3"/>
  <c r="CV9" i="3"/>
  <c r="CV16" i="3" s="1"/>
  <c r="BD34" i="3"/>
  <c r="EB88" i="3"/>
  <c r="EN88" i="3"/>
  <c r="EZ88" i="3"/>
  <c r="EB79" i="3"/>
  <c r="CN9" i="3"/>
  <c r="CN16" i="3" s="1"/>
  <c r="CC34" i="3"/>
  <c r="EU79" i="3"/>
  <c r="CH77" i="3"/>
  <c r="CH79" i="3" s="1"/>
  <c r="DQ79" i="3"/>
  <c r="EL79" i="3"/>
  <c r="EX70" i="3"/>
  <c r="BU43" i="3"/>
  <c r="BC34" i="3"/>
  <c r="DY79" i="3"/>
  <c r="EY79" i="3"/>
  <c r="FC70" i="3"/>
  <c r="BR81" i="3"/>
  <c r="BR88" i="3" s="1"/>
  <c r="DZ79" i="3"/>
  <c r="EM79" i="3"/>
  <c r="FA79" i="3"/>
  <c r="EG70" i="3"/>
  <c r="FE70" i="3"/>
  <c r="ED61" i="3"/>
  <c r="CF61" i="3"/>
  <c r="BG25" i="3"/>
  <c r="CJ34" i="3"/>
  <c r="EC79" i="3"/>
  <c r="EO79" i="3"/>
  <c r="FC79" i="3"/>
  <c r="DL9" i="3"/>
  <c r="DL16" i="3" s="1"/>
  <c r="DE27" i="3"/>
  <c r="DE34" i="3" s="1"/>
  <c r="CG61" i="3"/>
  <c r="ED79" i="3"/>
  <c r="BH61" i="3"/>
  <c r="FB79" i="3"/>
  <c r="BI61" i="3"/>
  <c r="EP79" i="3"/>
  <c r="FF70" i="3"/>
  <c r="EP70" i="3"/>
  <c r="EE61" i="3"/>
  <c r="CH61" i="3"/>
  <c r="EE79" i="3"/>
  <c r="EQ79" i="3"/>
  <c r="FE79" i="3"/>
  <c r="EK61" i="3"/>
  <c r="BD25" i="3"/>
  <c r="CA25" i="3"/>
  <c r="CD34" i="3"/>
  <c r="BH43" i="3"/>
  <c r="CT36" i="3"/>
  <c r="CT43" i="3" s="1"/>
  <c r="ES79" i="3"/>
  <c r="BY61" i="3"/>
  <c r="BZ61" i="3"/>
  <c r="EI79" i="3"/>
  <c r="EJ79" i="3"/>
  <c r="EW79" i="3"/>
  <c r="ED70" i="3"/>
  <c r="BX61" i="3"/>
  <c r="CE25" i="3"/>
  <c r="EV79" i="3"/>
  <c r="DX79" i="3"/>
  <c r="EK79" i="3"/>
  <c r="EX79" i="3"/>
  <c r="EE70" i="3"/>
  <c r="EP61" i="3"/>
  <c r="BQ61" i="3"/>
  <c r="DV9" i="3"/>
  <c r="DV16" i="3" s="1"/>
  <c r="BW25" i="3"/>
  <c r="DB77" i="3"/>
  <c r="BB61" i="3"/>
  <c r="DA72" i="3"/>
  <c r="BE65" i="3"/>
  <c r="EO70" i="3"/>
  <c r="EJ61" i="3"/>
  <c r="ET61" i="3"/>
  <c r="BT49" i="3"/>
  <c r="DF45" i="3" s="1"/>
  <c r="DF52" i="3" s="1"/>
  <c r="DF27" i="3"/>
  <c r="DF34" i="3" s="1"/>
  <c r="BT34" i="3"/>
  <c r="BP79" i="3"/>
  <c r="CG70" i="3"/>
  <c r="EB61" i="3"/>
  <c r="BY49" i="3"/>
  <c r="DK45" i="3" s="1"/>
  <c r="DK52" i="3" s="1"/>
  <c r="BZ43" i="3"/>
  <c r="DL36" i="3"/>
  <c r="DL43" i="3" s="1"/>
  <c r="BC81" i="3"/>
  <c r="CO81" i="3" s="1"/>
  <c r="BR79" i="3"/>
  <c r="BS65" i="3"/>
  <c r="EQ70" i="3"/>
  <c r="BV70" i="3"/>
  <c r="EM61" i="3"/>
  <c r="CJ49" i="3"/>
  <c r="DV45" i="3" s="1"/>
  <c r="DV52" i="3" s="1"/>
  <c r="CB25" i="3"/>
  <c r="BM43" i="3"/>
  <c r="ER61" i="3"/>
  <c r="BM49" i="3"/>
  <c r="CY45" i="3" s="1"/>
  <c r="CY52" i="3" s="1"/>
  <c r="BE43" i="3"/>
  <c r="DM27" i="3"/>
  <c r="DM34" i="3" s="1"/>
  <c r="CA34" i="3"/>
  <c r="EH61" i="3"/>
  <c r="DN72" i="3"/>
  <c r="EH70" i="3"/>
  <c r="EW61" i="3"/>
  <c r="EF61" i="3"/>
  <c r="EZ61" i="3"/>
  <c r="CC49" i="3"/>
  <c r="DO45" i="3" s="1"/>
  <c r="DO52" i="3" s="1"/>
  <c r="FE61" i="3"/>
  <c r="CB49" i="3"/>
  <c r="DN45" i="3" s="1"/>
  <c r="DN52" i="3" s="1"/>
  <c r="H88" i="9"/>
  <c r="CA81" i="3"/>
  <c r="DM81" i="3" s="1"/>
  <c r="CF79" i="3"/>
  <c r="FF61" i="3"/>
  <c r="DM36" i="3"/>
  <c r="DM43" i="3" s="1"/>
  <c r="CA43" i="3"/>
  <c r="BK34" i="3"/>
  <c r="CW27" i="3"/>
  <c r="CW34" i="3" s="1"/>
  <c r="CI81" i="3"/>
  <c r="DU81" i="3" s="1"/>
  <c r="CO72" i="3"/>
  <c r="EN61" i="3"/>
  <c r="BF34" i="3"/>
  <c r="BR43" i="3"/>
  <c r="DD36" i="3"/>
  <c r="DD43" i="3" s="1"/>
  <c r="BD79" i="3"/>
  <c r="DO68" i="3"/>
  <c r="BY70" i="3"/>
  <c r="BP70" i="3"/>
  <c r="CQ68" i="3"/>
  <c r="BQ70" i="3"/>
  <c r="BF70" i="3"/>
  <c r="DG68" i="3"/>
  <c r="BI70" i="3"/>
  <c r="BX70" i="3"/>
  <c r="EL70" i="3"/>
  <c r="EM70" i="3"/>
  <c r="CB65" i="3"/>
  <c r="DZ70" i="3"/>
  <c r="H218" i="6"/>
  <c r="CR54" i="3"/>
  <c r="EL61" i="3"/>
  <c r="BR61" i="3"/>
  <c r="DZ61" i="3"/>
  <c r="EC61" i="3"/>
  <c r="DP54" i="3"/>
  <c r="EX61" i="3"/>
  <c r="EG61" i="3"/>
  <c r="DE59" i="3"/>
  <c r="DE61" i="3" s="1"/>
  <c r="I25" i="9"/>
  <c r="I26" i="9"/>
  <c r="BH49" i="3"/>
  <c r="CT45" i="3" s="1"/>
  <c r="CT52" i="3" s="1"/>
  <c r="CF49" i="3"/>
  <c r="DR45" i="3" s="1"/>
  <c r="BH51" i="3"/>
  <c r="CT50" i="3" s="1"/>
  <c r="CA51" i="3"/>
  <c r="DM50" i="3" s="1"/>
  <c r="BX51" i="3"/>
  <c r="DJ50" i="3" s="1"/>
  <c r="BL51" i="3"/>
  <c r="CX50" i="3" s="1"/>
  <c r="CG49" i="3"/>
  <c r="DS45" i="3" s="1"/>
  <c r="DS52" i="3" s="1"/>
  <c r="BI49" i="3"/>
  <c r="CU45" i="3" s="1"/>
  <c r="BJ51" i="3"/>
  <c r="CV50" i="3" s="1"/>
  <c r="CB51" i="3"/>
  <c r="DN50" i="3" s="1"/>
  <c r="BM51" i="3"/>
  <c r="CY50" i="3" s="1"/>
  <c r="BK49" i="3"/>
  <c r="CW45" i="3" s="1"/>
  <c r="CW52" i="3" s="1"/>
  <c r="CI49" i="3"/>
  <c r="DU45" i="3" s="1"/>
  <c r="DU52" i="3" s="1"/>
  <c r="BK51" i="3"/>
  <c r="CW50" i="3" s="1"/>
  <c r="CF51" i="3"/>
  <c r="DR50" i="3" s="1"/>
  <c r="BF49" i="3"/>
  <c r="CR45" i="3" s="1"/>
  <c r="CR52" i="3" s="1"/>
  <c r="BR49" i="3"/>
  <c r="DD45" i="3" s="1"/>
  <c r="DD52" i="3" s="1"/>
  <c r="BN51" i="3"/>
  <c r="CZ50" i="3" s="1"/>
  <c r="N52" i="3"/>
  <c r="CI51" i="3"/>
  <c r="DU50" i="3" s="1"/>
  <c r="CH51" i="3"/>
  <c r="DT50" i="3" s="1"/>
  <c r="BQ49" i="3"/>
  <c r="DC45" i="3" s="1"/>
  <c r="DC52" i="3" s="1"/>
  <c r="BE49" i="3"/>
  <c r="CQ45" i="3" s="1"/>
  <c r="CQ52" i="3" s="1"/>
  <c r="BP51" i="3"/>
  <c r="DB50" i="3" s="1"/>
  <c r="BD51" i="3"/>
  <c r="CP50" i="3" s="1"/>
  <c r="BS49" i="3"/>
  <c r="DE45" i="3" s="1"/>
  <c r="DE52" i="3" s="1"/>
  <c r="BG49" i="3"/>
  <c r="CS45" i="3" s="1"/>
  <c r="BQ51" i="3"/>
  <c r="DC50" i="3" s="1"/>
  <c r="CJ51" i="3"/>
  <c r="DV50" i="3" s="1"/>
  <c r="BE51" i="3"/>
  <c r="CQ50" i="3" s="1"/>
  <c r="CC51" i="3"/>
  <c r="DO50" i="3" s="1"/>
  <c r="BR51" i="3"/>
  <c r="DD50" i="3" s="1"/>
  <c r="BG51" i="3"/>
  <c r="CS50" i="3" s="1"/>
  <c r="BV49" i="3"/>
  <c r="DH45" i="3" s="1"/>
  <c r="DH52" i="3" s="1"/>
  <c r="CH49" i="3"/>
  <c r="DT45" i="3" s="1"/>
  <c r="DT52" i="3" s="1"/>
  <c r="BF51" i="3"/>
  <c r="CR50" i="3" s="1"/>
  <c r="CD51" i="3"/>
  <c r="DP50" i="3" s="1"/>
  <c r="BX49" i="3"/>
  <c r="DJ45" i="3" s="1"/>
  <c r="BU49" i="3"/>
  <c r="DG45" i="3" s="1"/>
  <c r="DG52" i="3" s="1"/>
  <c r="BS51" i="3"/>
  <c r="DE50" i="3" s="1"/>
  <c r="BO51" i="3"/>
  <c r="DA50" i="3" s="1"/>
  <c r="BW49" i="3"/>
  <c r="DI45" i="3" s="1"/>
  <c r="DI52" i="3" s="1"/>
  <c r="BT51" i="3"/>
  <c r="DF50" i="3" s="1"/>
  <c r="CE51" i="3"/>
  <c r="DQ50" i="3" s="1"/>
  <c r="BI51" i="3"/>
  <c r="CU50" i="3" s="1"/>
  <c r="BU51" i="3"/>
  <c r="DG50" i="3" s="1"/>
  <c r="BC49" i="3"/>
  <c r="CO45" i="3" s="1"/>
  <c r="CO52" i="3" s="1"/>
  <c r="CA49" i="3"/>
  <c r="DM45" i="3" s="1"/>
  <c r="DM52" i="3" s="1"/>
  <c r="BB51" i="3"/>
  <c r="CN50" i="3" s="1"/>
  <c r="BY51" i="3"/>
  <c r="DK50" i="3" s="1"/>
  <c r="BN49" i="3"/>
  <c r="CZ45" i="3" s="1"/>
  <c r="CZ52" i="3" s="1"/>
  <c r="BB49" i="3"/>
  <c r="CN45" i="3" s="1"/>
  <c r="CN52" i="3" s="1"/>
  <c r="BZ49" i="3"/>
  <c r="DL45" i="3" s="1"/>
  <c r="DL52" i="3" s="1"/>
  <c r="CD49" i="3"/>
  <c r="DP45" i="3" s="1"/>
  <c r="DP52" i="3" s="1"/>
  <c r="BV51" i="3"/>
  <c r="DH50" i="3" s="1"/>
  <c r="CG51" i="3"/>
  <c r="DS50" i="3" s="1"/>
  <c r="BD49" i="3"/>
  <c r="CP45" i="3" s="1"/>
  <c r="CP52" i="3" s="1"/>
  <c r="BC51" i="3"/>
  <c r="CO50" i="3" s="1"/>
  <c r="BO49" i="3"/>
  <c r="DA45" i="3" s="1"/>
  <c r="DA52" i="3" s="1"/>
  <c r="BW51" i="3"/>
  <c r="DI50" i="3" s="1"/>
  <c r="CW63" i="3"/>
  <c r="BK81" i="3"/>
  <c r="BK88" i="3" s="1"/>
  <c r="CW72" i="3"/>
  <c r="BS79" i="3"/>
  <c r="BW79" i="3"/>
  <c r="CN72" i="3"/>
  <c r="DM72" i="3"/>
  <c r="DM79" i="3" s="1"/>
  <c r="EB70" i="3"/>
  <c r="ET70" i="3"/>
  <c r="CD70" i="3"/>
  <c r="CF70" i="3"/>
  <c r="EZ70" i="3"/>
  <c r="EJ70" i="3"/>
  <c r="FB70" i="3"/>
  <c r="DE63" i="3"/>
  <c r="ER70" i="3"/>
  <c r="BN70" i="3"/>
  <c r="BH70" i="3"/>
  <c r="DY61" i="3"/>
  <c r="FC61" i="3"/>
  <c r="DF54" i="3"/>
  <c r="DF61" i="3" s="1"/>
  <c r="FB61" i="3"/>
  <c r="DX61" i="3"/>
  <c r="EO61" i="3"/>
  <c r="EU61" i="3"/>
  <c r="EV61" i="3"/>
  <c r="BJ49" i="3"/>
  <c r="CV45" i="3" s="1"/>
  <c r="CV52" i="3" s="1"/>
  <c r="CE49" i="3"/>
  <c r="DQ45" i="3" s="1"/>
  <c r="DQ52" i="3" s="1"/>
  <c r="EN52" i="3"/>
  <c r="FD52" i="3"/>
  <c r="BP49" i="3"/>
  <c r="DB45" i="3" s="1"/>
  <c r="DB52" i="3" s="1"/>
  <c r="ER52" i="3"/>
  <c r="EK52" i="3"/>
  <c r="H206" i="6"/>
  <c r="H212" i="6"/>
  <c r="CN86" i="3"/>
  <c r="DJ86" i="3"/>
  <c r="DL86" i="3"/>
  <c r="DQ86" i="3"/>
  <c r="CV86" i="3"/>
  <c r="DT86" i="3"/>
  <c r="DB86" i="3"/>
  <c r="DO86" i="3"/>
  <c r="CO86" i="3"/>
  <c r="CW86" i="3"/>
  <c r="DE86" i="3"/>
  <c r="DM86" i="3"/>
  <c r="DU86" i="3"/>
  <c r="CR86" i="3"/>
  <c r="CZ86" i="3"/>
  <c r="DH86" i="3"/>
  <c r="DP86" i="3"/>
  <c r="CQ86" i="3"/>
  <c r="CS86" i="3"/>
  <c r="DG86" i="3"/>
  <c r="CU86" i="3"/>
  <c r="DI86" i="3"/>
  <c r="CP86" i="3"/>
  <c r="CX86" i="3"/>
  <c r="DN86" i="3"/>
  <c r="DV86" i="3"/>
  <c r="CT86" i="3"/>
  <c r="DC86" i="3"/>
  <c r="DK86" i="3"/>
  <c r="DS86" i="3"/>
  <c r="BY88" i="3"/>
  <c r="DE81" i="3"/>
  <c r="BC88" i="3"/>
  <c r="BB88" i="3"/>
  <c r="CE88" i="3"/>
  <c r="EC88" i="3"/>
  <c r="EK88" i="3"/>
  <c r="ES88" i="3"/>
  <c r="FA88" i="3"/>
  <c r="EE88" i="3"/>
  <c r="EM88" i="3"/>
  <c r="EU88" i="3"/>
  <c r="FC88" i="3"/>
  <c r="EA88" i="3"/>
  <c r="EI88" i="3"/>
  <c r="BQ81" i="3"/>
  <c r="BQ88" i="3" s="1"/>
  <c r="CG81" i="3"/>
  <c r="CG88" i="3" s="1"/>
  <c r="BF81" i="3"/>
  <c r="CR81" i="3" s="1"/>
  <c r="CR88" i="3" s="1"/>
  <c r="BW81" i="3"/>
  <c r="BW88" i="3" s="1"/>
  <c r="BG81" i="3"/>
  <c r="BG88" i="3" s="1"/>
  <c r="BO81" i="3"/>
  <c r="BO88" i="3" s="1"/>
  <c r="BI81" i="3"/>
  <c r="BI88" i="3" s="1"/>
  <c r="BZ81" i="3"/>
  <c r="DL81" i="3" s="1"/>
  <c r="DE77" i="3"/>
  <c r="DR77" i="3"/>
  <c r="CR77" i="3"/>
  <c r="DP77" i="3"/>
  <c r="DI77" i="3"/>
  <c r="DQ77" i="3"/>
  <c r="CS77" i="3"/>
  <c r="CS79" i="3" s="1"/>
  <c r="P75" i="9" s="1"/>
  <c r="CW77" i="3"/>
  <c r="DM77" i="3"/>
  <c r="DN77" i="3"/>
  <c r="CX77" i="3"/>
  <c r="DU77" i="3"/>
  <c r="CP77" i="3"/>
  <c r="CQ77" i="3"/>
  <c r="DF77" i="3"/>
  <c r="CT77" i="3"/>
  <c r="DT77" i="3"/>
  <c r="DJ77" i="3"/>
  <c r="DV77" i="3"/>
  <c r="CY77" i="3"/>
  <c r="CZ77" i="3"/>
  <c r="DO77" i="3"/>
  <c r="DK77" i="3"/>
  <c r="CN77" i="3"/>
  <c r="DL77" i="3"/>
  <c r="DG77" i="3"/>
  <c r="DS77" i="3"/>
  <c r="CO77" i="3"/>
  <c r="DH77" i="3"/>
  <c r="CU77" i="3"/>
  <c r="CV77" i="3"/>
  <c r="DA77" i="3"/>
  <c r="DD77" i="3"/>
  <c r="DC77" i="3"/>
  <c r="BJ79" i="3"/>
  <c r="DU72" i="3"/>
  <c r="DU79" i="3" s="1"/>
  <c r="CJ79" i="3"/>
  <c r="DF72" i="3"/>
  <c r="BX79" i="3"/>
  <c r="BH79" i="3"/>
  <c r="BL79" i="3"/>
  <c r="DF68" i="3"/>
  <c r="DC68" i="3"/>
  <c r="DE68" i="3"/>
  <c r="CO68" i="3"/>
  <c r="CO70" i="3" s="1"/>
  <c r="DM68" i="3"/>
  <c r="DM70" i="3" s="1"/>
  <c r="CY68" i="3"/>
  <c r="CP68" i="3"/>
  <c r="DN68" i="3"/>
  <c r="DL68" i="3"/>
  <c r="CN68" i="3"/>
  <c r="CZ68" i="3"/>
  <c r="DH68" i="3"/>
  <c r="DQ68" i="3"/>
  <c r="CW68" i="3"/>
  <c r="DI68" i="3"/>
  <c r="DU68" i="3"/>
  <c r="DU70" i="3" s="1"/>
  <c r="DR68" i="3"/>
  <c r="CX68" i="3"/>
  <c r="DV68" i="3"/>
  <c r="CS68" i="3"/>
  <c r="DT68" i="3"/>
  <c r="DK68" i="3"/>
  <c r="CT68" i="3"/>
  <c r="CV68" i="3"/>
  <c r="DA68" i="3"/>
  <c r="DB68" i="3"/>
  <c r="CR68" i="3"/>
  <c r="DP68" i="3"/>
  <c r="DD68" i="3"/>
  <c r="DJ68" i="3"/>
  <c r="CU68" i="3"/>
  <c r="DS68" i="3"/>
  <c r="DC59" i="3"/>
  <c r="CS59" i="3"/>
  <c r="DQ59" i="3"/>
  <c r="DD59" i="3"/>
  <c r="CT59" i="3"/>
  <c r="DF59" i="3"/>
  <c r="DK59" i="3"/>
  <c r="DG59" i="3"/>
  <c r="CQ59" i="3"/>
  <c r="DS59" i="3"/>
  <c r="DT59" i="3"/>
  <c r="CN59" i="3"/>
  <c r="CU59" i="3"/>
  <c r="DB59" i="3"/>
  <c r="DR59" i="3"/>
  <c r="DH59" i="3"/>
  <c r="DH61" i="3" s="1"/>
  <c r="CX59" i="3"/>
  <c r="CX61" i="3" s="1"/>
  <c r="DO59" i="3"/>
  <c r="DI59" i="3"/>
  <c r="CW59" i="3"/>
  <c r="CW61" i="3" s="1"/>
  <c r="DA59" i="3"/>
  <c r="CR59" i="3"/>
  <c r="DP59" i="3"/>
  <c r="DM59" i="3"/>
  <c r="DM61" i="3" s="1"/>
  <c r="CV59" i="3"/>
  <c r="DU59" i="3"/>
  <c r="DU61" i="3" s="1"/>
  <c r="DJ59" i="3"/>
  <c r="DV59" i="3"/>
  <c r="DV61" i="3" s="1"/>
  <c r="CY59" i="3"/>
  <c r="DL59" i="3"/>
  <c r="CO59" i="3"/>
  <c r="CO61" i="3" s="1"/>
  <c r="CP59" i="3"/>
  <c r="CP61" i="3" s="1"/>
  <c r="DN59" i="3"/>
  <c r="DN61" i="3" s="1"/>
  <c r="DK36" i="3"/>
  <c r="DK43" i="3" s="1"/>
  <c r="BY43" i="3"/>
  <c r="DC36" i="3"/>
  <c r="DC43" i="3" s="1"/>
  <c r="BQ43" i="3"/>
  <c r="DI36" i="3"/>
  <c r="DI43" i="3" s="1"/>
  <c r="BW43" i="3"/>
  <c r="DN36" i="3"/>
  <c r="DN43" i="3" s="1"/>
  <c r="CB43" i="3"/>
  <c r="CU36" i="3"/>
  <c r="CU43" i="3" s="1"/>
  <c r="BI43" i="3"/>
  <c r="DA36" i="3"/>
  <c r="DA43" i="3" s="1"/>
  <c r="BO43" i="3"/>
  <c r="DP36" i="3"/>
  <c r="DP43" i="3" s="1"/>
  <c r="CD43" i="3"/>
  <c r="DF36" i="3"/>
  <c r="DF43" i="3" s="1"/>
  <c r="BT43" i="3"/>
  <c r="CS36" i="3"/>
  <c r="CS43" i="3" s="1"/>
  <c r="BG43" i="3"/>
  <c r="DH36" i="3"/>
  <c r="DH43" i="3" s="1"/>
  <c r="BV43" i="3"/>
  <c r="CX36" i="3"/>
  <c r="CX43" i="3" s="1"/>
  <c r="BL43" i="3"/>
  <c r="DR36" i="3"/>
  <c r="DR43" i="3" s="1"/>
  <c r="CF43" i="3"/>
  <c r="CZ36" i="3"/>
  <c r="CZ43" i="3" s="1"/>
  <c r="BN43" i="3"/>
  <c r="CP36" i="3"/>
  <c r="CP43" i="3" s="1"/>
  <c r="BD43" i="3"/>
  <c r="DJ36" i="3"/>
  <c r="DJ43" i="3" s="1"/>
  <c r="BX43" i="3"/>
  <c r="CR36" i="3"/>
  <c r="CR43" i="3" s="1"/>
  <c r="BF43" i="3"/>
  <c r="DQ36" i="3"/>
  <c r="DQ43" i="3" s="1"/>
  <c r="CE43" i="3"/>
  <c r="DB36" i="3"/>
  <c r="DB43" i="3" s="1"/>
  <c r="BP43" i="3"/>
  <c r="DS36" i="3"/>
  <c r="DS43" i="3" s="1"/>
  <c r="CG43" i="3"/>
  <c r="BB34" i="3"/>
  <c r="CN27" i="3"/>
  <c r="CN34" i="3" s="1"/>
  <c r="DQ27" i="3"/>
  <c r="DQ34" i="3" s="1"/>
  <c r="CE34" i="3"/>
  <c r="BR34" i="3"/>
  <c r="DD27" i="3"/>
  <c r="DD34" i="3" s="1"/>
  <c r="DI27" i="3"/>
  <c r="DI34" i="3" s="1"/>
  <c r="BW34" i="3"/>
  <c r="DS27" i="3"/>
  <c r="DS34" i="3" s="1"/>
  <c r="CG34" i="3"/>
  <c r="DA27" i="3"/>
  <c r="DA34" i="3" s="1"/>
  <c r="BO34" i="3"/>
  <c r="BJ34" i="3"/>
  <c r="CV27" i="3"/>
  <c r="CV34" i="3" s="1"/>
  <c r="DK27" i="3"/>
  <c r="DK34" i="3" s="1"/>
  <c r="BY34" i="3"/>
  <c r="DR27" i="3"/>
  <c r="DR34" i="3" s="1"/>
  <c r="CF34" i="3"/>
  <c r="CS27" i="3"/>
  <c r="CS34" i="3" s="1"/>
  <c r="BG34" i="3"/>
  <c r="CT27" i="3"/>
  <c r="CT34" i="3" s="1"/>
  <c r="BH34" i="3"/>
  <c r="DC27" i="3"/>
  <c r="DC34" i="3" s="1"/>
  <c r="BQ34" i="3"/>
  <c r="DJ27" i="3"/>
  <c r="DJ34" i="3" s="1"/>
  <c r="BX34" i="3"/>
  <c r="BZ34" i="3"/>
  <c r="DL27" i="3"/>
  <c r="DL34" i="3" s="1"/>
  <c r="CU27" i="3"/>
  <c r="CU34" i="3" s="1"/>
  <c r="BI34" i="3"/>
  <c r="DB27" i="3"/>
  <c r="DB34" i="3" s="1"/>
  <c r="BP34" i="3"/>
  <c r="CU18" i="3"/>
  <c r="CU25" i="3" s="1"/>
  <c r="BI25" i="3"/>
  <c r="CF25" i="3"/>
  <c r="DR18" i="3"/>
  <c r="DR25" i="3" s="1"/>
  <c r="DO18" i="3"/>
  <c r="DO25" i="3" s="1"/>
  <c r="CC25" i="3"/>
  <c r="BX25" i="3"/>
  <c r="DJ18" i="3"/>
  <c r="DJ25" i="3" s="1"/>
  <c r="DP18" i="3"/>
  <c r="DP25" i="3" s="1"/>
  <c r="CD25" i="3"/>
  <c r="DG18" i="3"/>
  <c r="DG25" i="3" s="1"/>
  <c r="BU25" i="3"/>
  <c r="BP25" i="3"/>
  <c r="DB18" i="3"/>
  <c r="DB25" i="3" s="1"/>
  <c r="DH18" i="3"/>
  <c r="DH25" i="3" s="1"/>
  <c r="BV25" i="3"/>
  <c r="CY18" i="3"/>
  <c r="CY25" i="3" s="1"/>
  <c r="BM25" i="3"/>
  <c r="BZ25" i="3"/>
  <c r="DL18" i="3"/>
  <c r="DL25" i="3" s="1"/>
  <c r="DS18" i="3"/>
  <c r="DS25" i="3" s="1"/>
  <c r="CG25" i="3"/>
  <c r="BH25" i="3"/>
  <c r="CT18" i="3"/>
  <c r="CT25" i="3" s="1"/>
  <c r="CZ18" i="3"/>
  <c r="CZ25" i="3" s="1"/>
  <c r="BN25" i="3"/>
  <c r="CQ18" i="3"/>
  <c r="CQ25" i="3" s="1"/>
  <c r="BE25" i="3"/>
  <c r="BR25" i="3"/>
  <c r="DD18" i="3"/>
  <c r="DD25" i="3" s="1"/>
  <c r="DK18" i="3"/>
  <c r="DK25" i="3" s="1"/>
  <c r="BY25" i="3"/>
  <c r="CR18" i="3"/>
  <c r="CR25" i="3" s="1"/>
  <c r="BF25" i="3"/>
  <c r="BJ25" i="3"/>
  <c r="CV18" i="3"/>
  <c r="CV25" i="3" s="1"/>
  <c r="DC18" i="3"/>
  <c r="DC25" i="3" s="1"/>
  <c r="BQ25" i="3"/>
  <c r="DN9" i="3"/>
  <c r="DN16" i="3" s="1"/>
  <c r="CB16" i="3"/>
  <c r="CU9" i="3"/>
  <c r="CU16" i="3" s="1"/>
  <c r="BI16" i="3"/>
  <c r="BO16" i="3"/>
  <c r="DA9" i="3"/>
  <c r="DA16" i="3" s="1"/>
  <c r="DH9" i="3"/>
  <c r="DH16" i="3" s="1"/>
  <c r="BV16" i="3"/>
  <c r="DF9" i="3"/>
  <c r="DF16" i="3" s="1"/>
  <c r="BT16" i="3"/>
  <c r="CF16" i="3"/>
  <c r="DR9" i="3"/>
  <c r="DR16" i="3" s="1"/>
  <c r="BG16" i="3"/>
  <c r="CS9" i="3"/>
  <c r="CS16" i="3" s="1"/>
  <c r="CZ9" i="3"/>
  <c r="CZ16" i="3" s="1"/>
  <c r="BN16" i="3"/>
  <c r="CR9" i="3"/>
  <c r="CR16" i="3" s="1"/>
  <c r="BF16" i="3"/>
  <c r="DO9" i="3"/>
  <c r="DO16" i="3" s="1"/>
  <c r="CC16" i="3"/>
  <c r="CP9" i="3"/>
  <c r="CP16" i="3" s="1"/>
  <c r="BD16" i="3"/>
  <c r="DB9" i="3"/>
  <c r="DB16" i="3" s="1"/>
  <c r="BP16" i="3"/>
  <c r="DG9" i="3"/>
  <c r="DG16" i="3" s="1"/>
  <c r="BU16" i="3"/>
  <c r="CT9" i="3"/>
  <c r="CT16" i="3" s="1"/>
  <c r="BH16" i="3"/>
  <c r="CY9" i="3"/>
  <c r="CY16" i="3" s="1"/>
  <c r="BM16" i="3"/>
  <c r="CX9" i="3"/>
  <c r="CX16" i="3" s="1"/>
  <c r="BL16" i="3"/>
  <c r="DS9" i="3"/>
  <c r="DS16" i="3" s="1"/>
  <c r="CG16" i="3"/>
  <c r="CQ9" i="3"/>
  <c r="CQ16" i="3" s="1"/>
  <c r="BE16" i="3"/>
  <c r="DK9" i="3"/>
  <c r="DK16" i="3" s="1"/>
  <c r="BY16" i="3"/>
  <c r="CE16" i="3"/>
  <c r="DQ9" i="3"/>
  <c r="DQ16" i="3" s="1"/>
  <c r="BX16" i="3"/>
  <c r="DJ9" i="3"/>
  <c r="DJ16" i="3" s="1"/>
  <c r="DC9" i="3"/>
  <c r="DC16" i="3" s="1"/>
  <c r="BQ16" i="3"/>
  <c r="BW16" i="3"/>
  <c r="DI9" i="3"/>
  <c r="DI16" i="3" s="1"/>
  <c r="DP9" i="3"/>
  <c r="DP16" i="3" s="1"/>
  <c r="CD16" i="3"/>
  <c r="BV81" i="3"/>
  <c r="DH81" i="3" s="1"/>
  <c r="DH88" i="3" s="1"/>
  <c r="CH81" i="3"/>
  <c r="DT81" i="3" s="1"/>
  <c r="DT88" i="3" s="1"/>
  <c r="BJ81" i="3"/>
  <c r="CV81" i="3" s="1"/>
  <c r="BN81" i="3"/>
  <c r="CZ81" i="3" s="1"/>
  <c r="CZ88" i="3" s="1"/>
  <c r="CD81" i="3"/>
  <c r="DP81" i="3" s="1"/>
  <c r="BQ79" i="3"/>
  <c r="BI79" i="3"/>
  <c r="CG79" i="3"/>
  <c r="BY79" i="3"/>
  <c r="DQ81" i="3"/>
  <c r="DP63" i="3"/>
  <c r="DB54" i="3"/>
  <c r="DD54" i="3"/>
  <c r="DL54" i="3"/>
  <c r="DL61" i="3" s="1"/>
  <c r="DR54" i="3"/>
  <c r="CN54" i="3"/>
  <c r="DT54" i="3"/>
  <c r="CT54" i="3"/>
  <c r="CT61" i="3" s="1"/>
  <c r="CV54" i="3"/>
  <c r="DJ54" i="3"/>
  <c r="DR63" i="3"/>
  <c r="CT63" i="3"/>
  <c r="CZ63" i="3"/>
  <c r="DB63" i="3"/>
  <c r="CR63" i="3"/>
  <c r="DH63" i="3"/>
  <c r="DJ63" i="3"/>
  <c r="CS52" i="3"/>
  <c r="DR52" i="3"/>
  <c r="CU52" i="3"/>
  <c r="DJ52" i="3"/>
  <c r="DI54" i="3"/>
  <c r="DI61" i="3" s="1"/>
  <c r="BW61" i="3"/>
  <c r="DQ54" i="3"/>
  <c r="CE61" i="3"/>
  <c r="BE61" i="3"/>
  <c r="CQ54" i="3"/>
  <c r="CY54" i="3"/>
  <c r="CY61" i="3" s="1"/>
  <c r="BM61" i="3"/>
  <c r="DG54" i="3"/>
  <c r="DG61" i="3" s="1"/>
  <c r="BU61" i="3"/>
  <c r="CC61" i="3"/>
  <c r="DO54" i="3"/>
  <c r="BC61" i="3"/>
  <c r="BK61" i="3"/>
  <c r="BS61" i="3"/>
  <c r="CA61" i="3"/>
  <c r="CI61" i="3"/>
  <c r="EA61" i="3"/>
  <c r="EI61" i="3"/>
  <c r="EQ61" i="3"/>
  <c r="EY61" i="3"/>
  <c r="CU54" i="3"/>
  <c r="CU61" i="3" s="1"/>
  <c r="DC54" i="3"/>
  <c r="DK54" i="3"/>
  <c r="DS54" i="3"/>
  <c r="BD61" i="3"/>
  <c r="BL61" i="3"/>
  <c r="CB61" i="3"/>
  <c r="CJ61" i="3"/>
  <c r="FA61" i="3"/>
  <c r="BF61" i="3"/>
  <c r="BN61" i="3"/>
  <c r="BV61" i="3"/>
  <c r="CD61" i="3"/>
  <c r="ES61" i="3"/>
  <c r="DA63" i="3"/>
  <c r="BO70" i="3"/>
  <c r="DQ63" i="3"/>
  <c r="CE70" i="3"/>
  <c r="CS63" i="3"/>
  <c r="BG70" i="3"/>
  <c r="DI63" i="3"/>
  <c r="BW70" i="3"/>
  <c r="BB70" i="3"/>
  <c r="CN63" i="3"/>
  <c r="BJ70" i="3"/>
  <c r="CV63" i="3"/>
  <c r="BR70" i="3"/>
  <c r="DD63" i="3"/>
  <c r="BZ70" i="3"/>
  <c r="DL63" i="3"/>
  <c r="CH70" i="3"/>
  <c r="DT63" i="3"/>
  <c r="CY63" i="3"/>
  <c r="BM70" i="3"/>
  <c r="DO63" i="3"/>
  <c r="CC70" i="3"/>
  <c r="BK70" i="3"/>
  <c r="EY70" i="3"/>
  <c r="CU63" i="3"/>
  <c r="DC63" i="3"/>
  <c r="DK63" i="3"/>
  <c r="DS63" i="3"/>
  <c r="BC70" i="3"/>
  <c r="CA70" i="3"/>
  <c r="EI70" i="3"/>
  <c r="EC70" i="3"/>
  <c r="EK70" i="3"/>
  <c r="ES70" i="3"/>
  <c r="FA70" i="3"/>
  <c r="BS70" i="3"/>
  <c r="CI70" i="3"/>
  <c r="DX70" i="3"/>
  <c r="EF70" i="3"/>
  <c r="EN70" i="3"/>
  <c r="EV70" i="3"/>
  <c r="FD70" i="3"/>
  <c r="DP72" i="3"/>
  <c r="CD79" i="3"/>
  <c r="DH72" i="3"/>
  <c r="BV79" i="3"/>
  <c r="CQ72" i="3"/>
  <c r="CQ79" i="3" s="1"/>
  <c r="N75" i="9" s="1"/>
  <c r="BE79" i="3"/>
  <c r="CI79" i="3"/>
  <c r="EA79" i="3"/>
  <c r="CB79" i="3"/>
  <c r="EZ79" i="3"/>
  <c r="CV72" i="3"/>
  <c r="CV79" i="3" s="1"/>
  <c r="DD72" i="3"/>
  <c r="DD79" i="3" s="1"/>
  <c r="DL72" i="3"/>
  <c r="DL79" i="3" s="1"/>
  <c r="DT72" i="3"/>
  <c r="ER79" i="3"/>
  <c r="CP72" i="3"/>
  <c r="CP79" i="3" s="1"/>
  <c r="M75" i="9" s="1"/>
  <c r="BG79" i="3"/>
  <c r="BO79" i="3"/>
  <c r="CE79" i="3"/>
  <c r="DV81" i="3"/>
  <c r="CJ88" i="3"/>
  <c r="DO81" i="3"/>
  <c r="CC88" i="3"/>
  <c r="DG81" i="3"/>
  <c r="BU88" i="3"/>
  <c r="CT81" i="3"/>
  <c r="BH88" i="3"/>
  <c r="BP88" i="3"/>
  <c r="DB81" i="3"/>
  <c r="BX88" i="3"/>
  <c r="DJ81" i="3"/>
  <c r="DJ88" i="3" s="1"/>
  <c r="CF88" i="3"/>
  <c r="DR81" i="3"/>
  <c r="DR88" i="3" s="1"/>
  <c r="FF88" i="3"/>
  <c r="BS88" i="3"/>
  <c r="EY88" i="3"/>
  <c r="BD81" i="3"/>
  <c r="BL81" i="3"/>
  <c r="BT81" i="3"/>
  <c r="CB81" i="3"/>
  <c r="DK81" i="3"/>
  <c r="EQ88" i="3"/>
  <c r="BE81" i="3"/>
  <c r="BM81" i="3"/>
  <c r="CN81" i="3"/>
  <c r="ED88" i="3"/>
  <c r="EL88" i="3"/>
  <c r="ET88" i="3"/>
  <c r="FB88" i="3"/>
  <c r="AQ322" i="2"/>
  <c r="AP322" i="2"/>
  <c r="AU322" i="2"/>
  <c r="CA60" i="9" s="1"/>
  <c r="AT322" i="2"/>
  <c r="BZ60" i="9" s="1"/>
  <c r="AS322" i="2"/>
  <c r="BY60" i="9" s="1"/>
  <c r="AR322" i="2"/>
  <c r="BX60" i="9" s="1"/>
  <c r="AO322" i="2"/>
  <c r="BW60" i="9" s="1"/>
  <c r="AN322" i="2"/>
  <c r="BV60" i="9" s="1"/>
  <c r="AM322" i="2"/>
  <c r="BU60" i="9" s="1"/>
  <c r="AL322" i="2"/>
  <c r="BT60" i="9" s="1"/>
  <c r="AK322" i="2"/>
  <c r="BS60" i="9" s="1"/>
  <c r="AJ322" i="2"/>
  <c r="BR60" i="9" s="1"/>
  <c r="AI322" i="2"/>
  <c r="BQ60" i="9" s="1"/>
  <c r="AH322" i="2"/>
  <c r="BP60" i="9" s="1"/>
  <c r="AG322" i="2"/>
  <c r="BO60" i="9" s="1"/>
  <c r="AF322" i="2"/>
  <c r="BN60" i="9" s="1"/>
  <c r="AE322" i="2"/>
  <c r="BM60" i="9" s="1"/>
  <c r="AD322" i="2"/>
  <c r="BL60" i="9" s="1"/>
  <c r="AC322" i="2"/>
  <c r="BK60" i="9" s="1"/>
  <c r="AB322" i="2"/>
  <c r="BJ60" i="9" s="1"/>
  <c r="AA322" i="2"/>
  <c r="BI60" i="9" s="1"/>
  <c r="Z322" i="2"/>
  <c r="BH60" i="9" s="1"/>
  <c r="Y322" i="2"/>
  <c r="BG60" i="9" s="1"/>
  <c r="X322" i="2"/>
  <c r="BF60" i="9" s="1"/>
  <c r="W322" i="2"/>
  <c r="BE60" i="9" s="1"/>
  <c r="V322" i="2"/>
  <c r="BD60" i="9" s="1"/>
  <c r="U322" i="2"/>
  <c r="BC60" i="9" s="1"/>
  <c r="T322" i="2"/>
  <c r="BB60" i="9" s="1"/>
  <c r="S322" i="2"/>
  <c r="BA60" i="9" s="1"/>
  <c r="R322" i="2"/>
  <c r="Q322" i="2"/>
  <c r="P322" i="2"/>
  <c r="O322" i="2"/>
  <c r="N322" i="2"/>
  <c r="M322" i="2"/>
  <c r="L322" i="2"/>
  <c r="K322" i="2"/>
  <c r="E322" i="2"/>
  <c r="F322" i="2"/>
  <c r="G322" i="2"/>
  <c r="DM88" i="3" l="1"/>
  <c r="CN88" i="3"/>
  <c r="CT88" i="3"/>
  <c r="DL88" i="3"/>
  <c r="CO88" i="3"/>
  <c r="DH79" i="3"/>
  <c r="DA79" i="3"/>
  <c r="DP79" i="3"/>
  <c r="DR61" i="3"/>
  <c r="CW79" i="3"/>
  <c r="DD81" i="3"/>
  <c r="DD88" i="3" s="1"/>
  <c r="DO88" i="3"/>
  <c r="DT79" i="3"/>
  <c r="DG88" i="3"/>
  <c r="DD61" i="3"/>
  <c r="DQ88" i="3"/>
  <c r="DQ61" i="3"/>
  <c r="DJ61" i="3"/>
  <c r="DN79" i="3"/>
  <c r="CA88" i="3"/>
  <c r="DC61" i="3"/>
  <c r="CV61" i="3"/>
  <c r="DF79" i="3"/>
  <c r="CO79" i="3"/>
  <c r="L75" i="9" s="1"/>
  <c r="CN79" i="3"/>
  <c r="K75" i="9" s="1"/>
  <c r="DS61" i="3"/>
  <c r="DU88" i="3"/>
  <c r="CI88" i="3"/>
  <c r="CW81" i="3"/>
  <c r="CW88" i="3" s="1"/>
  <c r="DP61" i="3"/>
  <c r="DB72" i="3"/>
  <c r="DB79" i="3" s="1"/>
  <c r="CQ61" i="3"/>
  <c r="CR61" i="3"/>
  <c r="DT61" i="3"/>
  <c r="DR72" i="3"/>
  <c r="DR79" i="3" s="1"/>
  <c r="CN61" i="3"/>
  <c r="BC79" i="3"/>
  <c r="CU70" i="3"/>
  <c r="DK61" i="3"/>
  <c r="DO61" i="3"/>
  <c r="DB61" i="3"/>
  <c r="CU72" i="3"/>
  <c r="CU79" i="3" s="1"/>
  <c r="BB79" i="3"/>
  <c r="DI72" i="3"/>
  <c r="DI79" i="3" s="1"/>
  <c r="DE72" i="3"/>
  <c r="DE79" i="3" s="1"/>
  <c r="DO70" i="3"/>
  <c r="DC70" i="3"/>
  <c r="CR70" i="3"/>
  <c r="DB70" i="3"/>
  <c r="DP70" i="3"/>
  <c r="CW70" i="3"/>
  <c r="DE70" i="3"/>
  <c r="DL70" i="3"/>
  <c r="CS70" i="3"/>
  <c r="DJ70" i="3"/>
  <c r="DS70" i="3"/>
  <c r="CY70" i="3"/>
  <c r="DI70" i="3"/>
  <c r="DT70" i="3"/>
  <c r="DK70" i="3"/>
  <c r="DQ70" i="3"/>
  <c r="DH70" i="3"/>
  <c r="DD70" i="3"/>
  <c r="CV70" i="3"/>
  <c r="CZ70" i="3"/>
  <c r="CN70" i="3"/>
  <c r="DR70" i="3"/>
  <c r="DA70" i="3"/>
  <c r="CT70" i="3"/>
  <c r="BT61" i="3"/>
  <c r="BK79" i="3"/>
  <c r="CA79" i="3"/>
  <c r="DS72" i="3"/>
  <c r="DS79" i="3" s="1"/>
  <c r="CX72" i="3"/>
  <c r="CX79" i="3" s="1"/>
  <c r="DE88" i="3"/>
  <c r="DV88" i="3"/>
  <c r="DK88" i="3"/>
  <c r="DB88" i="3"/>
  <c r="DP88" i="3"/>
  <c r="CV88" i="3"/>
  <c r="DC81" i="3"/>
  <c r="DC88" i="3" s="1"/>
  <c r="DI81" i="3"/>
  <c r="DI88" i="3" s="1"/>
  <c r="CD88" i="3"/>
  <c r="DA81" i="3"/>
  <c r="DA88" i="3" s="1"/>
  <c r="BN88" i="3"/>
  <c r="CU81" i="3"/>
  <c r="CU88" i="3" s="1"/>
  <c r="BZ88" i="3"/>
  <c r="DS81" i="3"/>
  <c r="DS88" i="3" s="1"/>
  <c r="CS81" i="3"/>
  <c r="CS88" i="3" s="1"/>
  <c r="BF88" i="3"/>
  <c r="CT72" i="3"/>
  <c r="CT79" i="3" s="1"/>
  <c r="DV72" i="3"/>
  <c r="DV79" i="3" s="1"/>
  <c r="BT79" i="3"/>
  <c r="DK72" i="3"/>
  <c r="DK79" i="3" s="1"/>
  <c r="DJ72" i="3"/>
  <c r="DJ79" i="3" s="1"/>
  <c r="CH88" i="3"/>
  <c r="BJ88" i="3"/>
  <c r="BV88" i="3"/>
  <c r="DC72" i="3"/>
  <c r="DC79" i="3" s="1"/>
  <c r="DA54" i="3"/>
  <c r="DA61" i="3" s="1"/>
  <c r="BO61" i="3"/>
  <c r="CS54" i="3"/>
  <c r="CS61" i="3" s="1"/>
  <c r="BG61" i="3"/>
  <c r="DF63" i="3"/>
  <c r="DF70" i="3" s="1"/>
  <c r="BT70" i="3"/>
  <c r="CX63" i="3"/>
  <c r="CX70" i="3" s="1"/>
  <c r="BL70" i="3"/>
  <c r="CP63" i="3"/>
  <c r="CP70" i="3" s="1"/>
  <c r="BD70" i="3"/>
  <c r="DG63" i="3"/>
  <c r="DG70" i="3" s="1"/>
  <c r="BU70" i="3"/>
  <c r="CQ63" i="3"/>
  <c r="CQ70" i="3" s="1"/>
  <c r="BE70" i="3"/>
  <c r="DV63" i="3"/>
  <c r="DV70" i="3" s="1"/>
  <c r="CJ70" i="3"/>
  <c r="DN63" i="3"/>
  <c r="DN70" i="3" s="1"/>
  <c r="CB70" i="3"/>
  <c r="DO72" i="3"/>
  <c r="DO79" i="3" s="1"/>
  <c r="CC79" i="3"/>
  <c r="CZ72" i="3"/>
  <c r="CZ79" i="3" s="1"/>
  <c r="BN79" i="3"/>
  <c r="DG72" i="3"/>
  <c r="DG79" i="3" s="1"/>
  <c r="BU79" i="3"/>
  <c r="CR72" i="3"/>
  <c r="CR79" i="3" s="1"/>
  <c r="O75" i="9" s="1"/>
  <c r="BF79" i="3"/>
  <c r="CY72" i="3"/>
  <c r="CY79" i="3" s="1"/>
  <c r="BM79" i="3"/>
  <c r="CY81" i="3"/>
  <c r="CY88" i="3" s="1"/>
  <c r="BM88" i="3"/>
  <c r="CQ81" i="3"/>
  <c r="CQ88" i="3" s="1"/>
  <c r="BE88" i="3"/>
  <c r="DN81" i="3"/>
  <c r="DN88" i="3" s="1"/>
  <c r="CB88" i="3"/>
  <c r="DF81" i="3"/>
  <c r="DF88" i="3" s="1"/>
  <c r="BT88" i="3"/>
  <c r="CP81" i="3"/>
  <c r="CP88" i="3" s="1"/>
  <c r="BD88" i="3"/>
  <c r="CX81" i="3"/>
  <c r="CX88" i="3" s="1"/>
  <c r="BL88" i="3"/>
  <c r="DX210" i="3"/>
  <c r="DX203" i="3"/>
  <c r="FF196" i="3"/>
  <c r="FE196" i="3"/>
  <c r="FD196" i="3"/>
  <c r="FC196" i="3"/>
  <c r="FB196" i="3"/>
  <c r="FA196" i="3"/>
  <c r="EZ196" i="3"/>
  <c r="EY196" i="3"/>
  <c r="EX196" i="3"/>
  <c r="EW196" i="3"/>
  <c r="EV196" i="3"/>
  <c r="EU196" i="3"/>
  <c r="ET196" i="3"/>
  <c r="ES196" i="3"/>
  <c r="ER196" i="3"/>
  <c r="EQ196" i="3"/>
  <c r="EP196" i="3"/>
  <c r="EO196" i="3"/>
  <c r="EN196" i="3"/>
  <c r="EM196" i="3"/>
  <c r="EL196" i="3"/>
  <c r="EK196" i="3"/>
  <c r="EJ196" i="3"/>
  <c r="EI196" i="3"/>
  <c r="EH196" i="3"/>
  <c r="EG196" i="3"/>
  <c r="EF196" i="3"/>
  <c r="EE196" i="3"/>
  <c r="ED196" i="3"/>
  <c r="EC196" i="3"/>
  <c r="EB196" i="3"/>
  <c r="EA196" i="3"/>
  <c r="DZ196" i="3"/>
  <c r="DY196" i="3"/>
  <c r="DX196" i="3"/>
  <c r="DX197" i="3"/>
  <c r="DX199" i="3"/>
  <c r="FF178" i="3"/>
  <c r="FE178" i="3"/>
  <c r="FD178" i="3"/>
  <c r="FC178" i="3"/>
  <c r="FB178" i="3"/>
  <c r="FA178" i="3"/>
  <c r="EZ178" i="3"/>
  <c r="EY178" i="3"/>
  <c r="EX178" i="3"/>
  <c r="EW178" i="3"/>
  <c r="EV178" i="3"/>
  <c r="EU178" i="3"/>
  <c r="ET178" i="3"/>
  <c r="ES178" i="3"/>
  <c r="ER178" i="3"/>
  <c r="EQ178" i="3"/>
  <c r="EP178" i="3"/>
  <c r="EO178" i="3"/>
  <c r="EN178" i="3"/>
  <c r="EM178" i="3"/>
  <c r="EL178" i="3"/>
  <c r="EK178" i="3"/>
  <c r="EJ178" i="3"/>
  <c r="EI178" i="3"/>
  <c r="EH178" i="3"/>
  <c r="EG178" i="3"/>
  <c r="EF178" i="3"/>
  <c r="EE178" i="3"/>
  <c r="ED178" i="3"/>
  <c r="EC178" i="3"/>
  <c r="EB178" i="3"/>
  <c r="EA178" i="3"/>
  <c r="DZ178" i="3"/>
  <c r="DY178" i="3"/>
  <c r="DX178" i="3"/>
  <c r="FF177" i="3"/>
  <c r="FE177" i="3"/>
  <c r="FD177" i="3"/>
  <c r="FC177" i="3"/>
  <c r="FB177" i="3"/>
  <c r="FA177" i="3"/>
  <c r="EZ177" i="3"/>
  <c r="EY177" i="3"/>
  <c r="EX177" i="3"/>
  <c r="EW177" i="3"/>
  <c r="EV177" i="3"/>
  <c r="EU177" i="3"/>
  <c r="ET177" i="3"/>
  <c r="ES177" i="3"/>
  <c r="ER177" i="3"/>
  <c r="EQ177" i="3"/>
  <c r="EP177" i="3"/>
  <c r="EO177" i="3"/>
  <c r="EN177" i="3"/>
  <c r="EM177" i="3"/>
  <c r="EL177" i="3"/>
  <c r="EK177" i="3"/>
  <c r="EJ177" i="3"/>
  <c r="EI177" i="3"/>
  <c r="EH177" i="3"/>
  <c r="EG177" i="3"/>
  <c r="EF177" i="3"/>
  <c r="EE177" i="3"/>
  <c r="ED177" i="3"/>
  <c r="EC177" i="3"/>
  <c r="EB177" i="3"/>
  <c r="EA177" i="3"/>
  <c r="DZ177" i="3"/>
  <c r="DY177" i="3"/>
  <c r="DX177" i="3"/>
  <c r="FF175" i="3"/>
  <c r="FE175" i="3"/>
  <c r="FD175" i="3"/>
  <c r="FC175" i="3"/>
  <c r="FB175" i="3"/>
  <c r="FA175" i="3"/>
  <c r="EZ175" i="3"/>
  <c r="EY175" i="3"/>
  <c r="EX175" i="3"/>
  <c r="EW175" i="3"/>
  <c r="EV175" i="3"/>
  <c r="EU175" i="3"/>
  <c r="ET175" i="3"/>
  <c r="ES175" i="3"/>
  <c r="ER175" i="3"/>
  <c r="EQ175" i="3"/>
  <c r="EP175" i="3"/>
  <c r="EO175" i="3"/>
  <c r="EN175" i="3"/>
  <c r="EM175" i="3"/>
  <c r="EL175" i="3"/>
  <c r="EK175" i="3"/>
  <c r="EJ175" i="3"/>
  <c r="EI175" i="3"/>
  <c r="EH175" i="3"/>
  <c r="EG175" i="3"/>
  <c r="EF175" i="3"/>
  <c r="EE175" i="3"/>
  <c r="ED175" i="3"/>
  <c r="EC175" i="3"/>
  <c r="EB175" i="3"/>
  <c r="EA175" i="3"/>
  <c r="DZ175" i="3"/>
  <c r="DY175" i="3"/>
  <c r="DX175" i="3"/>
  <c r="DX193" i="3"/>
  <c r="DX192" i="3"/>
  <c r="DX190" i="3"/>
  <c r="DX189" i="3"/>
  <c r="DX188" i="3"/>
  <c r="DX187" i="3"/>
  <c r="DX186" i="3"/>
  <c r="G965" i="6" l="1"/>
  <c r="G964" i="6"/>
  <c r="FF210" i="3" l="1"/>
  <c r="FE210" i="3"/>
  <c r="FD210" i="3"/>
  <c r="FC210" i="3"/>
  <c r="FB210" i="3"/>
  <c r="FA210" i="3"/>
  <c r="EZ210" i="3"/>
  <c r="EY210" i="3"/>
  <c r="EX210" i="3"/>
  <c r="EW210" i="3"/>
  <c r="EV210" i="3"/>
  <c r="EU210" i="3"/>
  <c r="ET210" i="3"/>
  <c r="ES210" i="3"/>
  <c r="ER210" i="3"/>
  <c r="EQ210" i="3"/>
  <c r="EP210" i="3"/>
  <c r="EO210" i="3"/>
  <c r="EN210" i="3"/>
  <c r="EM210" i="3"/>
  <c r="EL210" i="3"/>
  <c r="EK210" i="3"/>
  <c r="EJ210" i="3"/>
  <c r="EI210" i="3"/>
  <c r="EH210" i="3"/>
  <c r="EG210" i="3"/>
  <c r="EF210" i="3"/>
  <c r="EE210" i="3"/>
  <c r="ED210" i="3"/>
  <c r="EC210" i="3"/>
  <c r="EB210" i="3"/>
  <c r="EA210" i="3"/>
  <c r="DZ210" i="3"/>
  <c r="DY210" i="3"/>
  <c r="FF203" i="3"/>
  <c r="FE203" i="3"/>
  <c r="FD203" i="3"/>
  <c r="FC203" i="3"/>
  <c r="FB203" i="3"/>
  <c r="FA203" i="3"/>
  <c r="EZ203" i="3"/>
  <c r="EY203" i="3"/>
  <c r="EX203" i="3"/>
  <c r="EW203" i="3"/>
  <c r="EV203" i="3"/>
  <c r="EU203" i="3"/>
  <c r="ET203" i="3"/>
  <c r="ES203" i="3"/>
  <c r="ER203" i="3"/>
  <c r="EQ203" i="3"/>
  <c r="EP203" i="3"/>
  <c r="EO203" i="3"/>
  <c r="EN203" i="3"/>
  <c r="EM203" i="3"/>
  <c r="EL203" i="3"/>
  <c r="EK203" i="3"/>
  <c r="EJ203" i="3"/>
  <c r="EI203" i="3"/>
  <c r="EH203" i="3"/>
  <c r="EG203" i="3"/>
  <c r="EF203" i="3"/>
  <c r="EE203" i="3"/>
  <c r="ED203" i="3"/>
  <c r="EC203" i="3"/>
  <c r="EB203" i="3"/>
  <c r="EA203" i="3"/>
  <c r="DZ203" i="3"/>
  <c r="DY203" i="3"/>
  <c r="FF193" i="3"/>
  <c r="FE193" i="3"/>
  <c r="FD193" i="3"/>
  <c r="FC193" i="3"/>
  <c r="FB193" i="3"/>
  <c r="FA193" i="3"/>
  <c r="EZ193" i="3"/>
  <c r="EY193" i="3"/>
  <c r="EX193" i="3"/>
  <c r="EW193" i="3"/>
  <c r="EV193" i="3"/>
  <c r="EU193" i="3"/>
  <c r="ET193" i="3"/>
  <c r="ES193" i="3"/>
  <c r="ER193" i="3"/>
  <c r="EQ193" i="3"/>
  <c r="EP193" i="3"/>
  <c r="EO193" i="3"/>
  <c r="EN193" i="3"/>
  <c r="EM193" i="3"/>
  <c r="EL193" i="3"/>
  <c r="EK193" i="3"/>
  <c r="EJ193" i="3"/>
  <c r="EI193" i="3"/>
  <c r="EH193" i="3"/>
  <c r="EG193" i="3"/>
  <c r="EF193" i="3"/>
  <c r="EE193" i="3"/>
  <c r="ED193" i="3"/>
  <c r="EC193" i="3"/>
  <c r="EB193" i="3"/>
  <c r="EA193" i="3"/>
  <c r="DZ193" i="3"/>
  <c r="DY193" i="3"/>
  <c r="FF199" i="3"/>
  <c r="FE199" i="3"/>
  <c r="FD199" i="3"/>
  <c r="FC199" i="3"/>
  <c r="FB199" i="3"/>
  <c r="FA199" i="3"/>
  <c r="EZ199" i="3"/>
  <c r="EY199" i="3"/>
  <c r="EX199" i="3"/>
  <c r="EW199" i="3"/>
  <c r="EV199" i="3"/>
  <c r="EU199" i="3"/>
  <c r="ET199" i="3"/>
  <c r="ES199" i="3"/>
  <c r="ER199" i="3"/>
  <c r="EQ199" i="3"/>
  <c r="EP199" i="3"/>
  <c r="EO199" i="3"/>
  <c r="EN199" i="3"/>
  <c r="EM199" i="3"/>
  <c r="EL199" i="3"/>
  <c r="EK199" i="3"/>
  <c r="EJ199" i="3"/>
  <c r="EI199" i="3"/>
  <c r="EH199" i="3"/>
  <c r="EG199" i="3"/>
  <c r="EF199" i="3"/>
  <c r="EE199" i="3"/>
  <c r="ED199" i="3"/>
  <c r="EC199" i="3"/>
  <c r="EB199" i="3"/>
  <c r="EA199" i="3"/>
  <c r="DZ199" i="3"/>
  <c r="DY199" i="3"/>
  <c r="FF197" i="3"/>
  <c r="FE197" i="3"/>
  <c r="FD197" i="3"/>
  <c r="FC197" i="3"/>
  <c r="FB197" i="3"/>
  <c r="FA197" i="3"/>
  <c r="EZ197" i="3"/>
  <c r="EY197" i="3"/>
  <c r="EX197" i="3"/>
  <c r="EW197" i="3"/>
  <c r="EV197" i="3"/>
  <c r="EU197" i="3"/>
  <c r="ET197" i="3"/>
  <c r="ES197" i="3"/>
  <c r="ER197" i="3"/>
  <c r="EQ197" i="3"/>
  <c r="EP197" i="3"/>
  <c r="EO197" i="3"/>
  <c r="EN197" i="3"/>
  <c r="EM197" i="3"/>
  <c r="EL197" i="3"/>
  <c r="EK197" i="3"/>
  <c r="EJ197" i="3"/>
  <c r="EI197" i="3"/>
  <c r="EH197" i="3"/>
  <c r="EG197" i="3"/>
  <c r="EF197" i="3"/>
  <c r="EE197" i="3"/>
  <c r="ED197" i="3"/>
  <c r="EC197" i="3"/>
  <c r="EB197" i="3"/>
  <c r="EA197" i="3"/>
  <c r="DZ197" i="3"/>
  <c r="DY197" i="3"/>
  <c r="FF192" i="3"/>
  <c r="FE192" i="3"/>
  <c r="FD192" i="3"/>
  <c r="FC192" i="3"/>
  <c r="FB192" i="3"/>
  <c r="FA192" i="3"/>
  <c r="EZ192" i="3"/>
  <c r="EY192" i="3"/>
  <c r="EX192" i="3"/>
  <c r="EW192" i="3"/>
  <c r="EV192" i="3"/>
  <c r="EU192" i="3"/>
  <c r="ET192" i="3"/>
  <c r="ES192" i="3"/>
  <c r="ER192" i="3"/>
  <c r="EQ192" i="3"/>
  <c r="EP192" i="3"/>
  <c r="EO192" i="3"/>
  <c r="EN192" i="3"/>
  <c r="EM192" i="3"/>
  <c r="EL192" i="3"/>
  <c r="EK192" i="3"/>
  <c r="EJ192" i="3"/>
  <c r="EI192" i="3"/>
  <c r="EH192" i="3"/>
  <c r="EG192" i="3"/>
  <c r="EF192" i="3"/>
  <c r="EE192" i="3"/>
  <c r="ED192" i="3"/>
  <c r="EC192" i="3"/>
  <c r="EB192" i="3"/>
  <c r="EA192" i="3"/>
  <c r="DZ192" i="3"/>
  <c r="DY192" i="3"/>
  <c r="FF190" i="3"/>
  <c r="FE190" i="3"/>
  <c r="FD190" i="3"/>
  <c r="FC190" i="3"/>
  <c r="FB190" i="3"/>
  <c r="FA190" i="3"/>
  <c r="EZ190" i="3"/>
  <c r="EY190" i="3"/>
  <c r="EX190" i="3"/>
  <c r="EW190" i="3"/>
  <c r="EV190" i="3"/>
  <c r="EU190" i="3"/>
  <c r="ET190" i="3"/>
  <c r="ES190" i="3"/>
  <c r="ER190" i="3"/>
  <c r="EQ190" i="3"/>
  <c r="EP190" i="3"/>
  <c r="EO190" i="3"/>
  <c r="EN190" i="3"/>
  <c r="EM190" i="3"/>
  <c r="EL190" i="3"/>
  <c r="EK190" i="3"/>
  <c r="EJ190" i="3"/>
  <c r="EI190" i="3"/>
  <c r="EH190" i="3"/>
  <c r="EG190" i="3"/>
  <c r="EF190" i="3"/>
  <c r="EE190" i="3"/>
  <c r="ED190" i="3"/>
  <c r="EC190" i="3"/>
  <c r="EB190" i="3"/>
  <c r="EA190" i="3"/>
  <c r="DZ190" i="3"/>
  <c r="DY190" i="3"/>
  <c r="FF189" i="3"/>
  <c r="FE189" i="3"/>
  <c r="FD189" i="3"/>
  <c r="FC189" i="3"/>
  <c r="FB189" i="3"/>
  <c r="FA189" i="3"/>
  <c r="EZ189" i="3"/>
  <c r="EY189" i="3"/>
  <c r="EX189" i="3"/>
  <c r="EW189" i="3"/>
  <c r="EV189" i="3"/>
  <c r="EU189" i="3"/>
  <c r="ET189" i="3"/>
  <c r="ES189" i="3"/>
  <c r="ER189" i="3"/>
  <c r="EQ189" i="3"/>
  <c r="EP189" i="3"/>
  <c r="EO189" i="3"/>
  <c r="EN189" i="3"/>
  <c r="EM189" i="3"/>
  <c r="EL189" i="3"/>
  <c r="EK189" i="3"/>
  <c r="EJ189" i="3"/>
  <c r="EI189" i="3"/>
  <c r="EH189" i="3"/>
  <c r="EG189" i="3"/>
  <c r="EF189" i="3"/>
  <c r="EE189" i="3"/>
  <c r="ED189" i="3"/>
  <c r="EC189" i="3"/>
  <c r="EB189" i="3"/>
  <c r="EA189" i="3"/>
  <c r="DZ189" i="3"/>
  <c r="DY189" i="3"/>
  <c r="FF188" i="3"/>
  <c r="FE188" i="3"/>
  <c r="FD188" i="3"/>
  <c r="FC188" i="3"/>
  <c r="FB188" i="3"/>
  <c r="FA188" i="3"/>
  <c r="EZ188" i="3"/>
  <c r="EY188" i="3"/>
  <c r="EX188" i="3"/>
  <c r="EW188" i="3"/>
  <c r="EV188" i="3"/>
  <c r="EU188" i="3"/>
  <c r="ET188" i="3"/>
  <c r="ES188" i="3"/>
  <c r="ER188" i="3"/>
  <c r="EQ188" i="3"/>
  <c r="EP188" i="3"/>
  <c r="EO188" i="3"/>
  <c r="EN188" i="3"/>
  <c r="EM188" i="3"/>
  <c r="EL188" i="3"/>
  <c r="EK188" i="3"/>
  <c r="EJ188" i="3"/>
  <c r="EI188" i="3"/>
  <c r="EH188" i="3"/>
  <c r="EG188" i="3"/>
  <c r="EF188" i="3"/>
  <c r="EE188" i="3"/>
  <c r="ED188" i="3"/>
  <c r="EC188" i="3"/>
  <c r="EB188" i="3"/>
  <c r="EA188" i="3"/>
  <c r="DZ188" i="3"/>
  <c r="DY188" i="3"/>
  <c r="FF187" i="3"/>
  <c r="FE187" i="3"/>
  <c r="FD187" i="3"/>
  <c r="FC187" i="3"/>
  <c r="FB187" i="3"/>
  <c r="FA187" i="3"/>
  <c r="EZ187" i="3"/>
  <c r="EY187" i="3"/>
  <c r="EX187" i="3"/>
  <c r="EW187" i="3"/>
  <c r="EV187" i="3"/>
  <c r="EU187" i="3"/>
  <c r="ET187" i="3"/>
  <c r="ES187" i="3"/>
  <c r="ER187" i="3"/>
  <c r="EQ187" i="3"/>
  <c r="EP187" i="3"/>
  <c r="EO187" i="3"/>
  <c r="EN187" i="3"/>
  <c r="EM187" i="3"/>
  <c r="EL187" i="3"/>
  <c r="EK187" i="3"/>
  <c r="EJ187" i="3"/>
  <c r="EI187" i="3"/>
  <c r="EH187" i="3"/>
  <c r="EG187" i="3"/>
  <c r="EF187" i="3"/>
  <c r="EE187" i="3"/>
  <c r="ED187" i="3"/>
  <c r="EC187" i="3"/>
  <c r="EB187" i="3"/>
  <c r="EA187" i="3"/>
  <c r="DZ187" i="3"/>
  <c r="DY187" i="3"/>
  <c r="FF186" i="3"/>
  <c r="FE186" i="3"/>
  <c r="FD186" i="3"/>
  <c r="FC186" i="3"/>
  <c r="FB186" i="3"/>
  <c r="FA186" i="3"/>
  <c r="EZ186" i="3"/>
  <c r="EY186" i="3"/>
  <c r="EX186" i="3"/>
  <c r="EW186" i="3"/>
  <c r="EV186" i="3"/>
  <c r="EU186" i="3"/>
  <c r="ET186" i="3"/>
  <c r="ES186" i="3"/>
  <c r="ER186" i="3"/>
  <c r="EQ186" i="3"/>
  <c r="EP186" i="3"/>
  <c r="EO186" i="3"/>
  <c r="EN186" i="3"/>
  <c r="EM186" i="3"/>
  <c r="EL186" i="3"/>
  <c r="EK186" i="3"/>
  <c r="EJ186" i="3"/>
  <c r="EI186" i="3"/>
  <c r="EH186" i="3"/>
  <c r="EG186" i="3"/>
  <c r="EF186" i="3"/>
  <c r="EE186" i="3"/>
  <c r="ED186" i="3"/>
  <c r="EC186" i="3"/>
  <c r="EB186" i="3"/>
  <c r="EA186" i="3"/>
  <c r="DZ186" i="3"/>
  <c r="DY186" i="3"/>
  <c r="AZ182" i="3"/>
  <c r="AY182" i="3"/>
  <c r="AV182" i="3"/>
  <c r="AU182" i="3"/>
  <c r="AT182" i="3"/>
  <c r="AS182" i="3"/>
  <c r="AR182" i="3"/>
  <c r="AQ182" i="3"/>
  <c r="AP182" i="3"/>
  <c r="AO182" i="3"/>
  <c r="AN182" i="3"/>
  <c r="AM182" i="3"/>
  <c r="AL182" i="3"/>
  <c r="AK182" i="3"/>
  <c r="AJ182" i="3"/>
  <c r="AI182" i="3"/>
  <c r="AH182" i="3"/>
  <c r="AG182" i="3"/>
  <c r="AF182" i="3"/>
  <c r="AE182" i="3"/>
  <c r="AD182" i="3"/>
  <c r="AC182" i="3"/>
  <c r="AB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E182" i="3"/>
  <c r="D182" i="3"/>
  <c r="N173" i="3" l="1"/>
  <c r="M173" i="3"/>
  <c r="M11" i="1" l="1"/>
  <c r="C14" i="1" l="1"/>
  <c r="D14" i="1" s="1"/>
  <c r="E14" i="1" s="1"/>
  <c r="F14" i="1" s="1"/>
  <c r="G14" i="1" s="1"/>
  <c r="H14" i="1" s="1"/>
  <c r="B15" i="1" s="1"/>
  <c r="C15" i="1" s="1"/>
  <c r="D15" i="1" s="1"/>
  <c r="E15" i="1" s="1"/>
  <c r="F15" i="1" s="1"/>
  <c r="G15" i="1" s="1"/>
  <c r="H15" i="1" s="1"/>
  <c r="B16" i="1" s="1"/>
  <c r="C16" i="1" s="1"/>
  <c r="D16" i="1" s="1"/>
  <c r="E16" i="1" s="1"/>
  <c r="F16" i="1" s="1"/>
  <c r="G16" i="1" s="1"/>
  <c r="H16" i="1" s="1"/>
  <c r="B17" i="1" s="1"/>
  <c r="C17" i="1" s="1"/>
  <c r="D17" i="1" s="1"/>
  <c r="E17" i="1" s="1"/>
  <c r="F17" i="1" s="1"/>
  <c r="G17" i="1" s="1"/>
  <c r="H17" i="1" s="1"/>
  <c r="B18" i="1" s="1"/>
  <c r="C18" i="1" s="1"/>
  <c r="D18" i="1" s="1"/>
  <c r="E18" i="1" s="1"/>
  <c r="G30" i="1"/>
  <c r="H30" i="1" s="1"/>
  <c r="B31" i="1" s="1"/>
  <c r="C31" i="1" s="1"/>
  <c r="D31" i="1" s="1"/>
  <c r="E31" i="1" s="1"/>
  <c r="F31" i="1" s="1"/>
  <c r="G31" i="1" s="1"/>
  <c r="H31" i="1" s="1"/>
  <c r="B32" i="1" s="1"/>
  <c r="C32" i="1" s="1"/>
  <c r="D32" i="1" s="1"/>
  <c r="E32" i="1" s="1"/>
  <c r="F32" i="1" s="1"/>
  <c r="G32" i="1" s="1"/>
  <c r="H32" i="1" s="1"/>
  <c r="B33" i="1" s="1"/>
  <c r="C33" i="1" s="1"/>
  <c r="D33" i="1" s="1"/>
  <c r="E33" i="1" s="1"/>
  <c r="F33" i="1" s="1"/>
  <c r="G33" i="1" s="1"/>
  <c r="H33" i="1" s="1"/>
  <c r="B34" i="1" s="1"/>
  <c r="C34" i="1" s="1"/>
  <c r="D34" i="1" s="1"/>
  <c r="E34" i="1" s="1"/>
  <c r="F34" i="1" s="1"/>
  <c r="G34" i="1" s="1"/>
  <c r="H34" i="1" s="1"/>
  <c r="G22" i="1"/>
  <c r="H22" i="1" s="1"/>
  <c r="B23" i="1" s="1"/>
  <c r="C23" i="1" s="1"/>
  <c r="D23" i="1" s="1"/>
  <c r="E23" i="1" s="1"/>
  <c r="F23" i="1" s="1"/>
  <c r="G23" i="1" s="1"/>
  <c r="H23" i="1" s="1"/>
  <c r="B24" i="1" s="1"/>
  <c r="C24" i="1" s="1"/>
  <c r="D24" i="1" s="1"/>
  <c r="E24" i="1" s="1"/>
  <c r="F24" i="1" s="1"/>
  <c r="G24" i="1" s="1"/>
  <c r="H24" i="1" s="1"/>
  <c r="B25" i="1" s="1"/>
  <c r="C25" i="1" s="1"/>
  <c r="D25" i="1" s="1"/>
  <c r="E25" i="1" s="1"/>
  <c r="F25" i="1" s="1"/>
  <c r="G25" i="1" s="1"/>
  <c r="H25" i="1" s="1"/>
  <c r="B26" i="1" s="1"/>
  <c r="C26" i="1" s="1"/>
  <c r="D26" i="1" s="1"/>
  <c r="E26" i="1" s="1"/>
  <c r="F26" i="1" s="1"/>
  <c r="AX106" i="3" l="1"/>
  <c r="AW106" i="3"/>
  <c r="AX115" i="3"/>
  <c r="AW115" i="3"/>
  <c r="AX124" i="3"/>
  <c r="AW124" i="3"/>
  <c r="AX97" i="3"/>
  <c r="AW97" i="3"/>
  <c r="AX88" i="3"/>
  <c r="AW88" i="3"/>
  <c r="AX79" i="3"/>
  <c r="AW79" i="3"/>
  <c r="AX52" i="3"/>
  <c r="AW52" i="3"/>
  <c r="AX61" i="3"/>
  <c r="AW61" i="3"/>
  <c r="AX70" i="3"/>
  <c r="AW70" i="3"/>
  <c r="FF96" i="3" l="1"/>
  <c r="FE96" i="3"/>
  <c r="FD96" i="3"/>
  <c r="FC96" i="3"/>
  <c r="FB96" i="3"/>
  <c r="FA96" i="3"/>
  <c r="EZ96" i="3"/>
  <c r="EY96" i="3"/>
  <c r="EX96" i="3"/>
  <c r="EW96" i="3"/>
  <c r="EV96" i="3"/>
  <c r="EU96" i="3"/>
  <c r="ET96" i="3"/>
  <c r="ES96" i="3"/>
  <c r="ER96" i="3"/>
  <c r="EQ96" i="3"/>
  <c r="EP96" i="3"/>
  <c r="EO96" i="3"/>
  <c r="EN96" i="3"/>
  <c r="EM96" i="3"/>
  <c r="EL96" i="3"/>
  <c r="EK96" i="3"/>
  <c r="EJ96" i="3"/>
  <c r="EI96" i="3"/>
  <c r="EH96" i="3"/>
  <c r="EG96" i="3"/>
  <c r="EF96" i="3"/>
  <c r="EE96" i="3"/>
  <c r="ED96" i="3"/>
  <c r="EC96" i="3"/>
  <c r="EB96" i="3"/>
  <c r="EA96" i="3"/>
  <c r="DZ96" i="3"/>
  <c r="DY96" i="3"/>
  <c r="DX96" i="3"/>
  <c r="FF95" i="3"/>
  <c r="FE95" i="3"/>
  <c r="FD95" i="3"/>
  <c r="FC95" i="3"/>
  <c r="FB95" i="3"/>
  <c r="FA95" i="3"/>
  <c r="EZ95" i="3"/>
  <c r="EY95" i="3"/>
  <c r="EX95" i="3"/>
  <c r="EW95" i="3"/>
  <c r="EV95" i="3"/>
  <c r="EU95" i="3"/>
  <c r="ET95" i="3"/>
  <c r="ES95" i="3"/>
  <c r="ER95" i="3"/>
  <c r="EQ95" i="3"/>
  <c r="EP95" i="3"/>
  <c r="EO95" i="3"/>
  <c r="EN95" i="3"/>
  <c r="EM95" i="3"/>
  <c r="EL95" i="3"/>
  <c r="EK95" i="3"/>
  <c r="EJ95" i="3"/>
  <c r="EI95" i="3"/>
  <c r="EH95" i="3"/>
  <c r="EG95" i="3"/>
  <c r="EF95" i="3"/>
  <c r="EE95" i="3"/>
  <c r="ED95" i="3"/>
  <c r="EC95" i="3"/>
  <c r="EB95" i="3"/>
  <c r="EA95" i="3"/>
  <c r="DZ95" i="3"/>
  <c r="DY95" i="3"/>
  <c r="DX95" i="3"/>
  <c r="FF94" i="3"/>
  <c r="FE94" i="3"/>
  <c r="FD94" i="3"/>
  <c r="FC94" i="3"/>
  <c r="FB94" i="3"/>
  <c r="FA94" i="3"/>
  <c r="EZ94" i="3"/>
  <c r="EY94" i="3"/>
  <c r="EX94" i="3"/>
  <c r="EW94" i="3"/>
  <c r="EV94" i="3"/>
  <c r="EU94" i="3"/>
  <c r="ET94" i="3"/>
  <c r="ES94" i="3"/>
  <c r="ER94" i="3"/>
  <c r="EQ94" i="3"/>
  <c r="EP94" i="3"/>
  <c r="EO94" i="3"/>
  <c r="EN94" i="3"/>
  <c r="EM94" i="3"/>
  <c r="EL94" i="3"/>
  <c r="EK94" i="3"/>
  <c r="EJ94" i="3"/>
  <c r="EI94" i="3"/>
  <c r="EH94" i="3"/>
  <c r="EG94" i="3"/>
  <c r="EF94" i="3"/>
  <c r="EE94" i="3"/>
  <c r="ED94" i="3"/>
  <c r="EC94" i="3"/>
  <c r="EB94" i="3"/>
  <c r="EA94" i="3"/>
  <c r="DZ94" i="3"/>
  <c r="DY94" i="3"/>
  <c r="DX94" i="3"/>
  <c r="FF92" i="3"/>
  <c r="FE92" i="3"/>
  <c r="FD92" i="3"/>
  <c r="FC92" i="3"/>
  <c r="FB92" i="3"/>
  <c r="FA92" i="3"/>
  <c r="EZ92" i="3"/>
  <c r="EY92" i="3"/>
  <c r="EX92" i="3"/>
  <c r="EW92" i="3"/>
  <c r="EV92" i="3"/>
  <c r="EU92" i="3"/>
  <c r="ET92" i="3"/>
  <c r="ES92" i="3"/>
  <c r="ER92" i="3"/>
  <c r="EQ92" i="3"/>
  <c r="EP92" i="3"/>
  <c r="EO92" i="3"/>
  <c r="EN92" i="3"/>
  <c r="EM92" i="3"/>
  <c r="EL92" i="3"/>
  <c r="EK92" i="3"/>
  <c r="EJ92" i="3"/>
  <c r="EI92" i="3"/>
  <c r="EH92" i="3"/>
  <c r="EG92" i="3"/>
  <c r="EF92" i="3"/>
  <c r="EE92" i="3"/>
  <c r="ED92" i="3"/>
  <c r="EC92" i="3"/>
  <c r="EB92" i="3"/>
  <c r="EA92" i="3"/>
  <c r="DZ92" i="3"/>
  <c r="DY92" i="3"/>
  <c r="DX92" i="3"/>
  <c r="H295" i="6" l="1"/>
  <c r="H259" i="6" l="1"/>
  <c r="H253" i="6"/>
  <c r="H234" i="6"/>
  <c r="H233" i="6"/>
  <c r="H232" i="6"/>
  <c r="H133" i="6" l="1"/>
  <c r="H38" i="2"/>
  <c r="H82" i="6"/>
  <c r="G49" i="6"/>
  <c r="H47" i="6"/>
  <c r="H46" i="6"/>
  <c r="H40" i="6"/>
  <c r="H41" i="6"/>
  <c r="H73" i="6"/>
  <c r="H72" i="6"/>
  <c r="H67" i="6"/>
  <c r="H66" i="6"/>
  <c r="H68" i="6" s="1"/>
  <c r="I68" i="6" s="1"/>
  <c r="H61" i="6"/>
  <c r="H60" i="6"/>
  <c r="H55" i="6"/>
  <c r="H54" i="6"/>
  <c r="H49" i="6"/>
  <c r="H48" i="6"/>
  <c r="H43" i="6"/>
  <c r="H42" i="6"/>
  <c r="H37" i="6"/>
  <c r="H36" i="6"/>
  <c r="H31" i="6"/>
  <c r="H30" i="6"/>
  <c r="H25" i="6"/>
  <c r="H24" i="6"/>
  <c r="H26" i="6" s="1"/>
  <c r="I26" i="6" s="1"/>
  <c r="H19" i="6"/>
  <c r="H18" i="6"/>
  <c r="H13" i="6"/>
  <c r="H12" i="6"/>
  <c r="H14" i="6" s="1"/>
  <c r="I14" i="6" s="1"/>
  <c r="H32" i="6" l="1"/>
  <c r="I32" i="6" s="1"/>
  <c r="H20" i="6"/>
  <c r="I20" i="6" s="1"/>
  <c r="H15" i="2" s="1"/>
  <c r="H56" i="6"/>
  <c r="I56" i="6" s="1"/>
  <c r="H25" i="2" s="1"/>
  <c r="H38" i="6"/>
  <c r="I38" i="6" s="1"/>
  <c r="H62" i="6"/>
  <c r="I62" i="6" s="1"/>
  <c r="H74" i="6"/>
  <c r="I74" i="6" s="1"/>
  <c r="H28" i="2" s="1"/>
  <c r="H50" i="6"/>
  <c r="I50" i="6" s="1"/>
  <c r="H20" i="2" s="1"/>
  <c r="H44" i="6"/>
  <c r="I44" i="6" s="1"/>
  <c r="H19" i="2" s="1"/>
  <c r="N167" i="3"/>
  <c r="M167" i="3"/>
  <c r="N158" i="3"/>
  <c r="M158" i="3"/>
  <c r="CC157" i="3"/>
  <c r="N156" i="3"/>
  <c r="CF156" i="3" s="1"/>
  <c r="M156" i="3"/>
  <c r="N155" i="3"/>
  <c r="M155" i="3"/>
  <c r="N154" i="3"/>
  <c r="BP154" i="3" s="1"/>
  <c r="M154" i="3"/>
  <c r="N153" i="3"/>
  <c r="M153" i="3"/>
  <c r="CG148" i="3"/>
  <c r="N147" i="3"/>
  <c r="M147" i="3"/>
  <c r="N146" i="3"/>
  <c r="CD146" i="3" s="1"/>
  <c r="M146" i="3"/>
  <c r="N145" i="3"/>
  <c r="CG145" i="3" s="1"/>
  <c r="M145" i="3"/>
  <c r="N140" i="3"/>
  <c r="M140" i="3"/>
  <c r="N138" i="3"/>
  <c r="CG138" i="3" s="1"/>
  <c r="M138" i="3"/>
  <c r="N137" i="3"/>
  <c r="M137" i="3"/>
  <c r="N130" i="3"/>
  <c r="M130" i="3"/>
  <c r="N123" i="3"/>
  <c r="CG123" i="3" s="1"/>
  <c r="DS122" i="3" s="1"/>
  <c r="M123" i="3"/>
  <c r="N119" i="3"/>
  <c r="CF119" i="3" s="1"/>
  <c r="M119" i="3"/>
  <c r="N117" i="3"/>
  <c r="M117" i="3"/>
  <c r="N114" i="3"/>
  <c r="CC114" i="3" s="1"/>
  <c r="M114" i="3"/>
  <c r="N113" i="3"/>
  <c r="CG113" i="3" s="1"/>
  <c r="M113" i="3"/>
  <c r="N112" i="3"/>
  <c r="M112" i="3"/>
  <c r="N105" i="3"/>
  <c r="M105" i="3"/>
  <c r="N104" i="3"/>
  <c r="M104" i="3"/>
  <c r="N101" i="3"/>
  <c r="M101" i="3"/>
  <c r="N99" i="3"/>
  <c r="CD99" i="3" s="1"/>
  <c r="M99" i="3"/>
  <c r="N96" i="3"/>
  <c r="M96" i="3"/>
  <c r="N95" i="3"/>
  <c r="M95" i="3"/>
  <c r="N94" i="3"/>
  <c r="M94" i="3"/>
  <c r="N92" i="3"/>
  <c r="M92" i="3"/>
  <c r="B27" i="3"/>
  <c r="B28" i="3" s="1"/>
  <c r="B29" i="3" s="1"/>
  <c r="B30" i="3" s="1"/>
  <c r="B31" i="3" s="1"/>
  <c r="B32" i="3" s="1"/>
  <c r="B33" i="3" s="1"/>
  <c r="B19" i="3"/>
  <c r="B20" i="3" s="1"/>
  <c r="B21" i="3" s="1"/>
  <c r="B22" i="3" s="1"/>
  <c r="B23" i="3" s="1"/>
  <c r="B24" i="3" s="1"/>
  <c r="B13" i="3"/>
  <c r="B14" i="3" s="1"/>
  <c r="B15" i="3" s="1"/>
  <c r="AQ42" i="2"/>
  <c r="AP42" i="2"/>
  <c r="CD92" i="3" l="1"/>
  <c r="N115" i="3"/>
  <c r="CG117" i="3"/>
  <c r="N124" i="3"/>
  <c r="CC130" i="3"/>
  <c r="DO126" i="3" s="1"/>
  <c r="N133" i="3"/>
  <c r="CH145" i="3"/>
  <c r="BB145" i="3"/>
  <c r="BM92" i="3"/>
  <c r="BG145" i="3"/>
  <c r="CH92" i="3"/>
  <c r="CB145" i="3"/>
  <c r="BG113" i="3"/>
  <c r="BG119" i="3"/>
  <c r="BR113" i="3"/>
  <c r="BV119" i="3"/>
  <c r="BL145" i="3"/>
  <c r="CF154" i="3"/>
  <c r="BQ157" i="3"/>
  <c r="CB113" i="3"/>
  <c r="CJ119" i="3"/>
  <c r="BW145" i="3"/>
  <c r="BJ123" i="3"/>
  <c r="CV122" i="3" s="1"/>
  <c r="BT123" i="3"/>
  <c r="DF122" i="3" s="1"/>
  <c r="CE123" i="3"/>
  <c r="DQ122" i="3" s="1"/>
  <c r="CD113" i="3"/>
  <c r="DP113" i="3" s="1"/>
  <c r="BZ117" i="3"/>
  <c r="BR138" i="3"/>
  <c r="BH113" i="3"/>
  <c r="CT113" i="3" s="1"/>
  <c r="BS113" i="3"/>
  <c r="BJ119" i="3"/>
  <c r="BC123" i="3"/>
  <c r="CO122" i="3" s="1"/>
  <c r="BX123" i="3"/>
  <c r="DJ122" i="3" s="1"/>
  <c r="CI123" i="3"/>
  <c r="DU122" i="3" s="1"/>
  <c r="BW138" i="3"/>
  <c r="BB92" i="3"/>
  <c r="BV92" i="3"/>
  <c r="BB113" i="3"/>
  <c r="CN113" i="3" s="1"/>
  <c r="BL113" i="3"/>
  <c r="BW113" i="3"/>
  <c r="CH113" i="3"/>
  <c r="DT113" i="3" s="1"/>
  <c r="BJ117" i="3"/>
  <c r="CE117" i="3"/>
  <c r="BB119" i="3"/>
  <c r="BO119" i="3"/>
  <c r="CB119" i="3"/>
  <c r="BD123" i="3"/>
  <c r="CP122" i="3" s="1"/>
  <c r="BO123" i="3"/>
  <c r="DA122" i="3" s="1"/>
  <c r="BZ123" i="3"/>
  <c r="DL122" i="3" s="1"/>
  <c r="CJ123" i="3"/>
  <c r="DV122" i="3" s="1"/>
  <c r="BE130" i="3"/>
  <c r="CQ126" i="3" s="1"/>
  <c r="BG138" i="3"/>
  <c r="CB138" i="3"/>
  <c r="BF148" i="3"/>
  <c r="BK154" i="3"/>
  <c r="N169" i="3"/>
  <c r="BT117" i="3"/>
  <c r="BN92" i="3"/>
  <c r="BD117" i="3"/>
  <c r="BW119" i="3"/>
  <c r="BN123" i="3"/>
  <c r="CZ122" i="3" s="1"/>
  <c r="BB138" i="3"/>
  <c r="BE92" i="3"/>
  <c r="BZ92" i="3"/>
  <c r="BC113" i="3"/>
  <c r="CO113" i="3" s="1"/>
  <c r="BN113" i="3"/>
  <c r="BX113" i="3"/>
  <c r="DJ113" i="3" s="1"/>
  <c r="CI113" i="3"/>
  <c r="BO117" i="3"/>
  <c r="DA117" i="3" s="1"/>
  <c r="CJ117" i="3"/>
  <c r="DV117" i="3" s="1"/>
  <c r="BC119" i="3"/>
  <c r="BP119" i="3"/>
  <c r="CE119" i="3"/>
  <c r="BH123" i="3"/>
  <c r="CT122" i="3" s="1"/>
  <c r="BS123" i="3"/>
  <c r="DE122" i="3" s="1"/>
  <c r="CD123" i="3"/>
  <c r="DP122" i="3" s="1"/>
  <c r="BL138" i="3"/>
  <c r="CH138" i="3"/>
  <c r="BR145" i="3"/>
  <c r="BQ148" i="3"/>
  <c r="BF157" i="3"/>
  <c r="B36" i="3"/>
  <c r="BB99" i="3"/>
  <c r="CH99" i="3"/>
  <c r="BF117" i="3"/>
  <c r="BK117" i="3"/>
  <c r="BP117" i="3"/>
  <c r="BV117" i="3"/>
  <c r="DH117" i="3" s="1"/>
  <c r="CA117" i="3"/>
  <c r="DM117" i="3" s="1"/>
  <c r="CF117" i="3"/>
  <c r="DR117" i="3" s="1"/>
  <c r="BF156" i="3"/>
  <c r="CA156" i="3"/>
  <c r="BF92" i="3"/>
  <c r="BR92" i="3"/>
  <c r="CC92" i="3"/>
  <c r="BJ99" i="3"/>
  <c r="BD113" i="3"/>
  <c r="BJ113" i="3"/>
  <c r="BO113" i="3"/>
  <c r="BT113" i="3"/>
  <c r="DF113" i="3" s="1"/>
  <c r="BZ113" i="3"/>
  <c r="DL113" i="3" s="1"/>
  <c r="CE113" i="3"/>
  <c r="CJ113" i="3"/>
  <c r="BE114" i="3"/>
  <c r="BB117" i="3"/>
  <c r="BG117" i="3"/>
  <c r="BL117" i="3"/>
  <c r="BR117" i="3"/>
  <c r="BW117" i="3"/>
  <c r="CB117" i="3"/>
  <c r="DN117" i="3" s="1"/>
  <c r="CH117" i="3"/>
  <c r="BD119" i="3"/>
  <c r="BK119" i="3"/>
  <c r="BR119" i="3"/>
  <c r="BZ119" i="3"/>
  <c r="CG154" i="3"/>
  <c r="CJ154" i="3"/>
  <c r="CE154" i="3"/>
  <c r="BZ154" i="3"/>
  <c r="BT154" i="3"/>
  <c r="BO154" i="3"/>
  <c r="BJ154" i="3"/>
  <c r="BD154" i="3"/>
  <c r="CI154" i="3"/>
  <c r="CD154" i="3"/>
  <c r="BX154" i="3"/>
  <c r="BS154" i="3"/>
  <c r="BN154" i="3"/>
  <c r="BH154" i="3"/>
  <c r="BC154" i="3"/>
  <c r="CH154" i="3"/>
  <c r="CB154" i="3"/>
  <c r="BW154" i="3"/>
  <c r="BR154" i="3"/>
  <c r="BL154" i="3"/>
  <c r="BG154" i="3"/>
  <c r="BB154" i="3"/>
  <c r="BV154" i="3"/>
  <c r="BK156" i="3"/>
  <c r="BZ99" i="3"/>
  <c r="CG156" i="3"/>
  <c r="CJ156" i="3"/>
  <c r="CE156" i="3"/>
  <c r="BZ156" i="3"/>
  <c r="BT156" i="3"/>
  <c r="BO156" i="3"/>
  <c r="BJ156" i="3"/>
  <c r="BD156" i="3"/>
  <c r="CI156" i="3"/>
  <c r="CD156" i="3"/>
  <c r="BX156" i="3"/>
  <c r="BS156" i="3"/>
  <c r="BN156" i="3"/>
  <c r="BH156" i="3"/>
  <c r="BC156" i="3"/>
  <c r="CH156" i="3"/>
  <c r="CB156" i="3"/>
  <c r="BW156" i="3"/>
  <c r="BR156" i="3"/>
  <c r="BL156" i="3"/>
  <c r="BG156" i="3"/>
  <c r="BB156" i="3"/>
  <c r="BV156" i="3"/>
  <c r="BJ92" i="3"/>
  <c r="BU92" i="3"/>
  <c r="BR99" i="3"/>
  <c r="BF113" i="3"/>
  <c r="BK113" i="3"/>
  <c r="BP113" i="3"/>
  <c r="BV113" i="3"/>
  <c r="CA113" i="3"/>
  <c r="CF113" i="3"/>
  <c r="DR113" i="3" s="1"/>
  <c r="BU114" i="3"/>
  <c r="BC117" i="3"/>
  <c r="CO117" i="3" s="1"/>
  <c r="BH117" i="3"/>
  <c r="BN117" i="3"/>
  <c r="CZ117" i="3" s="1"/>
  <c r="BS117" i="3"/>
  <c r="BX117" i="3"/>
  <c r="CD117" i="3"/>
  <c r="CI117" i="3"/>
  <c r="CG119" i="3"/>
  <c r="CI119" i="3"/>
  <c r="CD119" i="3"/>
  <c r="BX119" i="3"/>
  <c r="BS119" i="3"/>
  <c r="BN119" i="3"/>
  <c r="BH119" i="3"/>
  <c r="BF119" i="3"/>
  <c r="BL119" i="3"/>
  <c r="BT119" i="3"/>
  <c r="CA119" i="3"/>
  <c r="CH119" i="3"/>
  <c r="BF154" i="3"/>
  <c r="CA154" i="3"/>
  <c r="BP156" i="3"/>
  <c r="BF123" i="3"/>
  <c r="CR122" i="3" s="1"/>
  <c r="BK123" i="3"/>
  <c r="CW122" i="3" s="1"/>
  <c r="BP123" i="3"/>
  <c r="DB122" i="3" s="1"/>
  <c r="BV123" i="3"/>
  <c r="DH122" i="3" s="1"/>
  <c r="CA123" i="3"/>
  <c r="DM122" i="3" s="1"/>
  <c r="CF123" i="3"/>
  <c r="DR122" i="3" s="1"/>
  <c r="BU130" i="3"/>
  <c r="DG126" i="3" s="1"/>
  <c r="BC138" i="3"/>
  <c r="BH138" i="3"/>
  <c r="BN138" i="3"/>
  <c r="BS138" i="3"/>
  <c r="BX138" i="3"/>
  <c r="CD138" i="3"/>
  <c r="CI138" i="3"/>
  <c r="BC145" i="3"/>
  <c r="BH145" i="3"/>
  <c r="BN145" i="3"/>
  <c r="BS145" i="3"/>
  <c r="BX145" i="3"/>
  <c r="CD145" i="3"/>
  <c r="CI145" i="3"/>
  <c r="CG157" i="3"/>
  <c r="BB123" i="3"/>
  <c r="CN122" i="3" s="1"/>
  <c r="BG123" i="3"/>
  <c r="CS122" i="3" s="1"/>
  <c r="BL123" i="3"/>
  <c r="CX122" i="3" s="1"/>
  <c r="BR123" i="3"/>
  <c r="DD122" i="3" s="1"/>
  <c r="BW123" i="3"/>
  <c r="DI122" i="3" s="1"/>
  <c r="CB123" i="3"/>
  <c r="DN122" i="3" s="1"/>
  <c r="CH123" i="3"/>
  <c r="DT122" i="3" s="1"/>
  <c r="BD138" i="3"/>
  <c r="BJ138" i="3"/>
  <c r="BO138" i="3"/>
  <c r="BT138" i="3"/>
  <c r="BZ138" i="3"/>
  <c r="CE138" i="3"/>
  <c r="CJ138" i="3"/>
  <c r="BD145" i="3"/>
  <c r="BJ145" i="3"/>
  <c r="BO145" i="3"/>
  <c r="BT145" i="3"/>
  <c r="BZ145" i="3"/>
  <c r="CE145" i="3"/>
  <c r="CJ145" i="3"/>
  <c r="BF138" i="3"/>
  <c r="BK138" i="3"/>
  <c r="BP138" i="3"/>
  <c r="BV138" i="3"/>
  <c r="CA138" i="3"/>
  <c r="CF138" i="3"/>
  <c r="BF145" i="3"/>
  <c r="BK145" i="3"/>
  <c r="BP145" i="3"/>
  <c r="BV145" i="3"/>
  <c r="CA145" i="3"/>
  <c r="CF145" i="3"/>
  <c r="BE157" i="3"/>
  <c r="BM157" i="3"/>
  <c r="CJ157" i="3"/>
  <c r="CF157" i="3"/>
  <c r="CB157" i="3"/>
  <c r="BX157" i="3"/>
  <c r="BT157" i="3"/>
  <c r="BP157" i="3"/>
  <c r="BL157" i="3"/>
  <c r="BH157" i="3"/>
  <c r="BD157" i="3"/>
  <c r="CI157" i="3"/>
  <c r="CE157" i="3"/>
  <c r="CA157" i="3"/>
  <c r="BW157" i="3"/>
  <c r="BS157" i="3"/>
  <c r="BO157" i="3"/>
  <c r="BK157" i="3"/>
  <c r="BG157" i="3"/>
  <c r="BC157" i="3"/>
  <c r="CH157" i="3"/>
  <c r="CD157" i="3"/>
  <c r="BZ157" i="3"/>
  <c r="BV157" i="3"/>
  <c r="BR157" i="3"/>
  <c r="BN157" i="3"/>
  <c r="BI157" i="3"/>
  <c r="BU157" i="3"/>
  <c r="BB157" i="3"/>
  <c r="BJ157" i="3"/>
  <c r="BY157" i="3"/>
  <c r="BE154" i="3"/>
  <c r="BI154" i="3"/>
  <c r="BM154" i="3"/>
  <c r="BQ154" i="3"/>
  <c r="BU154" i="3"/>
  <c r="BY154" i="3"/>
  <c r="CC154" i="3"/>
  <c r="BE156" i="3"/>
  <c r="BI156" i="3"/>
  <c r="BM156" i="3"/>
  <c r="BQ156" i="3"/>
  <c r="BU156" i="3"/>
  <c r="BY156" i="3"/>
  <c r="CC156" i="3"/>
  <c r="BI146" i="3"/>
  <c r="BQ146" i="3"/>
  <c r="CG146" i="3"/>
  <c r="BB146" i="3"/>
  <c r="BR146" i="3"/>
  <c r="CH146" i="3"/>
  <c r="CJ148" i="3"/>
  <c r="CF148" i="3"/>
  <c r="CB148" i="3"/>
  <c r="BX148" i="3"/>
  <c r="BT148" i="3"/>
  <c r="BP148" i="3"/>
  <c r="BL148" i="3"/>
  <c r="BH148" i="3"/>
  <c r="BD148" i="3"/>
  <c r="CI148" i="3"/>
  <c r="CE148" i="3"/>
  <c r="CA148" i="3"/>
  <c r="BW148" i="3"/>
  <c r="BS148" i="3"/>
  <c r="BO148" i="3"/>
  <c r="BK148" i="3"/>
  <c r="BG148" i="3"/>
  <c r="BC148" i="3"/>
  <c r="CH148" i="3"/>
  <c r="CD148" i="3"/>
  <c r="BZ148" i="3"/>
  <c r="BV148" i="3"/>
  <c r="BR148" i="3"/>
  <c r="BN148" i="3"/>
  <c r="BI148" i="3"/>
  <c r="BE146" i="3"/>
  <c r="BF146" i="3"/>
  <c r="BN146" i="3"/>
  <c r="BV146" i="3"/>
  <c r="BE148" i="3"/>
  <c r="BM148" i="3"/>
  <c r="CC148" i="3"/>
  <c r="CJ146" i="3"/>
  <c r="CF146" i="3"/>
  <c r="CB146" i="3"/>
  <c r="BX146" i="3"/>
  <c r="BT146" i="3"/>
  <c r="BP146" i="3"/>
  <c r="BL146" i="3"/>
  <c r="BH146" i="3"/>
  <c r="BD146" i="3"/>
  <c r="CI146" i="3"/>
  <c r="CE146" i="3"/>
  <c r="CA146" i="3"/>
  <c r="BW146" i="3"/>
  <c r="BS146" i="3"/>
  <c r="BO146" i="3"/>
  <c r="BK146" i="3"/>
  <c r="BG146" i="3"/>
  <c r="BC146" i="3"/>
  <c r="BY146" i="3"/>
  <c r="BJ146" i="3"/>
  <c r="BZ146" i="3"/>
  <c r="BU148" i="3"/>
  <c r="BM146" i="3"/>
  <c r="BU146" i="3"/>
  <c r="CC146" i="3"/>
  <c r="BB148" i="3"/>
  <c r="BJ148" i="3"/>
  <c r="BY148" i="3"/>
  <c r="BE145" i="3"/>
  <c r="BI145" i="3"/>
  <c r="BM145" i="3"/>
  <c r="BQ145" i="3"/>
  <c r="BU145" i="3"/>
  <c r="BY145" i="3"/>
  <c r="CC145" i="3"/>
  <c r="BE138" i="3"/>
  <c r="BI138" i="3"/>
  <c r="BM138" i="3"/>
  <c r="BQ138" i="3"/>
  <c r="BU138" i="3"/>
  <c r="BY138" i="3"/>
  <c r="CC138" i="3"/>
  <c r="BI130" i="3"/>
  <c r="CU126" i="3" s="1"/>
  <c r="BY130" i="3"/>
  <c r="DK126" i="3" s="1"/>
  <c r="BM130" i="3"/>
  <c r="CY126" i="3" s="1"/>
  <c r="CJ130" i="3"/>
  <c r="DV126" i="3" s="1"/>
  <c r="CF130" i="3"/>
  <c r="DR126" i="3" s="1"/>
  <c r="CB130" i="3"/>
  <c r="DN126" i="3" s="1"/>
  <c r="BX130" i="3"/>
  <c r="DJ126" i="3" s="1"/>
  <c r="BT130" i="3"/>
  <c r="DF126" i="3" s="1"/>
  <c r="BP130" i="3"/>
  <c r="DB126" i="3" s="1"/>
  <c r="BL130" i="3"/>
  <c r="CX126" i="3" s="1"/>
  <c r="BH130" i="3"/>
  <c r="CT126" i="3" s="1"/>
  <c r="BD130" i="3"/>
  <c r="CP126" i="3" s="1"/>
  <c r="CI130" i="3"/>
  <c r="DU126" i="3" s="1"/>
  <c r="CE130" i="3"/>
  <c r="DQ126" i="3" s="1"/>
  <c r="CA130" i="3"/>
  <c r="DM126" i="3" s="1"/>
  <c r="BW130" i="3"/>
  <c r="DI126" i="3" s="1"/>
  <c r="BS130" i="3"/>
  <c r="DE126" i="3" s="1"/>
  <c r="BO130" i="3"/>
  <c r="DA126" i="3" s="1"/>
  <c r="BK130" i="3"/>
  <c r="CW126" i="3" s="1"/>
  <c r="BG130" i="3"/>
  <c r="CS126" i="3" s="1"/>
  <c r="BC130" i="3"/>
  <c r="CO126" i="3" s="1"/>
  <c r="CH130" i="3"/>
  <c r="DT126" i="3" s="1"/>
  <c r="CD130" i="3"/>
  <c r="DP126" i="3" s="1"/>
  <c r="BZ130" i="3"/>
  <c r="DL126" i="3" s="1"/>
  <c r="BV130" i="3"/>
  <c r="DH126" i="3" s="1"/>
  <c r="BR130" i="3"/>
  <c r="DD126" i="3" s="1"/>
  <c r="BN130" i="3"/>
  <c r="CZ126" i="3" s="1"/>
  <c r="BJ130" i="3"/>
  <c r="CV126" i="3" s="1"/>
  <c r="BF130" i="3"/>
  <c r="CR126" i="3" s="1"/>
  <c r="BB130" i="3"/>
  <c r="CN126" i="3" s="1"/>
  <c r="BQ130" i="3"/>
  <c r="DC126" i="3" s="1"/>
  <c r="CG130" i="3"/>
  <c r="DS126" i="3" s="1"/>
  <c r="BE117" i="3"/>
  <c r="BI117" i="3"/>
  <c r="CU117" i="3" s="1"/>
  <c r="BM117" i="3"/>
  <c r="BQ117" i="3"/>
  <c r="BU117" i="3"/>
  <c r="BY117" i="3"/>
  <c r="CC117" i="3"/>
  <c r="BE119" i="3"/>
  <c r="BI119" i="3"/>
  <c r="BM119" i="3"/>
  <c r="BQ119" i="3"/>
  <c r="BU119" i="3"/>
  <c r="BY119" i="3"/>
  <c r="CC119" i="3"/>
  <c r="BE123" i="3"/>
  <c r="CQ122" i="3" s="1"/>
  <c r="BI123" i="3"/>
  <c r="CU122" i="3" s="1"/>
  <c r="BM123" i="3"/>
  <c r="CY122" i="3" s="1"/>
  <c r="BQ123" i="3"/>
  <c r="DC122" i="3" s="1"/>
  <c r="BU123" i="3"/>
  <c r="DG122" i="3" s="1"/>
  <c r="BY123" i="3"/>
  <c r="DK122" i="3" s="1"/>
  <c r="CC123" i="3"/>
  <c r="DO122" i="3" s="1"/>
  <c r="BI114" i="3"/>
  <c r="BY114" i="3"/>
  <c r="BM114" i="3"/>
  <c r="CJ114" i="3"/>
  <c r="CF114" i="3"/>
  <c r="CB114" i="3"/>
  <c r="BX114" i="3"/>
  <c r="BT114" i="3"/>
  <c r="BP114" i="3"/>
  <c r="BL114" i="3"/>
  <c r="BH114" i="3"/>
  <c r="BD114" i="3"/>
  <c r="CI114" i="3"/>
  <c r="CE114" i="3"/>
  <c r="CA114" i="3"/>
  <c r="BW114" i="3"/>
  <c r="BS114" i="3"/>
  <c r="BO114" i="3"/>
  <c r="BK114" i="3"/>
  <c r="BG114" i="3"/>
  <c r="BC114" i="3"/>
  <c r="CH114" i="3"/>
  <c r="CD114" i="3"/>
  <c r="BZ114" i="3"/>
  <c r="BV114" i="3"/>
  <c r="BR114" i="3"/>
  <c r="BN114" i="3"/>
  <c r="BJ114" i="3"/>
  <c r="BF114" i="3"/>
  <c r="BB114" i="3"/>
  <c r="BQ114" i="3"/>
  <c r="CG114" i="3"/>
  <c r="DS113" i="3" s="1"/>
  <c r="BE113" i="3"/>
  <c r="CQ113" i="3" s="1"/>
  <c r="BI113" i="3"/>
  <c r="BM113" i="3"/>
  <c r="CY113" i="3" s="1"/>
  <c r="BQ113" i="3"/>
  <c r="DC113" i="3" s="1"/>
  <c r="BU113" i="3"/>
  <c r="DG113" i="3" s="1"/>
  <c r="BY113" i="3"/>
  <c r="DK113" i="3" s="1"/>
  <c r="CC113" i="3"/>
  <c r="DO113" i="3" s="1"/>
  <c r="CJ101" i="3"/>
  <c r="CF101" i="3"/>
  <c r="CB101" i="3"/>
  <c r="BX101" i="3"/>
  <c r="BT101" i="3"/>
  <c r="BP101" i="3"/>
  <c r="BL101" i="3"/>
  <c r="BH101" i="3"/>
  <c r="BD101" i="3"/>
  <c r="BZ101" i="3"/>
  <c r="BR101" i="3"/>
  <c r="CI101" i="3"/>
  <c r="CE101" i="3"/>
  <c r="CA101" i="3"/>
  <c r="BW101" i="3"/>
  <c r="BS101" i="3"/>
  <c r="BO101" i="3"/>
  <c r="BK101" i="3"/>
  <c r="BG101" i="3"/>
  <c r="BC101" i="3"/>
  <c r="CH101" i="3"/>
  <c r="CD101" i="3"/>
  <c r="BV101" i="3"/>
  <c r="BN101" i="3"/>
  <c r="BI101" i="3"/>
  <c r="BU101" i="3"/>
  <c r="BE99" i="3"/>
  <c r="BM99" i="3"/>
  <c r="BU99" i="3"/>
  <c r="CC99" i="3"/>
  <c r="BB101" i="3"/>
  <c r="BJ101" i="3"/>
  <c r="BY101" i="3"/>
  <c r="BF99" i="3"/>
  <c r="BN99" i="3"/>
  <c r="BV99" i="3"/>
  <c r="BE101" i="3"/>
  <c r="BM101" i="3"/>
  <c r="CC101" i="3"/>
  <c r="CJ99" i="3"/>
  <c r="CF99" i="3"/>
  <c r="CB99" i="3"/>
  <c r="BX99" i="3"/>
  <c r="BT99" i="3"/>
  <c r="BP99" i="3"/>
  <c r="BL99" i="3"/>
  <c r="BH99" i="3"/>
  <c r="BD99" i="3"/>
  <c r="CI99" i="3"/>
  <c r="CE99" i="3"/>
  <c r="CA99" i="3"/>
  <c r="BW99" i="3"/>
  <c r="BS99" i="3"/>
  <c r="BO99" i="3"/>
  <c r="BK99" i="3"/>
  <c r="BG99" i="3"/>
  <c r="BC99" i="3"/>
  <c r="BI99" i="3"/>
  <c r="BQ99" i="3"/>
  <c r="BY99" i="3"/>
  <c r="CG99" i="3"/>
  <c r="BF101" i="3"/>
  <c r="BQ101" i="3"/>
  <c r="CG101" i="3"/>
  <c r="CJ92" i="3"/>
  <c r="CF92" i="3"/>
  <c r="CB92" i="3"/>
  <c r="BX92" i="3"/>
  <c r="BT92" i="3"/>
  <c r="BP92" i="3"/>
  <c r="BL92" i="3"/>
  <c r="BH92" i="3"/>
  <c r="BD92" i="3"/>
  <c r="CI92" i="3"/>
  <c r="CE92" i="3"/>
  <c r="CA92" i="3"/>
  <c r="BW92" i="3"/>
  <c r="BS92" i="3"/>
  <c r="BO92" i="3"/>
  <c r="BK92" i="3"/>
  <c r="BG92" i="3"/>
  <c r="BC92" i="3"/>
  <c r="BI92" i="3"/>
  <c r="BQ92" i="3"/>
  <c r="BY92" i="3"/>
  <c r="CG92" i="3"/>
  <c r="CQ117" i="3" l="1"/>
  <c r="DQ117" i="3"/>
  <c r="DU117" i="3"/>
  <c r="CS117" i="3"/>
  <c r="CV117" i="3"/>
  <c r="CT117" i="3"/>
  <c r="DT117" i="3"/>
  <c r="DB117" i="3"/>
  <c r="DL117" i="3"/>
  <c r="CW117" i="3"/>
  <c r="DO117" i="3"/>
  <c r="DI117" i="3"/>
  <c r="CR117" i="3"/>
  <c r="DD117" i="3"/>
  <c r="DS117" i="3"/>
  <c r="DG117" i="3"/>
  <c r="DP117" i="3"/>
  <c r="CX117" i="3"/>
  <c r="CP117" i="3"/>
  <c r="DC117" i="3"/>
  <c r="DJ117" i="3"/>
  <c r="DK117" i="3"/>
  <c r="CY117" i="3"/>
  <c r="DE117" i="3"/>
  <c r="CN117" i="3"/>
  <c r="DF117" i="3"/>
  <c r="DV113" i="3"/>
  <c r="DQ113" i="3"/>
  <c r="CZ113" i="3"/>
  <c r="DE113" i="3"/>
  <c r="DI113" i="3"/>
  <c r="DM113" i="3"/>
  <c r="DA113" i="3"/>
  <c r="CX113" i="3"/>
  <c r="DH113" i="3"/>
  <c r="CV113" i="3"/>
  <c r="DD113" i="3"/>
  <c r="CU113" i="3"/>
  <c r="DB113" i="3"/>
  <c r="CP113" i="3"/>
  <c r="CW113" i="3"/>
  <c r="CS113" i="3"/>
  <c r="CR113" i="3"/>
  <c r="DU113" i="3"/>
  <c r="DN113" i="3"/>
  <c r="B45" i="3"/>
  <c r="B37" i="3"/>
  <c r="B38" i="3" s="1"/>
  <c r="B39" i="3" s="1"/>
  <c r="B40" i="3" s="1"/>
  <c r="B41" i="3" s="1"/>
  <c r="B42" i="3" s="1"/>
  <c r="H1465" i="6"/>
  <c r="H1464" i="6"/>
  <c r="H1463" i="6"/>
  <c r="H1462" i="6"/>
  <c r="H1459" i="6"/>
  <c r="H1458" i="6"/>
  <c r="H1457" i="6"/>
  <c r="H1456" i="6"/>
  <c r="H1453" i="6"/>
  <c r="H1452" i="6"/>
  <c r="H1451" i="6"/>
  <c r="H1450" i="6"/>
  <c r="H1447" i="6"/>
  <c r="H1446" i="6"/>
  <c r="H1445" i="6"/>
  <c r="H1444" i="6"/>
  <c r="H1441" i="6"/>
  <c r="H1440" i="6"/>
  <c r="H1439" i="6"/>
  <c r="H1438" i="6"/>
  <c r="H1435" i="6"/>
  <c r="H1434" i="6"/>
  <c r="H1433" i="6"/>
  <c r="H1432" i="6"/>
  <c r="H1429" i="6"/>
  <c r="H1428" i="6"/>
  <c r="H1427" i="6"/>
  <c r="H1426" i="6"/>
  <c r="H1423" i="6"/>
  <c r="H1422" i="6"/>
  <c r="H1421" i="6"/>
  <c r="H1420" i="6"/>
  <c r="H1417" i="6"/>
  <c r="H1416" i="6"/>
  <c r="H1415" i="6"/>
  <c r="H1414" i="6"/>
  <c r="H1411" i="6"/>
  <c r="H1410" i="6"/>
  <c r="H1409" i="6"/>
  <c r="H1408" i="6"/>
  <c r="H1405" i="6"/>
  <c r="H1404" i="6"/>
  <c r="H1403" i="6"/>
  <c r="H1402" i="6"/>
  <c r="H1399" i="6"/>
  <c r="H1398" i="6"/>
  <c r="H1397" i="6"/>
  <c r="H1396" i="6"/>
  <c r="H1393" i="6"/>
  <c r="H1392" i="6"/>
  <c r="H1391" i="6"/>
  <c r="H1390" i="6"/>
  <c r="H1406" i="6" l="1"/>
  <c r="I1406" i="6" s="1"/>
  <c r="M1405" i="6" s="1"/>
  <c r="H1412" i="6"/>
  <c r="I1412" i="6" s="1"/>
  <c r="H1418" i="6"/>
  <c r="I1418" i="6" s="1"/>
  <c r="O1417" i="6" s="1"/>
  <c r="H1430" i="6"/>
  <c r="I1430" i="6" s="1"/>
  <c r="B54" i="3"/>
  <c r="B46" i="3"/>
  <c r="B47" i="3" s="1"/>
  <c r="B48" i="3" s="1"/>
  <c r="B49" i="3" s="1"/>
  <c r="B50" i="3" s="1"/>
  <c r="B51" i="3" s="1"/>
  <c r="H1436" i="6"/>
  <c r="I1436" i="6" s="1"/>
  <c r="K1435" i="6" s="1"/>
  <c r="H1424" i="6"/>
  <c r="I1424" i="6" s="1"/>
  <c r="H1400" i="6"/>
  <c r="I1400" i="6" s="1"/>
  <c r="H1454" i="6"/>
  <c r="I1454" i="6" s="1"/>
  <c r="H1466" i="6"/>
  <c r="I1466" i="6" s="1"/>
  <c r="O1465" i="6" s="1"/>
  <c r="H1442" i="6"/>
  <c r="I1442" i="6" s="1"/>
  <c r="K1441" i="6" s="1"/>
  <c r="H1448" i="6"/>
  <c r="I1448" i="6" s="1"/>
  <c r="L1447" i="6" s="1"/>
  <c r="H1460" i="6"/>
  <c r="I1460" i="6" s="1"/>
  <c r="H1394" i="6"/>
  <c r="I1394" i="6" s="1"/>
  <c r="O1393" i="6" s="1"/>
  <c r="M1411" i="6"/>
  <c r="L1411" i="6"/>
  <c r="O1411" i="6"/>
  <c r="K1411" i="6"/>
  <c r="N1411" i="6"/>
  <c r="M1417" i="6"/>
  <c r="N1417" i="6"/>
  <c r="L1417" i="6"/>
  <c r="AX215" i="3"/>
  <c r="AW215" i="3"/>
  <c r="AX182" i="3"/>
  <c r="AX194" i="3" s="1"/>
  <c r="AW182" i="3"/>
  <c r="AW194" i="3" s="1"/>
  <c r="AX204" i="3"/>
  <c r="AW204" i="3"/>
  <c r="AU288" i="2"/>
  <c r="CA59" i="9" s="1"/>
  <c r="AT288" i="2"/>
  <c r="BZ59" i="9" s="1"/>
  <c r="AS288" i="2"/>
  <c r="BY59" i="9" s="1"/>
  <c r="AR288" i="2"/>
  <c r="BX59" i="9" s="1"/>
  <c r="AQ288" i="2"/>
  <c r="AP288" i="2"/>
  <c r="AO288" i="2"/>
  <c r="BW59" i="9" s="1"/>
  <c r="AN288" i="2"/>
  <c r="BV59" i="9" s="1"/>
  <c r="AM288" i="2"/>
  <c r="BU59" i="9" s="1"/>
  <c r="AL288" i="2"/>
  <c r="BT59" i="9" s="1"/>
  <c r="AK288" i="2"/>
  <c r="BS59" i="9" s="1"/>
  <c r="AJ288" i="2"/>
  <c r="BR59" i="9" s="1"/>
  <c r="AI288" i="2"/>
  <c r="BQ59" i="9" s="1"/>
  <c r="AH288" i="2"/>
  <c r="BP59" i="9" s="1"/>
  <c r="AG288" i="2"/>
  <c r="BO59" i="9" s="1"/>
  <c r="AF288" i="2"/>
  <c r="BN59" i="9" s="1"/>
  <c r="AE288" i="2"/>
  <c r="BM59" i="9" s="1"/>
  <c r="AD288" i="2"/>
  <c r="BL59" i="9" s="1"/>
  <c r="AC288" i="2"/>
  <c r="BK59" i="9" s="1"/>
  <c r="AB288" i="2"/>
  <c r="BJ59" i="9" s="1"/>
  <c r="AA288" i="2"/>
  <c r="BI59" i="9" s="1"/>
  <c r="Z288" i="2"/>
  <c r="BH59" i="9" s="1"/>
  <c r="Y288" i="2"/>
  <c r="BG59" i="9" s="1"/>
  <c r="X288" i="2"/>
  <c r="BF59" i="9" s="1"/>
  <c r="W288" i="2"/>
  <c r="BE59" i="9" s="1"/>
  <c r="V288" i="2"/>
  <c r="BD59" i="9" s="1"/>
  <c r="U288" i="2"/>
  <c r="BC59" i="9" s="1"/>
  <c r="T288" i="2"/>
  <c r="BB59" i="9" s="1"/>
  <c r="S288" i="2"/>
  <c r="BA59" i="9" s="1"/>
  <c r="R288" i="2"/>
  <c r="Q288" i="2"/>
  <c r="P288" i="2"/>
  <c r="O288" i="2"/>
  <c r="N288" i="2"/>
  <c r="M288" i="2"/>
  <c r="L288" i="2"/>
  <c r="K288" i="2"/>
  <c r="G288" i="2"/>
  <c r="D59" i="9" s="1"/>
  <c r="F288" i="2"/>
  <c r="C59" i="9" s="1"/>
  <c r="E288" i="2"/>
  <c r="B59" i="9" s="1"/>
  <c r="B30" i="9" s="1"/>
  <c r="AU257" i="2"/>
  <c r="AT257" i="2"/>
  <c r="AS257" i="2"/>
  <c r="AR257" i="2"/>
  <c r="AQ257" i="2"/>
  <c r="AP257" i="2"/>
  <c r="AO257" i="2"/>
  <c r="AN257" i="2"/>
  <c r="AM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G257" i="2"/>
  <c r="F257" i="2"/>
  <c r="E257" i="2"/>
  <c r="AU223" i="2"/>
  <c r="AT223" i="2"/>
  <c r="AS223" i="2"/>
  <c r="AR223" i="2"/>
  <c r="AQ223" i="2"/>
  <c r="AP223" i="2"/>
  <c r="AO223" i="2"/>
  <c r="AN223" i="2"/>
  <c r="AM223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G223" i="2"/>
  <c r="F223" i="2"/>
  <c r="E223" i="2"/>
  <c r="O1429" i="6" l="1"/>
  <c r="H314" i="2"/>
  <c r="L1465" i="6"/>
  <c r="H320" i="2"/>
  <c r="N1393" i="6"/>
  <c r="N1399" i="6"/>
  <c r="H309" i="2"/>
  <c r="O1405" i="6"/>
  <c r="H310" i="2"/>
  <c r="L1405" i="6"/>
  <c r="N1405" i="6"/>
  <c r="K1405" i="6"/>
  <c r="K1393" i="6"/>
  <c r="K1417" i="6"/>
  <c r="N1435" i="6"/>
  <c r="N1465" i="6"/>
  <c r="L1429" i="6"/>
  <c r="K1465" i="6"/>
  <c r="M1441" i="6"/>
  <c r="N1429" i="6"/>
  <c r="M1429" i="6"/>
  <c r="K1429" i="6"/>
  <c r="B63" i="3"/>
  <c r="B55" i="3"/>
  <c r="B56" i="3" s="1"/>
  <c r="B57" i="3" s="1"/>
  <c r="B58" i="3" s="1"/>
  <c r="B59" i="3" s="1"/>
  <c r="B60" i="3" s="1"/>
  <c r="CC59" i="9"/>
  <c r="CE59" i="9" s="1"/>
  <c r="M1393" i="6"/>
  <c r="M1465" i="6"/>
  <c r="O1441" i="6"/>
  <c r="N1447" i="6"/>
  <c r="M1423" i="6"/>
  <c r="M1399" i="6"/>
  <c r="L1393" i="6"/>
  <c r="L1441" i="6"/>
  <c r="K1459" i="6"/>
  <c r="K1453" i="6"/>
  <c r="O1399" i="6"/>
  <c r="M1447" i="6"/>
  <c r="O1435" i="6"/>
  <c r="O1459" i="6"/>
  <c r="L1459" i="6"/>
  <c r="M1459" i="6"/>
  <c r="N1459" i="6"/>
  <c r="O1453" i="6"/>
  <c r="M1453" i="6"/>
  <c r="N1453" i="6"/>
  <c r="L1453" i="6"/>
  <c r="L1435" i="6"/>
  <c r="M1435" i="6"/>
  <c r="O1423" i="6"/>
  <c r="L1423" i="6"/>
  <c r="K1423" i="6"/>
  <c r="N1423" i="6"/>
  <c r="K1399" i="6"/>
  <c r="L1399" i="6"/>
  <c r="K1447" i="6"/>
  <c r="O1447" i="6"/>
  <c r="N1441" i="6"/>
  <c r="B64" i="3" l="1"/>
  <c r="B65" i="3" s="1"/>
  <c r="B66" i="3" s="1"/>
  <c r="B67" i="3" s="1"/>
  <c r="B68" i="3" s="1"/>
  <c r="B69" i="3" s="1"/>
  <c r="B72" i="3"/>
  <c r="CD59" i="9"/>
  <c r="CA58" i="9"/>
  <c r="BZ58" i="9"/>
  <c r="BY58" i="9"/>
  <c r="BX58" i="9"/>
  <c r="BW58" i="9"/>
  <c r="BV58" i="9"/>
  <c r="BU58" i="9"/>
  <c r="BT58" i="9"/>
  <c r="BS58" i="9"/>
  <c r="BR58" i="9"/>
  <c r="BQ58" i="9"/>
  <c r="BP58" i="9"/>
  <c r="BO58" i="9"/>
  <c r="BN58" i="9"/>
  <c r="BM58" i="9"/>
  <c r="BL58" i="9"/>
  <c r="BK58" i="9"/>
  <c r="BJ58" i="9"/>
  <c r="BI58" i="9"/>
  <c r="BH58" i="9"/>
  <c r="BG58" i="9"/>
  <c r="BF58" i="9"/>
  <c r="BE58" i="9"/>
  <c r="BD58" i="9"/>
  <c r="BC58" i="9"/>
  <c r="BB58" i="9"/>
  <c r="BA58" i="9"/>
  <c r="D58" i="9"/>
  <c r="C58" i="9"/>
  <c r="B58" i="9"/>
  <c r="B29" i="9" s="1"/>
  <c r="B81" i="3" l="1"/>
  <c r="B73" i="3"/>
  <c r="B74" i="3" s="1"/>
  <c r="B75" i="3" s="1"/>
  <c r="B76" i="3" s="1"/>
  <c r="B77" i="3" s="1"/>
  <c r="B78" i="3" s="1"/>
  <c r="CC58" i="9"/>
  <c r="CE58" i="9" s="1"/>
  <c r="B90" i="3" l="1"/>
  <c r="B82" i="3"/>
  <c r="B83" i="3" s="1"/>
  <c r="B84" i="3" s="1"/>
  <c r="B85" i="3" s="1"/>
  <c r="B86" i="3" s="1"/>
  <c r="B87" i="3" s="1"/>
  <c r="CD58" i="9"/>
  <c r="G1006" i="6"/>
  <c r="B99" i="3" l="1"/>
  <c r="B91" i="3"/>
  <c r="B92" i="3" s="1"/>
  <c r="B93" i="3" s="1"/>
  <c r="B94" i="3" s="1"/>
  <c r="B95" i="3" s="1"/>
  <c r="B96" i="3" s="1"/>
  <c r="H1387" i="6"/>
  <c r="H1386" i="6"/>
  <c r="H1385" i="6"/>
  <c r="H1384" i="6"/>
  <c r="H1381" i="6"/>
  <c r="H1380" i="6"/>
  <c r="H1379" i="6"/>
  <c r="H1378" i="6"/>
  <c r="H1375" i="6"/>
  <c r="H1374" i="6"/>
  <c r="H1373" i="6"/>
  <c r="H1372" i="6"/>
  <c r="H1369" i="6"/>
  <c r="H1368" i="6"/>
  <c r="H1367" i="6"/>
  <c r="H1366" i="6"/>
  <c r="H1363" i="6"/>
  <c r="H1362" i="6"/>
  <c r="H1361" i="6"/>
  <c r="H1360" i="6"/>
  <c r="H1357" i="6"/>
  <c r="H1356" i="6"/>
  <c r="H1355" i="6"/>
  <c r="H1354" i="6"/>
  <c r="H1351" i="6"/>
  <c r="H1350" i="6"/>
  <c r="H1349" i="6"/>
  <c r="H1348" i="6"/>
  <c r="H1345" i="6"/>
  <c r="H1344" i="6"/>
  <c r="H1343" i="6"/>
  <c r="H1342" i="6"/>
  <c r="H1339" i="6"/>
  <c r="H1338" i="6"/>
  <c r="H1337" i="6"/>
  <c r="H1336" i="6"/>
  <c r="H1333" i="6"/>
  <c r="H1332" i="6"/>
  <c r="H1331" i="6"/>
  <c r="H1330" i="6"/>
  <c r="H1327" i="6"/>
  <c r="H1326" i="6"/>
  <c r="H1325" i="6"/>
  <c r="H1324" i="6"/>
  <c r="H1321" i="6"/>
  <c r="H1320" i="6"/>
  <c r="H1319" i="6"/>
  <c r="H1318" i="6"/>
  <c r="H1315" i="6"/>
  <c r="H1314" i="6"/>
  <c r="H1313" i="6"/>
  <c r="H1312" i="6"/>
  <c r="H1308" i="6"/>
  <c r="H1307" i="6"/>
  <c r="H1306" i="6"/>
  <c r="H1303" i="6"/>
  <c r="H1302" i="6"/>
  <c r="H1301" i="6"/>
  <c r="H1300" i="6"/>
  <c r="H1296" i="6"/>
  <c r="H1295" i="6"/>
  <c r="H1294" i="6"/>
  <c r="H1290" i="6"/>
  <c r="H1289" i="6"/>
  <c r="H1288" i="6"/>
  <c r="H1285" i="6"/>
  <c r="H1284" i="6"/>
  <c r="H1283" i="6"/>
  <c r="H1282" i="6"/>
  <c r="H1279" i="6"/>
  <c r="H1278" i="6"/>
  <c r="H1277" i="6"/>
  <c r="H1276" i="6"/>
  <c r="H1273" i="6"/>
  <c r="H1272" i="6"/>
  <c r="H1271" i="6"/>
  <c r="H1270" i="6"/>
  <c r="H1267" i="6"/>
  <c r="H1266" i="6"/>
  <c r="H1265" i="6"/>
  <c r="H1264" i="6"/>
  <c r="H1261" i="6"/>
  <c r="H1260" i="6"/>
  <c r="H1259" i="6"/>
  <c r="H1258" i="6"/>
  <c r="H1255" i="6"/>
  <c r="H1254" i="6"/>
  <c r="H1253" i="6"/>
  <c r="H1252" i="6"/>
  <c r="H1249" i="6"/>
  <c r="H1248" i="6"/>
  <c r="H1247" i="6"/>
  <c r="H1246" i="6"/>
  <c r="H1243" i="6"/>
  <c r="H1242" i="6"/>
  <c r="H1241" i="6"/>
  <c r="H1240" i="6"/>
  <c r="H1237" i="6"/>
  <c r="H1236" i="6"/>
  <c r="H1235" i="6"/>
  <c r="H1234" i="6"/>
  <c r="H1231" i="6"/>
  <c r="H1230" i="6"/>
  <c r="H1229" i="6"/>
  <c r="H1228" i="6"/>
  <c r="H1225" i="6"/>
  <c r="H1224" i="6"/>
  <c r="H1223" i="6"/>
  <c r="H1222" i="6"/>
  <c r="H1219" i="6"/>
  <c r="H1218" i="6"/>
  <c r="H1217" i="6"/>
  <c r="H1216" i="6"/>
  <c r="H1213" i="6"/>
  <c r="H1212" i="6"/>
  <c r="H1211" i="6"/>
  <c r="H1210" i="6"/>
  <c r="H1207" i="6"/>
  <c r="H1206" i="6"/>
  <c r="H1205" i="6"/>
  <c r="H1204" i="6"/>
  <c r="H1201" i="6"/>
  <c r="H1200" i="6"/>
  <c r="H1199" i="6"/>
  <c r="H1198" i="6"/>
  <c r="H1195" i="6"/>
  <c r="H1194" i="6"/>
  <c r="H1193" i="6"/>
  <c r="H1192" i="6"/>
  <c r="H1189" i="6"/>
  <c r="H1188" i="6"/>
  <c r="H1187" i="6"/>
  <c r="H1186" i="6"/>
  <c r="H1183" i="6"/>
  <c r="H1182" i="6"/>
  <c r="H1181" i="6"/>
  <c r="H1180" i="6"/>
  <c r="H1177" i="6"/>
  <c r="H1176" i="6"/>
  <c r="H1175" i="6"/>
  <c r="H1174" i="6"/>
  <c r="H1171" i="6"/>
  <c r="H1170" i="6"/>
  <c r="H1169" i="6"/>
  <c r="H1168" i="6"/>
  <c r="H1165" i="6"/>
  <c r="H1164" i="6"/>
  <c r="H1163" i="6"/>
  <c r="H1162" i="6"/>
  <c r="H1159" i="6"/>
  <c r="H1158" i="6"/>
  <c r="H1157" i="6"/>
  <c r="H1156" i="6"/>
  <c r="H1153" i="6"/>
  <c r="H1152" i="6"/>
  <c r="H1151" i="6"/>
  <c r="H1150" i="6"/>
  <c r="H1147" i="6"/>
  <c r="H1146" i="6"/>
  <c r="H1145" i="6"/>
  <c r="H1144" i="6"/>
  <c r="H1141" i="6"/>
  <c r="H1140" i="6"/>
  <c r="H1139" i="6"/>
  <c r="H1138" i="6"/>
  <c r="H1135" i="6"/>
  <c r="H1134" i="6"/>
  <c r="H1133" i="6"/>
  <c r="H1132" i="6"/>
  <c r="H1129" i="6"/>
  <c r="H1128" i="6"/>
  <c r="H1127" i="6"/>
  <c r="H1126" i="6"/>
  <c r="H1123" i="6"/>
  <c r="H1122" i="6"/>
  <c r="H1121" i="6"/>
  <c r="H1120" i="6"/>
  <c r="H1117" i="6"/>
  <c r="H1116" i="6"/>
  <c r="H1115" i="6"/>
  <c r="H1114" i="6"/>
  <c r="H1111" i="6"/>
  <c r="H1110" i="6"/>
  <c r="H1109" i="6"/>
  <c r="H1108" i="6"/>
  <c r="H1105" i="6"/>
  <c r="H1104" i="6"/>
  <c r="H1103" i="6"/>
  <c r="H1102" i="6"/>
  <c r="H1099" i="6"/>
  <c r="H1098" i="6"/>
  <c r="H1097" i="6"/>
  <c r="H1096" i="6"/>
  <c r="H1093" i="6"/>
  <c r="H1092" i="6"/>
  <c r="H1091" i="6"/>
  <c r="H1090" i="6"/>
  <c r="H1087" i="6"/>
  <c r="H1086" i="6"/>
  <c r="H1085" i="6"/>
  <c r="H1084" i="6"/>
  <c r="H1081" i="6"/>
  <c r="H1080" i="6"/>
  <c r="H1079" i="6"/>
  <c r="H1078" i="6"/>
  <c r="H1075" i="6"/>
  <c r="H1074" i="6"/>
  <c r="H1073" i="6"/>
  <c r="H1072" i="6"/>
  <c r="H1069" i="6"/>
  <c r="H1068" i="6"/>
  <c r="H1067" i="6"/>
  <c r="H1066" i="6"/>
  <c r="H1063" i="6"/>
  <c r="H1062" i="6"/>
  <c r="H1061" i="6"/>
  <c r="H1060" i="6"/>
  <c r="H1057" i="6"/>
  <c r="H1056" i="6"/>
  <c r="H1055" i="6"/>
  <c r="H1054" i="6"/>
  <c r="H1050" i="6"/>
  <c r="H1049" i="6"/>
  <c r="H1048" i="6"/>
  <c r="H1044" i="6"/>
  <c r="H1043" i="6"/>
  <c r="H1042" i="6"/>
  <c r="H1039" i="6"/>
  <c r="H1038" i="6"/>
  <c r="H1037" i="6"/>
  <c r="H1036" i="6"/>
  <c r="H1033" i="6"/>
  <c r="H1032" i="6"/>
  <c r="H1031" i="6"/>
  <c r="H1030" i="6"/>
  <c r="H1027" i="6"/>
  <c r="H1026" i="6"/>
  <c r="H1025" i="6"/>
  <c r="H1024" i="6"/>
  <c r="H1021" i="6"/>
  <c r="H1020" i="6"/>
  <c r="H1019" i="6"/>
  <c r="H1018" i="6"/>
  <c r="H1014" i="6"/>
  <c r="H1013" i="6"/>
  <c r="H1012" i="6"/>
  <c r="H1009" i="6"/>
  <c r="H1008" i="6"/>
  <c r="H1007" i="6"/>
  <c r="H1006" i="6"/>
  <c r="H1003" i="6"/>
  <c r="H1002" i="6"/>
  <c r="H1001" i="6"/>
  <c r="H1000" i="6"/>
  <c r="H997" i="6"/>
  <c r="H996" i="6"/>
  <c r="H995" i="6"/>
  <c r="H994" i="6"/>
  <c r="H991" i="6"/>
  <c r="H990" i="6"/>
  <c r="H989" i="6"/>
  <c r="H988" i="6"/>
  <c r="H985" i="6"/>
  <c r="H984" i="6"/>
  <c r="H983" i="6"/>
  <c r="H982" i="6"/>
  <c r="H979" i="6"/>
  <c r="H978" i="6"/>
  <c r="H977" i="6"/>
  <c r="H976" i="6"/>
  <c r="H998" i="6" l="1"/>
  <c r="I998" i="6" s="1"/>
  <c r="H1052" i="6"/>
  <c r="I1052" i="6" s="1"/>
  <c r="H1058" i="6"/>
  <c r="I1058" i="6" s="1"/>
  <c r="O1057" i="6" s="1"/>
  <c r="B100" i="3"/>
  <c r="B101" i="3" s="1"/>
  <c r="B102" i="3" s="1"/>
  <c r="B103" i="3" s="1"/>
  <c r="B104" i="3" s="1"/>
  <c r="B105" i="3" s="1"/>
  <c r="B108" i="3"/>
  <c r="H986" i="6"/>
  <c r="I986" i="6" s="1"/>
  <c r="L985" i="6" s="1"/>
  <c r="H1034" i="6"/>
  <c r="I1034" i="6" s="1"/>
  <c r="O1033" i="6" s="1"/>
  <c r="H1292" i="6"/>
  <c r="I1292" i="6" s="1"/>
  <c r="H1298" i="6"/>
  <c r="I1298" i="6" s="1"/>
  <c r="H1304" i="6"/>
  <c r="I1304" i="6" s="1"/>
  <c r="O1303" i="6" s="1"/>
  <c r="H1310" i="6"/>
  <c r="I1310" i="6" s="1"/>
  <c r="L1309" i="6" s="1"/>
  <c r="H1322" i="6"/>
  <c r="I1322" i="6" s="1"/>
  <c r="O1321" i="6" s="1"/>
  <c r="H1328" i="6"/>
  <c r="I1328" i="6" s="1"/>
  <c r="H1340" i="6"/>
  <c r="I1340" i="6" s="1"/>
  <c r="O1339" i="6" s="1"/>
  <c r="H1346" i="6"/>
  <c r="I1346" i="6" s="1"/>
  <c r="O1345" i="6" s="1"/>
  <c r="H1358" i="6"/>
  <c r="I1358" i="6" s="1"/>
  <c r="L1357" i="6" s="1"/>
  <c r="H1364" i="6"/>
  <c r="I1364" i="6" s="1"/>
  <c r="N1363" i="6" s="1"/>
  <c r="H1370" i="6"/>
  <c r="I1370" i="6" s="1"/>
  <c r="H1376" i="6"/>
  <c r="I1376" i="6" s="1"/>
  <c r="L1375" i="6" s="1"/>
  <c r="H980" i="6"/>
  <c r="I980" i="6" s="1"/>
  <c r="K979" i="6" s="1"/>
  <c r="H992" i="6"/>
  <c r="I992" i="6" s="1"/>
  <c r="O991" i="6" s="1"/>
  <c r="H1046" i="6"/>
  <c r="I1046" i="6" s="1"/>
  <c r="L1045" i="6" s="1"/>
  <c r="H1388" i="6"/>
  <c r="I1388" i="6" s="1"/>
  <c r="O1387" i="6" s="1"/>
  <c r="H1382" i="6"/>
  <c r="I1382" i="6" s="1"/>
  <c r="H1352" i="6"/>
  <c r="I1352" i="6" s="1"/>
  <c r="H1334" i="6"/>
  <c r="I1334" i="6" s="1"/>
  <c r="H1316" i="6"/>
  <c r="I1316" i="6" s="1"/>
  <c r="H1004" i="6"/>
  <c r="I1004" i="6" s="1"/>
  <c r="H1070" i="6"/>
  <c r="I1070" i="6" s="1"/>
  <c r="L1069" i="6" s="1"/>
  <c r="H1076" i="6"/>
  <c r="I1076" i="6" s="1"/>
  <c r="O1075" i="6" s="1"/>
  <c r="H1082" i="6"/>
  <c r="I1082" i="6" s="1"/>
  <c r="M1081" i="6" s="1"/>
  <c r="H1106" i="6"/>
  <c r="I1106" i="6" s="1"/>
  <c r="N1105" i="6" s="1"/>
  <c r="H1124" i="6"/>
  <c r="I1124" i="6" s="1"/>
  <c r="L1123" i="6" s="1"/>
  <c r="H1130" i="6"/>
  <c r="I1130" i="6" s="1"/>
  <c r="H1136" i="6"/>
  <c r="I1136" i="6" s="1"/>
  <c r="H1154" i="6"/>
  <c r="I1154" i="6" s="1"/>
  <c r="O1153" i="6" s="1"/>
  <c r="H1160" i="6"/>
  <c r="I1160" i="6" s="1"/>
  <c r="L1159" i="6" s="1"/>
  <c r="H1166" i="6"/>
  <c r="I1166" i="6" s="1"/>
  <c r="K1165" i="6" s="1"/>
  <c r="H1022" i="6"/>
  <c r="I1022" i="6" s="1"/>
  <c r="O1021" i="6" s="1"/>
  <c r="H1028" i="6"/>
  <c r="I1028" i="6" s="1"/>
  <c r="K1027" i="6" s="1"/>
  <c r="H1196" i="6"/>
  <c r="I1196" i="6" s="1"/>
  <c r="H1220" i="6"/>
  <c r="I1220" i="6" s="1"/>
  <c r="H1226" i="6"/>
  <c r="I1226" i="6" s="1"/>
  <c r="K1225" i="6" s="1"/>
  <c r="H1232" i="6"/>
  <c r="I1232" i="6" s="1"/>
  <c r="O1231" i="6" s="1"/>
  <c r="H1244" i="6"/>
  <c r="I1244" i="6" s="1"/>
  <c r="O1243" i="6" s="1"/>
  <c r="H1250" i="6"/>
  <c r="I1250" i="6" s="1"/>
  <c r="M1249" i="6" s="1"/>
  <c r="H1256" i="6"/>
  <c r="I1256" i="6" s="1"/>
  <c r="N1255" i="6" s="1"/>
  <c r="H1274" i="6"/>
  <c r="I1274" i="6" s="1"/>
  <c r="M1273" i="6" s="1"/>
  <c r="H1286" i="6"/>
  <c r="I1286" i="6" s="1"/>
  <c r="H1280" i="6"/>
  <c r="I1280" i="6" s="1"/>
  <c r="H1268" i="6"/>
  <c r="I1268" i="6" s="1"/>
  <c r="H284" i="2" s="1"/>
  <c r="H1262" i="6"/>
  <c r="I1262" i="6" s="1"/>
  <c r="H1238" i="6"/>
  <c r="I1238" i="6" s="1"/>
  <c r="K1237" i="6" s="1"/>
  <c r="H1214" i="6"/>
  <c r="I1214" i="6" s="1"/>
  <c r="O1213" i="6" s="1"/>
  <c r="H1208" i="6"/>
  <c r="I1208" i="6" s="1"/>
  <c r="H1202" i="6"/>
  <c r="I1202" i="6" s="1"/>
  <c r="H1190" i="6"/>
  <c r="I1190" i="6" s="1"/>
  <c r="O1189" i="6" s="1"/>
  <c r="H1184" i="6"/>
  <c r="I1184" i="6" s="1"/>
  <c r="H270" i="2" s="1"/>
  <c r="H1178" i="6"/>
  <c r="I1178" i="6" s="1"/>
  <c r="N1177" i="6" s="1"/>
  <c r="H1172" i="6"/>
  <c r="I1172" i="6" s="1"/>
  <c r="H1148" i="6"/>
  <c r="I1148" i="6" s="1"/>
  <c r="H1142" i="6"/>
  <c r="I1142" i="6" s="1"/>
  <c r="H1118" i="6"/>
  <c r="I1118" i="6" s="1"/>
  <c r="L1117" i="6" s="1"/>
  <c r="H1112" i="6"/>
  <c r="I1112" i="6" s="1"/>
  <c r="H1100" i="6"/>
  <c r="I1100" i="6" s="1"/>
  <c r="H1094" i="6"/>
  <c r="I1094" i="6" s="1"/>
  <c r="H1088" i="6"/>
  <c r="I1088" i="6" s="1"/>
  <c r="H1064" i="6"/>
  <c r="I1064" i="6" s="1"/>
  <c r="L1063" i="6" s="1"/>
  <c r="H1040" i="6"/>
  <c r="I1040" i="6" s="1"/>
  <c r="H1016" i="6"/>
  <c r="I1016" i="6" s="1"/>
  <c r="H1010" i="6"/>
  <c r="I1010" i="6" s="1"/>
  <c r="L1303" i="6"/>
  <c r="L1327" i="6"/>
  <c r="L1333" i="6"/>
  <c r="M1351" i="6"/>
  <c r="L1369" i="6"/>
  <c r="M1369" i="6"/>
  <c r="O1369" i="6"/>
  <c r="K1369" i="6"/>
  <c r="N1369" i="6"/>
  <c r="N1081" i="6"/>
  <c r="O1081" i="6"/>
  <c r="L1057" i="6"/>
  <c r="N1057" i="6"/>
  <c r="N1033" i="6"/>
  <c r="M1033" i="6"/>
  <c r="L997" i="6"/>
  <c r="O997" i="6"/>
  <c r="K997" i="6"/>
  <c r="N997" i="6"/>
  <c r="M997" i="6"/>
  <c r="N178" i="3"/>
  <c r="CJ178" i="3" s="1"/>
  <c r="M178" i="3"/>
  <c r="M1057" i="6" l="1"/>
  <c r="K1363" i="6"/>
  <c r="H239" i="2"/>
  <c r="O1015" i="6"/>
  <c r="K1255" i="6"/>
  <c r="L1255" i="6"/>
  <c r="O1225" i="6"/>
  <c r="M1303" i="6"/>
  <c r="K1021" i="6"/>
  <c r="N1375" i="6"/>
  <c r="N1303" i="6"/>
  <c r="L1021" i="6"/>
  <c r="K1375" i="6"/>
  <c r="K1303" i="6"/>
  <c r="N985" i="6"/>
  <c r="M1243" i="6"/>
  <c r="O1165" i="6"/>
  <c r="L1075" i="6"/>
  <c r="N1339" i="6"/>
  <c r="L1201" i="6"/>
  <c r="H273" i="2"/>
  <c r="K1291" i="6"/>
  <c r="H291" i="2"/>
  <c r="M985" i="6"/>
  <c r="L1165" i="6"/>
  <c r="L1339" i="6"/>
  <c r="L1345" i="6"/>
  <c r="H300" i="2"/>
  <c r="K985" i="6"/>
  <c r="N1249" i="6"/>
  <c r="M1327" i="6"/>
  <c r="H297" i="2"/>
  <c r="O985" i="6"/>
  <c r="M1075" i="6"/>
  <c r="L1171" i="6"/>
  <c r="H268" i="2"/>
  <c r="N1075" i="6"/>
  <c r="M1339" i="6"/>
  <c r="L1087" i="6"/>
  <c r="H251" i="2"/>
  <c r="K1135" i="6"/>
  <c r="H262" i="2"/>
  <c r="K1309" i="6"/>
  <c r="H294" i="2"/>
  <c r="M1045" i="6"/>
  <c r="H244" i="2"/>
  <c r="K1249" i="6"/>
  <c r="M1165" i="6"/>
  <c r="O1249" i="6"/>
  <c r="N1045" i="6"/>
  <c r="N1165" i="6"/>
  <c r="K1075" i="6"/>
  <c r="L1249" i="6"/>
  <c r="K1339" i="6"/>
  <c r="L1219" i="6"/>
  <c r="H276" i="2"/>
  <c r="L1129" i="6"/>
  <c r="H261" i="2"/>
  <c r="O1051" i="6"/>
  <c r="H245" i="2"/>
  <c r="K1045" i="6"/>
  <c r="M1099" i="6"/>
  <c r="H253" i="2"/>
  <c r="K1195" i="6"/>
  <c r="H272" i="2"/>
  <c r="N1297" i="6"/>
  <c r="H292" i="2"/>
  <c r="K1345" i="6"/>
  <c r="N1327" i="6"/>
  <c r="M1309" i="6"/>
  <c r="O1309" i="6"/>
  <c r="K1297" i="6"/>
  <c r="L1297" i="6"/>
  <c r="L1291" i="6"/>
  <c r="O1219" i="6"/>
  <c r="N1219" i="6"/>
  <c r="K1219" i="6"/>
  <c r="O1135" i="6"/>
  <c r="K1129" i="6"/>
  <c r="N1129" i="6"/>
  <c r="O1129" i="6"/>
  <c r="M1129" i="6"/>
  <c r="M1051" i="6"/>
  <c r="L1051" i="6"/>
  <c r="K1051" i="6"/>
  <c r="N1051" i="6"/>
  <c r="O1045" i="6"/>
  <c r="K991" i="6"/>
  <c r="M1321" i="6"/>
  <c r="K1033" i="6"/>
  <c r="K1057" i="6"/>
  <c r="O1375" i="6"/>
  <c r="M1345" i="6"/>
  <c r="N1309" i="6"/>
  <c r="M1021" i="6"/>
  <c r="L1033" i="6"/>
  <c r="N1135" i="6"/>
  <c r="M1255" i="6"/>
  <c r="N1225" i="6"/>
  <c r="M1375" i="6"/>
  <c r="N1345" i="6"/>
  <c r="O1105" i="6"/>
  <c r="K1357" i="6"/>
  <c r="N979" i="6"/>
  <c r="O979" i="6"/>
  <c r="N1153" i="6"/>
  <c r="M1105" i="6"/>
  <c r="O1357" i="6"/>
  <c r="N1321" i="6"/>
  <c r="M1027" i="6"/>
  <c r="L979" i="6"/>
  <c r="K1003" i="6"/>
  <c r="N1027" i="6"/>
  <c r="K1153" i="6"/>
  <c r="N1231" i="6"/>
  <c r="L1321" i="6"/>
  <c r="M1291" i="6"/>
  <c r="M979" i="6"/>
  <c r="O1003" i="6"/>
  <c r="L1027" i="6"/>
  <c r="M1171" i="6"/>
  <c r="L1153" i="6"/>
  <c r="N1357" i="6"/>
  <c r="O1291" i="6"/>
  <c r="B109" i="3"/>
  <c r="B110" i="3" s="1"/>
  <c r="B111" i="3" s="1"/>
  <c r="B112" i="3" s="1"/>
  <c r="B113" i="3" s="1"/>
  <c r="B114" i="3" s="1"/>
  <c r="B117" i="3"/>
  <c r="L991" i="6"/>
  <c r="O1363" i="6"/>
  <c r="K1327" i="6"/>
  <c r="O1297" i="6"/>
  <c r="N991" i="6"/>
  <c r="K1273" i="6"/>
  <c r="K1231" i="6"/>
  <c r="M1219" i="6"/>
  <c r="M1363" i="6"/>
  <c r="L1363" i="6"/>
  <c r="M1357" i="6"/>
  <c r="O1327" i="6"/>
  <c r="K1321" i="6"/>
  <c r="M1297" i="6"/>
  <c r="N1291" i="6"/>
  <c r="M991" i="6"/>
  <c r="N1123" i="6"/>
  <c r="M1189" i="6"/>
  <c r="O1273" i="6"/>
  <c r="L1231" i="6"/>
  <c r="O1351" i="6"/>
  <c r="O1069" i="6"/>
  <c r="K1381" i="6"/>
  <c r="M1003" i="6"/>
  <c r="N1003" i="6"/>
  <c r="O1027" i="6"/>
  <c r="M1063" i="6"/>
  <c r="O1171" i="6"/>
  <c r="O1159" i="6"/>
  <c r="M1153" i="6"/>
  <c r="K1105" i="6"/>
  <c r="L1105" i="6"/>
  <c r="N1273" i="6"/>
  <c r="L1273" i="6"/>
  <c r="O1237" i="6"/>
  <c r="M1231" i="6"/>
  <c r="O1195" i="6"/>
  <c r="M1333" i="6"/>
  <c r="O1123" i="6"/>
  <c r="K1243" i="6"/>
  <c r="L1189" i="6"/>
  <c r="L1003" i="6"/>
  <c r="K1171" i="6"/>
  <c r="N1159" i="6"/>
  <c r="N1069" i="6"/>
  <c r="L1243" i="6"/>
  <c r="N1195" i="6"/>
  <c r="N1315" i="6"/>
  <c r="K1387" i="6"/>
  <c r="M1387" i="6"/>
  <c r="L1387" i="6"/>
  <c r="N1387" i="6"/>
  <c r="O1381" i="6"/>
  <c r="M1381" i="6"/>
  <c r="N1381" i="6"/>
  <c r="L1381" i="6"/>
  <c r="L1351" i="6"/>
  <c r="N1351" i="6"/>
  <c r="K1351" i="6"/>
  <c r="N1333" i="6"/>
  <c r="K1333" i="6"/>
  <c r="O1333" i="6"/>
  <c r="L1315" i="6"/>
  <c r="K1315" i="6"/>
  <c r="O1315" i="6"/>
  <c r="M1315" i="6"/>
  <c r="N1117" i="6"/>
  <c r="O1177" i="6"/>
  <c r="K1267" i="6"/>
  <c r="N1021" i="6"/>
  <c r="K1159" i="6"/>
  <c r="M1135" i="6"/>
  <c r="L1135" i="6"/>
  <c r="K1123" i="6"/>
  <c r="K1081" i="6"/>
  <c r="L1081" i="6"/>
  <c r="M1069" i="6"/>
  <c r="L1267" i="6"/>
  <c r="O1255" i="6"/>
  <c r="N1243" i="6"/>
  <c r="M1225" i="6"/>
  <c r="L1225" i="6"/>
  <c r="M1195" i="6"/>
  <c r="L1195" i="6"/>
  <c r="M1177" i="6"/>
  <c r="L1141" i="6"/>
  <c r="L1213" i="6"/>
  <c r="K1279" i="6"/>
  <c r="O1039" i="6"/>
  <c r="K1099" i="6"/>
  <c r="N1237" i="6"/>
  <c r="K1285" i="6"/>
  <c r="M1159" i="6"/>
  <c r="M1123" i="6"/>
  <c r="L1099" i="6"/>
  <c r="K1069" i="6"/>
  <c r="L1237" i="6"/>
  <c r="N1189" i="6"/>
  <c r="O1063" i="6"/>
  <c r="O1111" i="6"/>
  <c r="N1261" i="6"/>
  <c r="O1285" i="6"/>
  <c r="M1285" i="6"/>
  <c r="L1285" i="6"/>
  <c r="N1285" i="6"/>
  <c r="O1279" i="6"/>
  <c r="M1279" i="6"/>
  <c r="N1279" i="6"/>
  <c r="L1279" i="6"/>
  <c r="M1267" i="6"/>
  <c r="O1267" i="6"/>
  <c r="N1267" i="6"/>
  <c r="K1261" i="6"/>
  <c r="O1261" i="6"/>
  <c r="M1261" i="6"/>
  <c r="L1261" i="6"/>
  <c r="N1201" i="6"/>
  <c r="O1183" i="6"/>
  <c r="M1237" i="6"/>
  <c r="M1213" i="6"/>
  <c r="K1213" i="6"/>
  <c r="N1207" i="6"/>
  <c r="N1213" i="6"/>
  <c r="K1207" i="6"/>
  <c r="O1207" i="6"/>
  <c r="M1207" i="6"/>
  <c r="L1207" i="6"/>
  <c r="K1201" i="6"/>
  <c r="O1201" i="6"/>
  <c r="M1201" i="6"/>
  <c r="K1189" i="6"/>
  <c r="M1183" i="6"/>
  <c r="N1183" i="6"/>
  <c r="K1183" i="6"/>
  <c r="L1183" i="6"/>
  <c r="K1147" i="6"/>
  <c r="M1147" i="6"/>
  <c r="L1177" i="6"/>
  <c r="K1177" i="6"/>
  <c r="N1171" i="6"/>
  <c r="O1147" i="6"/>
  <c r="N1147" i="6"/>
  <c r="L1147" i="6"/>
  <c r="N1141" i="6"/>
  <c r="K1141" i="6"/>
  <c r="O1141" i="6"/>
  <c r="M1141" i="6"/>
  <c r="M1117" i="6"/>
  <c r="K1117" i="6"/>
  <c r="O1117" i="6"/>
  <c r="M1111" i="6"/>
  <c r="N1111" i="6"/>
  <c r="L1111" i="6"/>
  <c r="K1111" i="6"/>
  <c r="N1099" i="6"/>
  <c r="O1099" i="6"/>
  <c r="M1087" i="6"/>
  <c r="L1093" i="6"/>
  <c r="N1093" i="6"/>
  <c r="K1093" i="6"/>
  <c r="O1093" i="6"/>
  <c r="M1093" i="6"/>
  <c r="N1087" i="6"/>
  <c r="K1087" i="6"/>
  <c r="O1087" i="6"/>
  <c r="N1063" i="6"/>
  <c r="K1063" i="6"/>
  <c r="M1039" i="6"/>
  <c r="N1039" i="6"/>
  <c r="K1039" i="6"/>
  <c r="L1039" i="6"/>
  <c r="N1009" i="6"/>
  <c r="M1015" i="6"/>
  <c r="N1015" i="6"/>
  <c r="K1015" i="6"/>
  <c r="L1015" i="6"/>
  <c r="K1009" i="6"/>
  <c r="O1009" i="6"/>
  <c r="M1009" i="6"/>
  <c r="L1009" i="6"/>
  <c r="BE178" i="3"/>
  <c r="BI178" i="3"/>
  <c r="BM178" i="3"/>
  <c r="BQ178" i="3"/>
  <c r="BU178" i="3"/>
  <c r="BY178" i="3"/>
  <c r="CC178" i="3"/>
  <c r="CG178" i="3"/>
  <c r="BB178" i="3"/>
  <c r="BF178" i="3"/>
  <c r="BJ178" i="3"/>
  <c r="BN178" i="3"/>
  <c r="BR178" i="3"/>
  <c r="BV178" i="3"/>
  <c r="BZ178" i="3"/>
  <c r="CD178" i="3"/>
  <c r="CH178" i="3"/>
  <c r="BC178" i="3"/>
  <c r="BG178" i="3"/>
  <c r="BK178" i="3"/>
  <c r="BO178" i="3"/>
  <c r="BS178" i="3"/>
  <c r="BW178" i="3"/>
  <c r="CA178" i="3"/>
  <c r="CE178" i="3"/>
  <c r="CI178" i="3"/>
  <c r="BD178" i="3"/>
  <c r="BH178" i="3"/>
  <c r="BL178" i="3"/>
  <c r="BP178" i="3"/>
  <c r="BT178" i="3"/>
  <c r="BX178" i="3"/>
  <c r="CB178" i="3"/>
  <c r="CF178" i="3"/>
  <c r="FF167" i="3"/>
  <c r="CJ167" i="3" s="1"/>
  <c r="FE167" i="3"/>
  <c r="CI167" i="3" s="1"/>
  <c r="FD167" i="3"/>
  <c r="CH167" i="3" s="1"/>
  <c r="FC167" i="3"/>
  <c r="CG167" i="3" s="1"/>
  <c r="FB167" i="3"/>
  <c r="CF167" i="3" s="1"/>
  <c r="FA167" i="3"/>
  <c r="CE167" i="3" s="1"/>
  <c r="EZ167" i="3"/>
  <c r="CD167" i="3" s="1"/>
  <c r="EY167" i="3"/>
  <c r="CC167" i="3" s="1"/>
  <c r="EX167" i="3"/>
  <c r="CB167" i="3" s="1"/>
  <c r="EW167" i="3"/>
  <c r="CA167" i="3" s="1"/>
  <c r="EV167" i="3"/>
  <c r="BZ167" i="3" s="1"/>
  <c r="EU167" i="3"/>
  <c r="BY167" i="3" s="1"/>
  <c r="ET167" i="3"/>
  <c r="BX167" i="3" s="1"/>
  <c r="ES167" i="3"/>
  <c r="BW167" i="3" s="1"/>
  <c r="ER167" i="3"/>
  <c r="BV167" i="3" s="1"/>
  <c r="EQ167" i="3"/>
  <c r="BU167" i="3" s="1"/>
  <c r="EP167" i="3"/>
  <c r="BT167" i="3" s="1"/>
  <c r="EO167" i="3"/>
  <c r="BS167" i="3" s="1"/>
  <c r="EN167" i="3"/>
  <c r="BR167" i="3" s="1"/>
  <c r="EM167" i="3"/>
  <c r="BQ167" i="3" s="1"/>
  <c r="EL167" i="3"/>
  <c r="BP167" i="3" s="1"/>
  <c r="EK167" i="3"/>
  <c r="BO167" i="3" s="1"/>
  <c r="EJ167" i="3"/>
  <c r="BN167" i="3" s="1"/>
  <c r="EI167" i="3"/>
  <c r="BM167" i="3" s="1"/>
  <c r="EH167" i="3"/>
  <c r="BL167" i="3" s="1"/>
  <c r="EG167" i="3"/>
  <c r="BK167" i="3" s="1"/>
  <c r="EF167" i="3"/>
  <c r="BJ167" i="3" s="1"/>
  <c r="EE167" i="3"/>
  <c r="BI167" i="3" s="1"/>
  <c r="ED167" i="3"/>
  <c r="BH167" i="3" s="1"/>
  <c r="EC167" i="3"/>
  <c r="BG167" i="3" s="1"/>
  <c r="EB167" i="3"/>
  <c r="BF167" i="3" s="1"/>
  <c r="EA167" i="3"/>
  <c r="BE167" i="3" s="1"/>
  <c r="DZ167" i="3"/>
  <c r="BD167" i="3" s="1"/>
  <c r="DY167" i="3"/>
  <c r="BC167" i="3" s="1"/>
  <c r="DX167" i="3"/>
  <c r="BB167" i="3" s="1"/>
  <c r="H322" i="2" l="1"/>
  <c r="B118" i="3"/>
  <c r="B119" i="3" s="1"/>
  <c r="B120" i="3" s="1"/>
  <c r="B121" i="3" s="1"/>
  <c r="B122" i="3" s="1"/>
  <c r="B123" i="3" s="1"/>
  <c r="B126" i="3"/>
  <c r="H288" i="2"/>
  <c r="F59" i="9" s="1"/>
  <c r="F30" i="9" s="1"/>
  <c r="AZ215" i="3"/>
  <c r="CA89" i="9" s="1"/>
  <c r="CA31" i="9" s="1"/>
  <c r="AY215" i="3"/>
  <c r="BZ89" i="9" s="1"/>
  <c r="BZ31" i="9" s="1"/>
  <c r="AV215" i="3"/>
  <c r="BY89" i="9" s="1"/>
  <c r="BY31" i="9" s="1"/>
  <c r="AU215" i="3"/>
  <c r="BX89" i="9" s="1"/>
  <c r="BX31" i="9" s="1"/>
  <c r="AT215" i="3"/>
  <c r="BW89" i="9" s="1"/>
  <c r="BW31" i="9" s="1"/>
  <c r="AS215" i="3"/>
  <c r="BV89" i="9" s="1"/>
  <c r="BV31" i="9" s="1"/>
  <c r="AR215" i="3"/>
  <c r="BU89" i="9" s="1"/>
  <c r="BU31" i="9" s="1"/>
  <c r="AQ215" i="3"/>
  <c r="BT89" i="9" s="1"/>
  <c r="BT31" i="9" s="1"/>
  <c r="AP215" i="3"/>
  <c r="BS89" i="9" s="1"/>
  <c r="BS31" i="9" s="1"/>
  <c r="AO215" i="3"/>
  <c r="BR89" i="9" s="1"/>
  <c r="BR31" i="9" s="1"/>
  <c r="AN215" i="3"/>
  <c r="BQ89" i="9" s="1"/>
  <c r="BQ31" i="9" s="1"/>
  <c r="AM215" i="3"/>
  <c r="BP89" i="9" s="1"/>
  <c r="BP31" i="9" s="1"/>
  <c r="AL215" i="3"/>
  <c r="BO89" i="9" s="1"/>
  <c r="BO31" i="9" s="1"/>
  <c r="AK215" i="3"/>
  <c r="BN89" i="9" s="1"/>
  <c r="BN31" i="9" s="1"/>
  <c r="AJ215" i="3"/>
  <c r="BM89" i="9" s="1"/>
  <c r="BM31" i="9" s="1"/>
  <c r="AI215" i="3"/>
  <c r="BL89" i="9" s="1"/>
  <c r="BL31" i="9" s="1"/>
  <c r="AH215" i="3"/>
  <c r="BK89" i="9" s="1"/>
  <c r="BK31" i="9" s="1"/>
  <c r="AG215" i="3"/>
  <c r="BJ89" i="9" s="1"/>
  <c r="BJ31" i="9" s="1"/>
  <c r="AF215" i="3"/>
  <c r="BI89" i="9" s="1"/>
  <c r="BI31" i="9" s="1"/>
  <c r="AE215" i="3"/>
  <c r="BH89" i="9" s="1"/>
  <c r="BH31" i="9" s="1"/>
  <c r="AD215" i="3"/>
  <c r="BG89" i="9" s="1"/>
  <c r="BG31" i="9" s="1"/>
  <c r="AC215" i="3"/>
  <c r="BF89" i="9" s="1"/>
  <c r="BF31" i="9" s="1"/>
  <c r="AB215" i="3"/>
  <c r="BE89" i="9" s="1"/>
  <c r="BE31" i="9" s="1"/>
  <c r="AA215" i="3"/>
  <c r="BD89" i="9" s="1"/>
  <c r="BD31" i="9" s="1"/>
  <c r="Z215" i="3"/>
  <c r="BC89" i="9" s="1"/>
  <c r="BC31" i="9" s="1"/>
  <c r="Y215" i="3"/>
  <c r="BB89" i="9" s="1"/>
  <c r="BB31" i="9" s="1"/>
  <c r="X215" i="3"/>
  <c r="BA89" i="9" s="1"/>
  <c r="BA31" i="9" s="1"/>
  <c r="W215" i="3"/>
  <c r="AZ89" i="9" s="1"/>
  <c r="AZ31" i="9" s="1"/>
  <c r="V215" i="3"/>
  <c r="AY89" i="9" s="1"/>
  <c r="AY31" i="9" s="1"/>
  <c r="U215" i="3"/>
  <c r="AX89" i="9" s="1"/>
  <c r="AX31" i="9" s="1"/>
  <c r="T215" i="3"/>
  <c r="AW89" i="9" s="1"/>
  <c r="AW31" i="9" s="1"/>
  <c r="S215" i="3"/>
  <c r="AV89" i="9" s="1"/>
  <c r="AV31" i="9" s="1"/>
  <c r="R215" i="3"/>
  <c r="AU89" i="9" s="1"/>
  <c r="AU31" i="9" s="1"/>
  <c r="Q215" i="3"/>
  <c r="AT89" i="9" s="1"/>
  <c r="AT31" i="9" s="1"/>
  <c r="P215" i="3"/>
  <c r="AS89" i="9" s="1"/>
  <c r="E215" i="3"/>
  <c r="D89" i="9" s="1"/>
  <c r="D215" i="3"/>
  <c r="C89" i="9" s="1"/>
  <c r="FF214" i="3"/>
  <c r="FE214" i="3"/>
  <c r="FD214" i="3"/>
  <c r="FC214" i="3"/>
  <c r="FB214" i="3"/>
  <c r="FA214" i="3"/>
  <c r="EZ214" i="3"/>
  <c r="EY214" i="3"/>
  <c r="EX214" i="3"/>
  <c r="EW214" i="3"/>
  <c r="EV214" i="3"/>
  <c r="EU214" i="3"/>
  <c r="ET214" i="3"/>
  <c r="ES214" i="3"/>
  <c r="ER214" i="3"/>
  <c r="EQ214" i="3"/>
  <c r="EP214" i="3"/>
  <c r="EO214" i="3"/>
  <c r="EN214" i="3"/>
  <c r="EM214" i="3"/>
  <c r="EL214" i="3"/>
  <c r="EK214" i="3"/>
  <c r="EJ214" i="3"/>
  <c r="EI214" i="3"/>
  <c r="EH214" i="3"/>
  <c r="EG214" i="3"/>
  <c r="EF214" i="3"/>
  <c r="EE214" i="3"/>
  <c r="ED214" i="3"/>
  <c r="EC214" i="3"/>
  <c r="EB214" i="3"/>
  <c r="EA214" i="3"/>
  <c r="DZ214" i="3"/>
  <c r="DY214" i="3"/>
  <c r="DX214" i="3"/>
  <c r="N214" i="3"/>
  <c r="M214" i="3"/>
  <c r="FF213" i="3"/>
  <c r="FE213" i="3"/>
  <c r="FD213" i="3"/>
  <c r="FC213" i="3"/>
  <c r="FB213" i="3"/>
  <c r="FA213" i="3"/>
  <c r="EZ213" i="3"/>
  <c r="EY213" i="3"/>
  <c r="EX213" i="3"/>
  <c r="EW213" i="3"/>
  <c r="EV213" i="3"/>
  <c r="EU213" i="3"/>
  <c r="ET213" i="3"/>
  <c r="ES213" i="3"/>
  <c r="ER213" i="3"/>
  <c r="EQ213" i="3"/>
  <c r="EP213" i="3"/>
  <c r="EO213" i="3"/>
  <c r="EN213" i="3"/>
  <c r="EM213" i="3"/>
  <c r="EL213" i="3"/>
  <c r="EK213" i="3"/>
  <c r="EJ213" i="3"/>
  <c r="EI213" i="3"/>
  <c r="EH213" i="3"/>
  <c r="EG213" i="3"/>
  <c r="EF213" i="3"/>
  <c r="EE213" i="3"/>
  <c r="ED213" i="3"/>
  <c r="EC213" i="3"/>
  <c r="EB213" i="3"/>
  <c r="EA213" i="3"/>
  <c r="DZ213" i="3"/>
  <c r="DY213" i="3"/>
  <c r="DX213" i="3"/>
  <c r="N213" i="3"/>
  <c r="M213" i="3"/>
  <c r="FF212" i="3"/>
  <c r="FE212" i="3"/>
  <c r="FD212" i="3"/>
  <c r="FC212" i="3"/>
  <c r="FB212" i="3"/>
  <c r="FA212" i="3"/>
  <c r="EZ212" i="3"/>
  <c r="EY212" i="3"/>
  <c r="EX212" i="3"/>
  <c r="EW212" i="3"/>
  <c r="EV212" i="3"/>
  <c r="EU212" i="3"/>
  <c r="ET212" i="3"/>
  <c r="ES212" i="3"/>
  <c r="ER212" i="3"/>
  <c r="EQ212" i="3"/>
  <c r="EP212" i="3"/>
  <c r="EO212" i="3"/>
  <c r="EN212" i="3"/>
  <c r="EM212" i="3"/>
  <c r="EL212" i="3"/>
  <c r="EK212" i="3"/>
  <c r="EJ212" i="3"/>
  <c r="EI212" i="3"/>
  <c r="EH212" i="3"/>
  <c r="EG212" i="3"/>
  <c r="EF212" i="3"/>
  <c r="EE212" i="3"/>
  <c r="ED212" i="3"/>
  <c r="EC212" i="3"/>
  <c r="EB212" i="3"/>
  <c r="EA212" i="3"/>
  <c r="DZ212" i="3"/>
  <c r="DY212" i="3"/>
  <c r="DX212" i="3"/>
  <c r="N212" i="3"/>
  <c r="M212" i="3"/>
  <c r="FF211" i="3"/>
  <c r="FE211" i="3"/>
  <c r="FD211" i="3"/>
  <c r="FC211" i="3"/>
  <c r="FB211" i="3"/>
  <c r="FA211" i="3"/>
  <c r="EZ211" i="3"/>
  <c r="EY211" i="3"/>
  <c r="EX211" i="3"/>
  <c r="EW211" i="3"/>
  <c r="EV211" i="3"/>
  <c r="EU211" i="3"/>
  <c r="ET211" i="3"/>
  <c r="ES211" i="3"/>
  <c r="ER211" i="3"/>
  <c r="EQ211" i="3"/>
  <c r="EP211" i="3"/>
  <c r="EO211" i="3"/>
  <c r="EN211" i="3"/>
  <c r="EM211" i="3"/>
  <c r="EL211" i="3"/>
  <c r="EK211" i="3"/>
  <c r="EJ211" i="3"/>
  <c r="EI211" i="3"/>
  <c r="EH211" i="3"/>
  <c r="EG211" i="3"/>
  <c r="EF211" i="3"/>
  <c r="EE211" i="3"/>
  <c r="ED211" i="3"/>
  <c r="EC211" i="3"/>
  <c r="EB211" i="3"/>
  <c r="EA211" i="3"/>
  <c r="DZ211" i="3"/>
  <c r="DY211" i="3"/>
  <c r="DX211" i="3"/>
  <c r="N211" i="3"/>
  <c r="M211" i="3"/>
  <c r="N210" i="3"/>
  <c r="M210" i="3"/>
  <c r="FF209" i="3"/>
  <c r="FE209" i="3"/>
  <c r="FD209" i="3"/>
  <c r="FC209" i="3"/>
  <c r="FB209" i="3"/>
  <c r="FA209" i="3"/>
  <c r="EZ209" i="3"/>
  <c r="EY209" i="3"/>
  <c r="EX209" i="3"/>
  <c r="EW209" i="3"/>
  <c r="EV209" i="3"/>
  <c r="EU209" i="3"/>
  <c r="ET209" i="3"/>
  <c r="ES209" i="3"/>
  <c r="ER209" i="3"/>
  <c r="EQ209" i="3"/>
  <c r="EP209" i="3"/>
  <c r="EO209" i="3"/>
  <c r="EN209" i="3"/>
  <c r="EM209" i="3"/>
  <c r="EL209" i="3"/>
  <c r="EK209" i="3"/>
  <c r="EJ209" i="3"/>
  <c r="EI209" i="3"/>
  <c r="EH209" i="3"/>
  <c r="EG209" i="3"/>
  <c r="EF209" i="3"/>
  <c r="EE209" i="3"/>
  <c r="ED209" i="3"/>
  <c r="EC209" i="3"/>
  <c r="EB209" i="3"/>
  <c r="EA209" i="3"/>
  <c r="DZ209" i="3"/>
  <c r="DY209" i="3"/>
  <c r="DX209" i="3"/>
  <c r="N209" i="3"/>
  <c r="M209" i="3"/>
  <c r="FF208" i="3"/>
  <c r="FE208" i="3"/>
  <c r="FD208" i="3"/>
  <c r="FC208" i="3"/>
  <c r="FB208" i="3"/>
  <c r="FA208" i="3"/>
  <c r="EZ208" i="3"/>
  <c r="EY208" i="3"/>
  <c r="EX208" i="3"/>
  <c r="EW208" i="3"/>
  <c r="EV208" i="3"/>
  <c r="EU208" i="3"/>
  <c r="ET208" i="3"/>
  <c r="ES208" i="3"/>
  <c r="ER208" i="3"/>
  <c r="EQ208" i="3"/>
  <c r="EP208" i="3"/>
  <c r="EO208" i="3"/>
  <c r="EN208" i="3"/>
  <c r="EM208" i="3"/>
  <c r="EL208" i="3"/>
  <c r="EK208" i="3"/>
  <c r="EJ208" i="3"/>
  <c r="EI208" i="3"/>
  <c r="EH208" i="3"/>
  <c r="EG208" i="3"/>
  <c r="EF208" i="3"/>
  <c r="EE208" i="3"/>
  <c r="ED208" i="3"/>
  <c r="EC208" i="3"/>
  <c r="EB208" i="3"/>
  <c r="EA208" i="3"/>
  <c r="DZ208" i="3"/>
  <c r="DY208" i="3"/>
  <c r="DX208" i="3"/>
  <c r="N208" i="3"/>
  <c r="M208" i="3"/>
  <c r="FF207" i="3"/>
  <c r="FE207" i="3"/>
  <c r="FD207" i="3"/>
  <c r="FC207" i="3"/>
  <c r="FB207" i="3"/>
  <c r="FA207" i="3"/>
  <c r="EZ207" i="3"/>
  <c r="EY207" i="3"/>
  <c r="EX207" i="3"/>
  <c r="EW207" i="3"/>
  <c r="EV207" i="3"/>
  <c r="EU207" i="3"/>
  <c r="ET207" i="3"/>
  <c r="ES207" i="3"/>
  <c r="ER207" i="3"/>
  <c r="EQ207" i="3"/>
  <c r="EP207" i="3"/>
  <c r="EO207" i="3"/>
  <c r="EN207" i="3"/>
  <c r="EM207" i="3"/>
  <c r="EL207" i="3"/>
  <c r="EK207" i="3"/>
  <c r="EJ207" i="3"/>
  <c r="EI207" i="3"/>
  <c r="EH207" i="3"/>
  <c r="EG207" i="3"/>
  <c r="EF207" i="3"/>
  <c r="EE207" i="3"/>
  <c r="ED207" i="3"/>
  <c r="EC207" i="3"/>
  <c r="EB207" i="3"/>
  <c r="EA207" i="3"/>
  <c r="DZ207" i="3"/>
  <c r="DY207" i="3"/>
  <c r="DX207" i="3"/>
  <c r="N207" i="3"/>
  <c r="M207" i="3"/>
  <c r="FF206" i="3"/>
  <c r="FE206" i="3"/>
  <c r="FD206" i="3"/>
  <c r="FC206" i="3"/>
  <c r="FB206" i="3"/>
  <c r="FA206" i="3"/>
  <c r="EZ206" i="3"/>
  <c r="EY206" i="3"/>
  <c r="EX206" i="3"/>
  <c r="EW206" i="3"/>
  <c r="EV206" i="3"/>
  <c r="EU206" i="3"/>
  <c r="ET206" i="3"/>
  <c r="ES206" i="3"/>
  <c r="ER206" i="3"/>
  <c r="EQ206" i="3"/>
  <c r="EP206" i="3"/>
  <c r="EO206" i="3"/>
  <c r="EN206" i="3"/>
  <c r="EM206" i="3"/>
  <c r="EL206" i="3"/>
  <c r="EK206" i="3"/>
  <c r="EJ206" i="3"/>
  <c r="EI206" i="3"/>
  <c r="EH206" i="3"/>
  <c r="EG206" i="3"/>
  <c r="EF206" i="3"/>
  <c r="EE206" i="3"/>
  <c r="ED206" i="3"/>
  <c r="EC206" i="3"/>
  <c r="EB206" i="3"/>
  <c r="EA206" i="3"/>
  <c r="DZ206" i="3"/>
  <c r="DY206" i="3"/>
  <c r="DX206" i="3"/>
  <c r="N206" i="3"/>
  <c r="M206" i="3"/>
  <c r="AZ204" i="3"/>
  <c r="CA88" i="9" s="1"/>
  <c r="CA30" i="9" s="1"/>
  <c r="AY204" i="3"/>
  <c r="BZ88" i="9" s="1"/>
  <c r="BZ30" i="9" s="1"/>
  <c r="AV204" i="3"/>
  <c r="BY88" i="9" s="1"/>
  <c r="BY30" i="9" s="1"/>
  <c r="AU204" i="3"/>
  <c r="BX88" i="9" s="1"/>
  <c r="BX30" i="9" s="1"/>
  <c r="AT204" i="3"/>
  <c r="BW88" i="9" s="1"/>
  <c r="BW30" i="9" s="1"/>
  <c r="AS204" i="3"/>
  <c r="BV88" i="9" s="1"/>
  <c r="BV30" i="9" s="1"/>
  <c r="AR204" i="3"/>
  <c r="BU88" i="9" s="1"/>
  <c r="BU30" i="9" s="1"/>
  <c r="AQ204" i="3"/>
  <c r="BT88" i="9" s="1"/>
  <c r="BT30" i="9" s="1"/>
  <c r="AP204" i="3"/>
  <c r="BS88" i="9" s="1"/>
  <c r="BS30" i="9" s="1"/>
  <c r="AO204" i="3"/>
  <c r="BR88" i="9" s="1"/>
  <c r="BR30" i="9" s="1"/>
  <c r="AN204" i="3"/>
  <c r="BQ88" i="9" s="1"/>
  <c r="BQ30" i="9" s="1"/>
  <c r="AM204" i="3"/>
  <c r="BP88" i="9" s="1"/>
  <c r="BP30" i="9" s="1"/>
  <c r="AL204" i="3"/>
  <c r="BO88" i="9" s="1"/>
  <c r="BO30" i="9" s="1"/>
  <c r="AK204" i="3"/>
  <c r="BN88" i="9" s="1"/>
  <c r="BN30" i="9" s="1"/>
  <c r="AJ204" i="3"/>
  <c r="BM88" i="9" s="1"/>
  <c r="BM30" i="9" s="1"/>
  <c r="AI204" i="3"/>
  <c r="BL88" i="9" s="1"/>
  <c r="BL30" i="9" s="1"/>
  <c r="AH204" i="3"/>
  <c r="BK88" i="9" s="1"/>
  <c r="BK30" i="9" s="1"/>
  <c r="AG204" i="3"/>
  <c r="BJ88" i="9" s="1"/>
  <c r="BJ30" i="9" s="1"/>
  <c r="AF204" i="3"/>
  <c r="BI88" i="9" s="1"/>
  <c r="BI30" i="9" s="1"/>
  <c r="AE204" i="3"/>
  <c r="BH88" i="9" s="1"/>
  <c r="BH30" i="9" s="1"/>
  <c r="AD204" i="3"/>
  <c r="BG88" i="9" s="1"/>
  <c r="BG30" i="9" s="1"/>
  <c r="AC204" i="3"/>
  <c r="BF88" i="9" s="1"/>
  <c r="BF30" i="9" s="1"/>
  <c r="AB204" i="3"/>
  <c r="BE88" i="9" s="1"/>
  <c r="BE30" i="9" s="1"/>
  <c r="AA204" i="3"/>
  <c r="BD88" i="9" s="1"/>
  <c r="BD30" i="9" s="1"/>
  <c r="Z204" i="3"/>
  <c r="BC88" i="9" s="1"/>
  <c r="BC30" i="9" s="1"/>
  <c r="Y204" i="3"/>
  <c r="BB88" i="9" s="1"/>
  <c r="BB30" i="9" s="1"/>
  <c r="X204" i="3"/>
  <c r="BA88" i="9" s="1"/>
  <c r="BA30" i="9" s="1"/>
  <c r="W204" i="3"/>
  <c r="AZ88" i="9" s="1"/>
  <c r="AZ30" i="9" s="1"/>
  <c r="V204" i="3"/>
  <c r="AY88" i="9" s="1"/>
  <c r="AY30" i="9" s="1"/>
  <c r="U204" i="3"/>
  <c r="AX88" i="9" s="1"/>
  <c r="AX30" i="9" s="1"/>
  <c r="T204" i="3"/>
  <c r="AW88" i="9" s="1"/>
  <c r="AW30" i="9" s="1"/>
  <c r="S204" i="3"/>
  <c r="AV88" i="9" s="1"/>
  <c r="AV30" i="9" s="1"/>
  <c r="R204" i="3"/>
  <c r="AU88" i="9" s="1"/>
  <c r="AU30" i="9" s="1"/>
  <c r="Q204" i="3"/>
  <c r="AT88" i="9" s="1"/>
  <c r="P204" i="3"/>
  <c r="AS88" i="9" s="1"/>
  <c r="AS30" i="9" s="1"/>
  <c r="E204" i="3"/>
  <c r="D88" i="9" s="1"/>
  <c r="D204" i="3"/>
  <c r="C88" i="9" s="1"/>
  <c r="N203" i="3"/>
  <c r="CI203" i="3" s="1"/>
  <c r="M203" i="3"/>
  <c r="FF202" i="3"/>
  <c r="FE202" i="3"/>
  <c r="FD202" i="3"/>
  <c r="FC202" i="3"/>
  <c r="FB202" i="3"/>
  <c r="FA202" i="3"/>
  <c r="EZ202" i="3"/>
  <c r="EY202" i="3"/>
  <c r="EX202" i="3"/>
  <c r="EW202" i="3"/>
  <c r="EV202" i="3"/>
  <c r="EU202" i="3"/>
  <c r="ET202" i="3"/>
  <c r="ES202" i="3"/>
  <c r="ER202" i="3"/>
  <c r="EQ202" i="3"/>
  <c r="EP202" i="3"/>
  <c r="EO202" i="3"/>
  <c r="EN202" i="3"/>
  <c r="EM202" i="3"/>
  <c r="EL202" i="3"/>
  <c r="EK202" i="3"/>
  <c r="EJ202" i="3"/>
  <c r="EI202" i="3"/>
  <c r="EH202" i="3"/>
  <c r="EG202" i="3"/>
  <c r="EF202" i="3"/>
  <c r="EE202" i="3"/>
  <c r="ED202" i="3"/>
  <c r="EC202" i="3"/>
  <c r="EB202" i="3"/>
  <c r="EA202" i="3"/>
  <c r="DZ202" i="3"/>
  <c r="DY202" i="3"/>
  <c r="DX202" i="3"/>
  <c r="N202" i="3"/>
  <c r="M202" i="3"/>
  <c r="FF201" i="3"/>
  <c r="FE201" i="3"/>
  <c r="FD201" i="3"/>
  <c r="FC201" i="3"/>
  <c r="FB201" i="3"/>
  <c r="FA201" i="3"/>
  <c r="EZ201" i="3"/>
  <c r="EY201" i="3"/>
  <c r="EX201" i="3"/>
  <c r="EW201" i="3"/>
  <c r="EV201" i="3"/>
  <c r="EU201" i="3"/>
  <c r="ET201" i="3"/>
  <c r="ES201" i="3"/>
  <c r="ER201" i="3"/>
  <c r="EQ201" i="3"/>
  <c r="EP201" i="3"/>
  <c r="EO201" i="3"/>
  <c r="EN201" i="3"/>
  <c r="EM201" i="3"/>
  <c r="EL201" i="3"/>
  <c r="EK201" i="3"/>
  <c r="EJ201" i="3"/>
  <c r="EI201" i="3"/>
  <c r="EH201" i="3"/>
  <c r="EG201" i="3"/>
  <c r="EF201" i="3"/>
  <c r="EE201" i="3"/>
  <c r="ED201" i="3"/>
  <c r="EC201" i="3"/>
  <c r="EB201" i="3"/>
  <c r="EA201" i="3"/>
  <c r="DZ201" i="3"/>
  <c r="DY201" i="3"/>
  <c r="DX201" i="3"/>
  <c r="N201" i="3"/>
  <c r="M201" i="3"/>
  <c r="FF200" i="3"/>
  <c r="FE200" i="3"/>
  <c r="FD200" i="3"/>
  <c r="FC200" i="3"/>
  <c r="FB200" i="3"/>
  <c r="FA200" i="3"/>
  <c r="EZ200" i="3"/>
  <c r="EY200" i="3"/>
  <c r="EX200" i="3"/>
  <c r="EW200" i="3"/>
  <c r="EV200" i="3"/>
  <c r="EU200" i="3"/>
  <c r="ET200" i="3"/>
  <c r="ES200" i="3"/>
  <c r="ER200" i="3"/>
  <c r="EQ200" i="3"/>
  <c r="EP200" i="3"/>
  <c r="EO200" i="3"/>
  <c r="EN200" i="3"/>
  <c r="EM200" i="3"/>
  <c r="EL200" i="3"/>
  <c r="EK200" i="3"/>
  <c r="EJ200" i="3"/>
  <c r="EI200" i="3"/>
  <c r="EH200" i="3"/>
  <c r="EG200" i="3"/>
  <c r="EF200" i="3"/>
  <c r="EE200" i="3"/>
  <c r="ED200" i="3"/>
  <c r="EC200" i="3"/>
  <c r="EB200" i="3"/>
  <c r="EA200" i="3"/>
  <c r="DZ200" i="3"/>
  <c r="DY200" i="3"/>
  <c r="DX200" i="3"/>
  <c r="N200" i="3"/>
  <c r="M200" i="3"/>
  <c r="N199" i="3"/>
  <c r="M199" i="3"/>
  <c r="FF198" i="3"/>
  <c r="FE198" i="3"/>
  <c r="FD198" i="3"/>
  <c r="FC198" i="3"/>
  <c r="FB198" i="3"/>
  <c r="FA198" i="3"/>
  <c r="EZ198" i="3"/>
  <c r="EY198" i="3"/>
  <c r="EX198" i="3"/>
  <c r="EW198" i="3"/>
  <c r="EV198" i="3"/>
  <c r="EU198" i="3"/>
  <c r="ET198" i="3"/>
  <c r="ES198" i="3"/>
  <c r="ER198" i="3"/>
  <c r="EQ198" i="3"/>
  <c r="EP198" i="3"/>
  <c r="EO198" i="3"/>
  <c r="EN198" i="3"/>
  <c r="EM198" i="3"/>
  <c r="EL198" i="3"/>
  <c r="EK198" i="3"/>
  <c r="EJ198" i="3"/>
  <c r="EI198" i="3"/>
  <c r="EH198" i="3"/>
  <c r="EG198" i="3"/>
  <c r="EF198" i="3"/>
  <c r="EE198" i="3"/>
  <c r="ED198" i="3"/>
  <c r="EC198" i="3"/>
  <c r="EB198" i="3"/>
  <c r="EA198" i="3"/>
  <c r="DZ198" i="3"/>
  <c r="DY198" i="3"/>
  <c r="DX198" i="3"/>
  <c r="N198" i="3"/>
  <c r="M198" i="3"/>
  <c r="N197" i="3"/>
  <c r="CG197" i="3" s="1"/>
  <c r="M197" i="3"/>
  <c r="N196" i="3"/>
  <c r="M196" i="3"/>
  <c r="N192" i="3"/>
  <c r="M192" i="3"/>
  <c r="N191" i="3"/>
  <c r="M191" i="3"/>
  <c r="N190" i="3"/>
  <c r="M190" i="3"/>
  <c r="N189" i="3"/>
  <c r="M189" i="3"/>
  <c r="N188" i="3"/>
  <c r="M188" i="3"/>
  <c r="N187" i="3"/>
  <c r="M187" i="3"/>
  <c r="D60" i="9"/>
  <c r="C60" i="9"/>
  <c r="B60" i="9"/>
  <c r="B31" i="9" s="1"/>
  <c r="CG201" i="3" l="1"/>
  <c r="BU212" i="3"/>
  <c r="D31" i="9"/>
  <c r="B127" i="3"/>
  <c r="B128" i="3" s="1"/>
  <c r="B129" i="3" s="1"/>
  <c r="B130" i="3" s="1"/>
  <c r="B131" i="3" s="1"/>
  <c r="B132" i="3" s="1"/>
  <c r="B135" i="3"/>
  <c r="CC89" i="9"/>
  <c r="CD89" i="9" s="1"/>
  <c r="AS31" i="9"/>
  <c r="CC31" i="9" s="1"/>
  <c r="C31" i="9"/>
  <c r="N215" i="3"/>
  <c r="I89" i="9" s="1"/>
  <c r="G89" i="9" s="1"/>
  <c r="F60" i="9"/>
  <c r="F31" i="9" s="1"/>
  <c r="I322" i="2"/>
  <c r="M323" i="2" s="1"/>
  <c r="EW204" i="3"/>
  <c r="EG204" i="3"/>
  <c r="DY204" i="3"/>
  <c r="EC204" i="3"/>
  <c r="EK204" i="3"/>
  <c r="EO204" i="3"/>
  <c r="ES204" i="3"/>
  <c r="FA204" i="3"/>
  <c r="FE204" i="3"/>
  <c r="DZ204" i="3"/>
  <c r="EH204" i="3"/>
  <c r="EP204" i="3"/>
  <c r="EX204" i="3"/>
  <c r="FF204" i="3"/>
  <c r="EE204" i="3"/>
  <c r="DX204" i="3"/>
  <c r="EB204" i="3"/>
  <c r="EF204" i="3"/>
  <c r="EJ204" i="3"/>
  <c r="EN204" i="3"/>
  <c r="ER204" i="3"/>
  <c r="EV204" i="3"/>
  <c r="EZ204" i="3"/>
  <c r="FD204" i="3"/>
  <c r="ED204" i="3"/>
  <c r="EL204" i="3"/>
  <c r="ET204" i="3"/>
  <c r="FB204" i="3"/>
  <c r="EA204" i="3"/>
  <c r="EI204" i="3"/>
  <c r="EM204" i="3"/>
  <c r="EQ204" i="3"/>
  <c r="EU204" i="3"/>
  <c r="EY204" i="3"/>
  <c r="FC204" i="3"/>
  <c r="CC88" i="9"/>
  <c r="CD88" i="9" s="1"/>
  <c r="AT30" i="9"/>
  <c r="CC30" i="9" s="1"/>
  <c r="CE30" i="9" s="1"/>
  <c r="C30" i="9"/>
  <c r="D30" i="9"/>
  <c r="DZ215" i="3"/>
  <c r="ED215" i="3"/>
  <c r="EH215" i="3"/>
  <c r="EL215" i="3"/>
  <c r="EP215" i="3"/>
  <c r="ET215" i="3"/>
  <c r="EX215" i="3"/>
  <c r="FB215" i="3"/>
  <c r="FF215" i="3"/>
  <c r="BZ213" i="3"/>
  <c r="BF212" i="3"/>
  <c r="BZ212" i="3"/>
  <c r="EB215" i="3"/>
  <c r="EF215" i="3"/>
  <c r="EJ215" i="3"/>
  <c r="EN215" i="3"/>
  <c r="ER215" i="3"/>
  <c r="EV215" i="3"/>
  <c r="EZ215" i="3"/>
  <c r="FD215" i="3"/>
  <c r="DX215" i="3"/>
  <c r="EA215" i="3"/>
  <c r="EE215" i="3"/>
  <c r="EI215" i="3"/>
  <c r="EM215" i="3"/>
  <c r="EQ215" i="3"/>
  <c r="EU215" i="3"/>
  <c r="EY215" i="3"/>
  <c r="FC215" i="3"/>
  <c r="DY215" i="3"/>
  <c r="EC215" i="3"/>
  <c r="EG215" i="3"/>
  <c r="EK215" i="3"/>
  <c r="EO215" i="3"/>
  <c r="ES215" i="3"/>
  <c r="EW215" i="3"/>
  <c r="FA215" i="3"/>
  <c r="FE215" i="3"/>
  <c r="CI189" i="3"/>
  <c r="CG213" i="3"/>
  <c r="BE212" i="3"/>
  <c r="BZ211" i="3"/>
  <c r="BF213" i="3"/>
  <c r="BW200" i="3"/>
  <c r="BC198" i="3"/>
  <c r="CF210" i="3"/>
  <c r="CI192" i="3"/>
  <c r="BM198" i="3"/>
  <c r="BO200" i="3"/>
  <c r="BU213" i="3"/>
  <c r="BW198" i="3"/>
  <c r="BO203" i="3"/>
  <c r="BB198" i="3"/>
  <c r="BY198" i="3"/>
  <c r="BX207" i="3"/>
  <c r="CG212" i="3"/>
  <c r="BF196" i="3"/>
  <c r="CH198" i="3"/>
  <c r="BC197" i="3"/>
  <c r="BK197" i="3"/>
  <c r="BS197" i="3"/>
  <c r="CA197" i="3"/>
  <c r="CE197" i="3"/>
  <c r="CD201" i="3"/>
  <c r="CD207" i="3"/>
  <c r="BN196" i="3"/>
  <c r="BJ197" i="3"/>
  <c r="BS200" i="3"/>
  <c r="CI201" i="3"/>
  <c r="BX203" i="3"/>
  <c r="BR207" i="3"/>
  <c r="BJ211" i="3"/>
  <c r="BL213" i="3"/>
  <c r="CJ213" i="3"/>
  <c r="BV196" i="3"/>
  <c r="BZ197" i="3"/>
  <c r="BC200" i="3"/>
  <c r="CF200" i="3"/>
  <c r="BD200" i="3"/>
  <c r="BL200" i="3"/>
  <c r="BT200" i="3"/>
  <c r="CB200" i="3"/>
  <c r="CJ200" i="3"/>
  <c r="BF201" i="3"/>
  <c r="BV201" i="3"/>
  <c r="BC203" i="3"/>
  <c r="CF203" i="3"/>
  <c r="BD203" i="3"/>
  <c r="BL203" i="3"/>
  <c r="BT203" i="3"/>
  <c r="CB203" i="3"/>
  <c r="CJ203" i="3"/>
  <c r="BF207" i="3"/>
  <c r="BS207" i="3"/>
  <c r="CJ207" i="3"/>
  <c r="BL210" i="3"/>
  <c r="BK212" i="3"/>
  <c r="BD213" i="3"/>
  <c r="BN213" i="3"/>
  <c r="BG197" i="3"/>
  <c r="BO197" i="3"/>
  <c r="BW197" i="3"/>
  <c r="CI197" i="3"/>
  <c r="BN201" i="3"/>
  <c r="BN207" i="3"/>
  <c r="BC201" i="3"/>
  <c r="BS201" i="3"/>
  <c r="BB207" i="3"/>
  <c r="CE207" i="3"/>
  <c r="CB213" i="3"/>
  <c r="BY213" i="3"/>
  <c r="CD196" i="3"/>
  <c r="CE198" i="3"/>
  <c r="BN198" i="3"/>
  <c r="CI198" i="3"/>
  <c r="BG200" i="3"/>
  <c r="CI200" i="3"/>
  <c r="BK201" i="3"/>
  <c r="CA201" i="3"/>
  <c r="BK203" i="3"/>
  <c r="BG207" i="3"/>
  <c r="CE212" i="3"/>
  <c r="BS212" i="3"/>
  <c r="CI212" i="3"/>
  <c r="BE213" i="3"/>
  <c r="BQ213" i="3"/>
  <c r="CF213" i="3"/>
  <c r="CE190" i="3"/>
  <c r="CI187" i="3"/>
  <c r="CI188" i="3"/>
  <c r="CB188" i="3"/>
  <c r="BL188" i="3"/>
  <c r="CJ188" i="3"/>
  <c r="BD188" i="3"/>
  <c r="BX188" i="3"/>
  <c r="BH188" i="3"/>
  <c r="BT188" i="3"/>
  <c r="BE202" i="3"/>
  <c r="BM202" i="3"/>
  <c r="BU202" i="3"/>
  <c r="CC202" i="3"/>
  <c r="BP188" i="3"/>
  <c r="CF188" i="3"/>
  <c r="BO196" i="3"/>
  <c r="BW196" i="3"/>
  <c r="CE196" i="3"/>
  <c r="BN197" i="3"/>
  <c r="BD197" i="3"/>
  <c r="CG210" i="3"/>
  <c r="BY210" i="3"/>
  <c r="BO210" i="3"/>
  <c r="BE210" i="3"/>
  <c r="CJ210" i="3"/>
  <c r="CA210" i="3"/>
  <c r="BQ210" i="3"/>
  <c r="BG210" i="3"/>
  <c r="BT210" i="3"/>
  <c r="CG211" i="3"/>
  <c r="CI211" i="3"/>
  <c r="CA211" i="3"/>
  <c r="BS211" i="3"/>
  <c r="BK211" i="3"/>
  <c r="BC211" i="3"/>
  <c r="CD211" i="3"/>
  <c r="BV211" i="3"/>
  <c r="BN211" i="3"/>
  <c r="BF211" i="3"/>
  <c r="BO211" i="3"/>
  <c r="CE211" i="3"/>
  <c r="BD211" i="3"/>
  <c r="BH211" i="3"/>
  <c r="BL211" i="3"/>
  <c r="BP211" i="3"/>
  <c r="BT211" i="3"/>
  <c r="BX211" i="3"/>
  <c r="CB211" i="3"/>
  <c r="CF211" i="3"/>
  <c r="CJ211" i="3"/>
  <c r="BB196" i="3"/>
  <c r="BJ196" i="3"/>
  <c r="BR196" i="3"/>
  <c r="BZ196" i="3"/>
  <c r="CH196" i="3"/>
  <c r="BB197" i="3"/>
  <c r="BR197" i="3"/>
  <c r="CH197" i="3"/>
  <c r="BG198" i="3"/>
  <c r="BR198" i="3"/>
  <c r="CC198" i="3"/>
  <c r="BH200" i="3"/>
  <c r="CH203" i="3"/>
  <c r="CA203" i="3"/>
  <c r="BP203" i="3"/>
  <c r="BG203" i="3"/>
  <c r="CE203" i="3"/>
  <c r="BS203" i="3"/>
  <c r="BH203" i="3"/>
  <c r="BW203" i="3"/>
  <c r="CF207" i="3"/>
  <c r="BZ207" i="3"/>
  <c r="BT207" i="3"/>
  <c r="BO207" i="3"/>
  <c r="BH207" i="3"/>
  <c r="BC207" i="3"/>
  <c r="CH207" i="3"/>
  <c r="CA207" i="3"/>
  <c r="BV207" i="3"/>
  <c r="BP207" i="3"/>
  <c r="BJ207" i="3"/>
  <c r="BD207" i="3"/>
  <c r="BK207" i="3"/>
  <c r="BW207" i="3"/>
  <c r="CI207" i="3"/>
  <c r="BL207" i="3"/>
  <c r="CB207" i="3"/>
  <c r="BD210" i="3"/>
  <c r="BU210" i="3"/>
  <c r="BB211" i="3"/>
  <c r="BR211" i="3"/>
  <c r="CH211" i="3"/>
  <c r="BG196" i="3"/>
  <c r="CD197" i="3"/>
  <c r="BH197" i="3"/>
  <c r="BC196" i="3"/>
  <c r="BK196" i="3"/>
  <c r="BS196" i="3"/>
  <c r="CA196" i="3"/>
  <c r="CI196" i="3"/>
  <c r="BF197" i="3"/>
  <c r="BV197" i="3"/>
  <c r="BI198" i="3"/>
  <c r="BS198" i="3"/>
  <c r="CD198" i="3"/>
  <c r="CH200" i="3"/>
  <c r="CA200" i="3"/>
  <c r="BP200" i="3"/>
  <c r="CE200" i="3"/>
  <c r="BK200" i="3"/>
  <c r="BX200" i="3"/>
  <c r="BK210" i="3"/>
  <c r="CB210" i="3"/>
  <c r="BG211" i="3"/>
  <c r="BW211" i="3"/>
  <c r="BB201" i="3"/>
  <c r="BJ201" i="3"/>
  <c r="BR201" i="3"/>
  <c r="BZ201" i="3"/>
  <c r="CH201" i="3"/>
  <c r="BD201" i="3"/>
  <c r="BH201" i="3"/>
  <c r="BL201" i="3"/>
  <c r="BP201" i="3"/>
  <c r="BT201" i="3"/>
  <c r="BX201" i="3"/>
  <c r="CB201" i="3"/>
  <c r="BN212" i="3"/>
  <c r="CA212" i="3"/>
  <c r="BJ213" i="3"/>
  <c r="BT213" i="3"/>
  <c r="BG201" i="3"/>
  <c r="BO201" i="3"/>
  <c r="BW201" i="3"/>
  <c r="CE201" i="3"/>
  <c r="BB202" i="3"/>
  <c r="BF202" i="3"/>
  <c r="BJ202" i="3"/>
  <c r="BN202" i="3"/>
  <c r="BR202" i="3"/>
  <c r="BV202" i="3"/>
  <c r="BZ202" i="3"/>
  <c r="CD202" i="3"/>
  <c r="CH202" i="3"/>
  <c r="CG207" i="3"/>
  <c r="CH210" i="3"/>
  <c r="CD210" i="3"/>
  <c r="BZ210" i="3"/>
  <c r="BV210" i="3"/>
  <c r="BR210" i="3"/>
  <c r="BN210" i="3"/>
  <c r="BJ210" i="3"/>
  <c r="BF210" i="3"/>
  <c r="BB210" i="3"/>
  <c r="CI210" i="3"/>
  <c r="CC210" i="3"/>
  <c r="BX210" i="3"/>
  <c r="BS210" i="3"/>
  <c r="BM210" i="3"/>
  <c r="BH210" i="3"/>
  <c r="BC210" i="3"/>
  <c r="BI210" i="3"/>
  <c r="BP210" i="3"/>
  <c r="BW210" i="3"/>
  <c r="CE210" i="3"/>
  <c r="BC212" i="3"/>
  <c r="BJ212" i="3"/>
  <c r="BQ212" i="3"/>
  <c r="BY212" i="3"/>
  <c r="CI213" i="3"/>
  <c r="CE213" i="3"/>
  <c r="CA213" i="3"/>
  <c r="BW213" i="3"/>
  <c r="BS213" i="3"/>
  <c r="BO213" i="3"/>
  <c r="BK213" i="3"/>
  <c r="BG213" i="3"/>
  <c r="BC213" i="3"/>
  <c r="CH213" i="3"/>
  <c r="CC213" i="3"/>
  <c r="BX213" i="3"/>
  <c r="BR213" i="3"/>
  <c r="BM213" i="3"/>
  <c r="BH213" i="3"/>
  <c r="BB213" i="3"/>
  <c r="BI213" i="3"/>
  <c r="BP213" i="3"/>
  <c r="BV213" i="3"/>
  <c r="CD213" i="3"/>
  <c r="CJ212" i="3"/>
  <c r="CF212" i="3"/>
  <c r="CB212" i="3"/>
  <c r="BX212" i="3"/>
  <c r="BT212" i="3"/>
  <c r="BP212" i="3"/>
  <c r="BL212" i="3"/>
  <c r="BH212" i="3"/>
  <c r="BD212" i="3"/>
  <c r="CH212" i="3"/>
  <c r="CC212" i="3"/>
  <c r="BW212" i="3"/>
  <c r="BR212" i="3"/>
  <c r="BM212" i="3"/>
  <c r="BG212" i="3"/>
  <c r="BB212" i="3"/>
  <c r="BI212" i="3"/>
  <c r="BO212" i="3"/>
  <c r="BV212" i="3"/>
  <c r="CD212" i="3"/>
  <c r="BE207" i="3"/>
  <c r="BI207" i="3"/>
  <c r="BM207" i="3"/>
  <c r="BQ207" i="3"/>
  <c r="BU207" i="3"/>
  <c r="BY207" i="3"/>
  <c r="CC207" i="3"/>
  <c r="BE211" i="3"/>
  <c r="BI211" i="3"/>
  <c r="BM211" i="3"/>
  <c r="BQ211" i="3"/>
  <c r="BU211" i="3"/>
  <c r="BY211" i="3"/>
  <c r="CC211" i="3"/>
  <c r="BD196" i="3"/>
  <c r="BH196" i="3"/>
  <c r="BL196" i="3"/>
  <c r="BP196" i="3"/>
  <c r="BT196" i="3"/>
  <c r="BX196" i="3"/>
  <c r="CB196" i="3"/>
  <c r="CF196" i="3"/>
  <c r="CJ196" i="3"/>
  <c r="BL197" i="3"/>
  <c r="BP197" i="3"/>
  <c r="BT197" i="3"/>
  <c r="BX197" i="3"/>
  <c r="CB197" i="3"/>
  <c r="CF197" i="3"/>
  <c r="CJ197" i="3"/>
  <c r="BE198" i="3"/>
  <c r="BJ198" i="3"/>
  <c r="BO198" i="3"/>
  <c r="BU198" i="3"/>
  <c r="BZ198" i="3"/>
  <c r="CJ202" i="3"/>
  <c r="CF202" i="3"/>
  <c r="CB202" i="3"/>
  <c r="BX202" i="3"/>
  <c r="BT202" i="3"/>
  <c r="BP202" i="3"/>
  <c r="BL202" i="3"/>
  <c r="BH202" i="3"/>
  <c r="BD202" i="3"/>
  <c r="CI202" i="3"/>
  <c r="CE202" i="3"/>
  <c r="CA202" i="3"/>
  <c r="BW202" i="3"/>
  <c r="BS202" i="3"/>
  <c r="BO202" i="3"/>
  <c r="BK202" i="3"/>
  <c r="BG202" i="3"/>
  <c r="BC202" i="3"/>
  <c r="BI202" i="3"/>
  <c r="BQ202" i="3"/>
  <c r="BY202" i="3"/>
  <c r="CG202" i="3"/>
  <c r="BE196" i="3"/>
  <c r="BI196" i="3"/>
  <c r="BM196" i="3"/>
  <c r="BQ196" i="3"/>
  <c r="BU196" i="3"/>
  <c r="BY196" i="3"/>
  <c r="CC196" i="3"/>
  <c r="CG196" i="3"/>
  <c r="BE197" i="3"/>
  <c r="BI197" i="3"/>
  <c r="BM197" i="3"/>
  <c r="BQ197" i="3"/>
  <c r="BU197" i="3"/>
  <c r="BY197" i="3"/>
  <c r="CC197" i="3"/>
  <c r="CJ198" i="3"/>
  <c r="CF198" i="3"/>
  <c r="CB198" i="3"/>
  <c r="BX198" i="3"/>
  <c r="BT198" i="3"/>
  <c r="BP198" i="3"/>
  <c r="BL198" i="3"/>
  <c r="BH198" i="3"/>
  <c r="BD198" i="3"/>
  <c r="BF198" i="3"/>
  <c r="BK198" i="3"/>
  <c r="BQ198" i="3"/>
  <c r="BV198" i="3"/>
  <c r="CA198" i="3"/>
  <c r="CG198" i="3"/>
  <c r="BE200" i="3"/>
  <c r="BI200" i="3"/>
  <c r="BM200" i="3"/>
  <c r="BQ200" i="3"/>
  <c r="BU200" i="3"/>
  <c r="BY200" i="3"/>
  <c r="CC200" i="3"/>
  <c r="CG200" i="3"/>
  <c r="CF201" i="3"/>
  <c r="CJ201" i="3"/>
  <c r="BB200" i="3"/>
  <c r="BF200" i="3"/>
  <c r="BJ200" i="3"/>
  <c r="BN200" i="3"/>
  <c r="BR200" i="3"/>
  <c r="BV200" i="3"/>
  <c r="BZ200" i="3"/>
  <c r="CD200" i="3"/>
  <c r="BE201" i="3"/>
  <c r="BI201" i="3"/>
  <c r="BM201" i="3"/>
  <c r="BQ201" i="3"/>
  <c r="BU201" i="3"/>
  <c r="BY201" i="3"/>
  <c r="CC201" i="3"/>
  <c r="BE203" i="3"/>
  <c r="BI203" i="3"/>
  <c r="BM203" i="3"/>
  <c r="BQ203" i="3"/>
  <c r="BU203" i="3"/>
  <c r="BY203" i="3"/>
  <c r="CC203" i="3"/>
  <c r="CG203" i="3"/>
  <c r="BB203" i="3"/>
  <c r="BF203" i="3"/>
  <c r="BJ203" i="3"/>
  <c r="BN203" i="3"/>
  <c r="BR203" i="3"/>
  <c r="BV203" i="3"/>
  <c r="BZ203" i="3"/>
  <c r="CD203" i="3"/>
  <c r="BE192" i="3"/>
  <c r="BM192" i="3"/>
  <c r="BQ192" i="3"/>
  <c r="BY192" i="3"/>
  <c r="CG192" i="3"/>
  <c r="BF192" i="3"/>
  <c r="BN192" i="3"/>
  <c r="BR192" i="3"/>
  <c r="BV192" i="3"/>
  <c r="BZ192" i="3"/>
  <c r="CD192" i="3"/>
  <c r="CH192" i="3"/>
  <c r="BG192" i="3"/>
  <c r="BO192" i="3"/>
  <c r="CE192" i="3"/>
  <c r="BD192" i="3"/>
  <c r="BH192" i="3"/>
  <c r="BL192" i="3"/>
  <c r="BP192" i="3"/>
  <c r="BT192" i="3"/>
  <c r="BX192" i="3"/>
  <c r="CB192" i="3"/>
  <c r="CF192" i="3"/>
  <c r="CJ192" i="3"/>
  <c r="BI192" i="3"/>
  <c r="BU192" i="3"/>
  <c r="CC192" i="3"/>
  <c r="BB192" i="3"/>
  <c r="BJ192" i="3"/>
  <c r="BC192" i="3"/>
  <c r="BK192" i="3"/>
  <c r="BS192" i="3"/>
  <c r="BW192" i="3"/>
  <c r="CA192" i="3"/>
  <c r="BE190" i="3"/>
  <c r="BM190" i="3"/>
  <c r="BQ190" i="3"/>
  <c r="BY190" i="3"/>
  <c r="CG190" i="3"/>
  <c r="BF190" i="3"/>
  <c r="BJ190" i="3"/>
  <c r="BN190" i="3"/>
  <c r="BR190" i="3"/>
  <c r="BV190" i="3"/>
  <c r="BZ190" i="3"/>
  <c r="CD190" i="3"/>
  <c r="BC190" i="3"/>
  <c r="BG190" i="3"/>
  <c r="BK190" i="3"/>
  <c r="BO190" i="3"/>
  <c r="BS190" i="3"/>
  <c r="BW190" i="3"/>
  <c r="CA190" i="3"/>
  <c r="CI190" i="3"/>
  <c r="BD190" i="3"/>
  <c r="BH190" i="3"/>
  <c r="BL190" i="3"/>
  <c r="BP190" i="3"/>
  <c r="BT190" i="3"/>
  <c r="BX190" i="3"/>
  <c r="CB190" i="3"/>
  <c r="CF190" i="3"/>
  <c r="CJ190" i="3"/>
  <c r="BI190" i="3"/>
  <c r="BU190" i="3"/>
  <c r="CC190" i="3"/>
  <c r="BB190" i="3"/>
  <c r="CH190" i="3"/>
  <c r="BE189" i="3"/>
  <c r="BM189" i="3"/>
  <c r="BU189" i="3"/>
  <c r="CC189" i="3"/>
  <c r="BF189" i="3"/>
  <c r="BJ189" i="3"/>
  <c r="BR189" i="3"/>
  <c r="BZ189" i="3"/>
  <c r="CD189" i="3"/>
  <c r="BC189" i="3"/>
  <c r="BK189" i="3"/>
  <c r="BO189" i="3"/>
  <c r="BS189" i="3"/>
  <c r="CA189" i="3"/>
  <c r="CE189" i="3"/>
  <c r="BD189" i="3"/>
  <c r="BH189" i="3"/>
  <c r="BL189" i="3"/>
  <c r="BP189" i="3"/>
  <c r="BT189" i="3"/>
  <c r="BX189" i="3"/>
  <c r="CB189" i="3"/>
  <c r="CF189" i="3"/>
  <c r="CJ189" i="3"/>
  <c r="BI189" i="3"/>
  <c r="BQ189" i="3"/>
  <c r="BY189" i="3"/>
  <c r="CG189" i="3"/>
  <c r="BB189" i="3"/>
  <c r="BN189" i="3"/>
  <c r="BV189" i="3"/>
  <c r="CH189" i="3"/>
  <c r="BG189" i="3"/>
  <c r="BW189" i="3"/>
  <c r="BE188" i="3"/>
  <c r="BQ188" i="3"/>
  <c r="BY188" i="3"/>
  <c r="CG188" i="3"/>
  <c r="BB188" i="3"/>
  <c r="BF188" i="3"/>
  <c r="BJ188" i="3"/>
  <c r="BN188" i="3"/>
  <c r="BR188" i="3"/>
  <c r="BV188" i="3"/>
  <c r="BZ188" i="3"/>
  <c r="CD188" i="3"/>
  <c r="CH188" i="3"/>
  <c r="BI188" i="3"/>
  <c r="BM188" i="3"/>
  <c r="BU188" i="3"/>
  <c r="CC188" i="3"/>
  <c r="BC188" i="3"/>
  <c r="BG188" i="3"/>
  <c r="BK188" i="3"/>
  <c r="BO188" i="3"/>
  <c r="BS188" i="3"/>
  <c r="BW188" i="3"/>
  <c r="CA188" i="3"/>
  <c r="CE188" i="3"/>
  <c r="BD187" i="3"/>
  <c r="BH187" i="3"/>
  <c r="BL187" i="3"/>
  <c r="BP187" i="3"/>
  <c r="BT187" i="3"/>
  <c r="BX187" i="3"/>
  <c r="CB187" i="3"/>
  <c r="CF187" i="3"/>
  <c r="CJ187" i="3"/>
  <c r="BI187" i="3"/>
  <c r="BU187" i="3"/>
  <c r="BF187" i="3"/>
  <c r="BR187" i="3"/>
  <c r="CH187" i="3"/>
  <c r="BE187" i="3"/>
  <c r="BM187" i="3"/>
  <c r="BQ187" i="3"/>
  <c r="BY187" i="3"/>
  <c r="CC187" i="3"/>
  <c r="CG187" i="3"/>
  <c r="BB187" i="3"/>
  <c r="BJ187" i="3"/>
  <c r="BN187" i="3"/>
  <c r="BV187" i="3"/>
  <c r="BZ187" i="3"/>
  <c r="CD187" i="3"/>
  <c r="BC187" i="3"/>
  <c r="BG187" i="3"/>
  <c r="BK187" i="3"/>
  <c r="BO187" i="3"/>
  <c r="BS187" i="3"/>
  <c r="BW187" i="3"/>
  <c r="CA187" i="3"/>
  <c r="CE187" i="3"/>
  <c r="I288" i="2"/>
  <c r="I60" i="9" l="1"/>
  <c r="AP323" i="2"/>
  <c r="AQ323" i="2"/>
  <c r="CD31" i="9"/>
  <c r="B136" i="3"/>
  <c r="B137" i="3" s="1"/>
  <c r="B138" i="3" s="1"/>
  <c r="B139" i="3" s="1"/>
  <c r="B140" i="3" s="1"/>
  <c r="B141" i="3" s="1"/>
  <c r="B144" i="3"/>
  <c r="CE31" i="9"/>
  <c r="BM204" i="3"/>
  <c r="N204" i="3"/>
  <c r="I88" i="9" s="1"/>
  <c r="G88" i="9" s="1"/>
  <c r="CD30" i="9"/>
  <c r="U323" i="2"/>
  <c r="V323" i="2"/>
  <c r="AR323" i="2"/>
  <c r="AF323" i="2"/>
  <c r="AM323" i="2"/>
  <c r="AB323" i="2"/>
  <c r="AS323" i="2"/>
  <c r="BG215" i="3"/>
  <c r="BC215" i="3"/>
  <c r="BB215" i="3"/>
  <c r="DU206" i="3"/>
  <c r="DU215" i="3" s="1"/>
  <c r="AP89" i="9" s="1"/>
  <c r="BJ215" i="3"/>
  <c r="DE206" i="3"/>
  <c r="DE215" i="3" s="1"/>
  <c r="Z89" i="9" s="1"/>
  <c r="BW215" i="3"/>
  <c r="CD215" i="3"/>
  <c r="BX215" i="3"/>
  <c r="BZ215" i="3"/>
  <c r="CS206" i="3"/>
  <c r="CS215" i="3" s="1"/>
  <c r="N89" i="9" s="1"/>
  <c r="CT206" i="3"/>
  <c r="CT215" i="3" s="1"/>
  <c r="O89" i="9" s="1"/>
  <c r="BD215" i="3"/>
  <c r="CZ206" i="3"/>
  <c r="CZ215" i="3" s="1"/>
  <c r="U89" i="9" s="1"/>
  <c r="DN206" i="3"/>
  <c r="DN215" i="3" s="1"/>
  <c r="AI89" i="9" s="1"/>
  <c r="CH215" i="3"/>
  <c r="BP215" i="3"/>
  <c r="BL215" i="3"/>
  <c r="CE215" i="3"/>
  <c r="DD206" i="3"/>
  <c r="DD215" i="3" s="1"/>
  <c r="Y89" i="9" s="1"/>
  <c r="AG289" i="2"/>
  <c r="I59" i="9"/>
  <c r="BR215" i="3"/>
  <c r="DB206" i="3"/>
  <c r="DB215" i="3" s="1"/>
  <c r="W89" i="9" s="1"/>
  <c r="DI206" i="3"/>
  <c r="DI215" i="3" s="1"/>
  <c r="AD89" i="9" s="1"/>
  <c r="BS215" i="3"/>
  <c r="BP204" i="3"/>
  <c r="BT204" i="3"/>
  <c r="BL204" i="3"/>
  <c r="BD204" i="3"/>
  <c r="CS196" i="3"/>
  <c r="CS204" i="3" s="1"/>
  <c r="N88" i="9" s="1"/>
  <c r="BR204" i="3"/>
  <c r="BY204" i="3"/>
  <c r="BW204" i="3"/>
  <c r="CB204" i="3"/>
  <c r="BV204" i="3"/>
  <c r="CJ204" i="3"/>
  <c r="BC204" i="3"/>
  <c r="CI204" i="3"/>
  <c r="BE204" i="3"/>
  <c r="AK289" i="2"/>
  <c r="R289" i="2"/>
  <c r="O289" i="2"/>
  <c r="Q289" i="2"/>
  <c r="BB204" i="3"/>
  <c r="BX204" i="3"/>
  <c r="CU196" i="3"/>
  <c r="CU204" i="3" s="1"/>
  <c r="P88" i="9" s="1"/>
  <c r="CD204" i="3"/>
  <c r="BK204" i="3"/>
  <c r="CA204" i="3"/>
  <c r="DG196" i="3"/>
  <c r="DG204" i="3" s="1"/>
  <c r="AB88" i="9" s="1"/>
  <c r="DP206" i="3"/>
  <c r="DP215" i="3" s="1"/>
  <c r="AK89" i="9" s="1"/>
  <c r="DJ206" i="3"/>
  <c r="DJ215" i="3" s="1"/>
  <c r="AE89" i="9" s="1"/>
  <c r="BQ204" i="3"/>
  <c r="BZ204" i="3"/>
  <c r="DS196" i="3"/>
  <c r="DS204" i="3" s="1"/>
  <c r="AN88" i="9" s="1"/>
  <c r="BH204" i="3"/>
  <c r="CC204" i="3"/>
  <c r="BN204" i="3"/>
  <c r="CH204" i="3"/>
  <c r="BO204" i="3"/>
  <c r="CE204" i="3"/>
  <c r="CV196" i="3"/>
  <c r="CV204" i="3" s="1"/>
  <c r="Q88" i="9" s="1"/>
  <c r="BN215" i="3"/>
  <c r="BF204" i="3"/>
  <c r="DT206" i="3"/>
  <c r="DT215" i="3" s="1"/>
  <c r="AO89" i="9" s="1"/>
  <c r="BH215" i="3"/>
  <c r="DH196" i="3"/>
  <c r="DH204" i="3" s="1"/>
  <c r="AC88" i="9" s="1"/>
  <c r="CI215" i="3"/>
  <c r="CB215" i="3"/>
  <c r="DL196" i="3"/>
  <c r="DL204" i="3" s="1"/>
  <c r="AG88" i="9" s="1"/>
  <c r="CO206" i="3"/>
  <c r="CO215" i="3" s="1"/>
  <c r="L89" i="9" s="1"/>
  <c r="CP206" i="3"/>
  <c r="CP215" i="3" s="1"/>
  <c r="CX206" i="3"/>
  <c r="CX215" i="3" s="1"/>
  <c r="S89" i="9" s="1"/>
  <c r="DQ206" i="3"/>
  <c r="DQ215" i="3" s="1"/>
  <c r="AL89" i="9" s="1"/>
  <c r="DR206" i="3"/>
  <c r="DR215" i="3" s="1"/>
  <c r="AM89" i="9" s="1"/>
  <c r="CF215" i="3"/>
  <c r="BO215" i="3"/>
  <c r="DA206" i="3"/>
  <c r="DA215" i="3" s="1"/>
  <c r="V89" i="9" s="1"/>
  <c r="CV206" i="3"/>
  <c r="CV215" i="3" s="1"/>
  <c r="Q89" i="9" s="1"/>
  <c r="CN206" i="3"/>
  <c r="CN215" i="3" s="1"/>
  <c r="K89" i="9" s="1"/>
  <c r="DL206" i="3"/>
  <c r="DL215" i="3" s="1"/>
  <c r="AG89" i="9" s="1"/>
  <c r="BT215" i="3"/>
  <c r="DF206" i="3"/>
  <c r="DF215" i="3" s="1"/>
  <c r="AA89" i="9" s="1"/>
  <c r="BG204" i="3"/>
  <c r="CW206" i="3"/>
  <c r="CW215" i="3" s="1"/>
  <c r="R89" i="9" s="1"/>
  <c r="BK215" i="3"/>
  <c r="CA215" i="3"/>
  <c r="DM206" i="3"/>
  <c r="DM215" i="3" s="1"/>
  <c r="AH89" i="9" s="1"/>
  <c r="CJ215" i="3"/>
  <c r="DV206" i="3"/>
  <c r="DV215" i="3" s="1"/>
  <c r="AQ89" i="9" s="1"/>
  <c r="BS204" i="3"/>
  <c r="DE196" i="3"/>
  <c r="DE204" i="3" s="1"/>
  <c r="Z88" i="9" s="1"/>
  <c r="BU215" i="3"/>
  <c r="DG206" i="3"/>
  <c r="DG215" i="3" s="1"/>
  <c r="AB89" i="9" s="1"/>
  <c r="BV215" i="3"/>
  <c r="DH206" i="3"/>
  <c r="DH215" i="3" s="1"/>
  <c r="AC89" i="9" s="1"/>
  <c r="BF215" i="3"/>
  <c r="CR206" i="3"/>
  <c r="CR215" i="3" s="1"/>
  <c r="M89" i="9" s="1"/>
  <c r="CC215" i="3"/>
  <c r="DO206" i="3"/>
  <c r="DO215" i="3" s="1"/>
  <c r="AJ89" i="9" s="1"/>
  <c r="BM215" i="3"/>
  <c r="CY206" i="3"/>
  <c r="CY215" i="3" s="1"/>
  <c r="T89" i="9" s="1"/>
  <c r="BY215" i="3"/>
  <c r="DK206" i="3"/>
  <c r="DK215" i="3" s="1"/>
  <c r="AF89" i="9" s="1"/>
  <c r="BI215" i="3"/>
  <c r="CU206" i="3"/>
  <c r="CU215" i="3" s="1"/>
  <c r="P89" i="9" s="1"/>
  <c r="BE215" i="3"/>
  <c r="CQ206" i="3"/>
  <c r="CQ215" i="3" s="1"/>
  <c r="CG215" i="3"/>
  <c r="DS206" i="3"/>
  <c r="DS215" i="3" s="1"/>
  <c r="AN89" i="9" s="1"/>
  <c r="BQ215" i="3"/>
  <c r="DC206" i="3"/>
  <c r="DC215" i="3" s="1"/>
  <c r="X89" i="9" s="1"/>
  <c r="CF204" i="3"/>
  <c r="DR196" i="3"/>
  <c r="DR204" i="3" s="1"/>
  <c r="AM88" i="9" s="1"/>
  <c r="K289" i="2"/>
  <c r="P289" i="2"/>
  <c r="P323" i="2"/>
  <c r="K323" i="2"/>
  <c r="AO323" i="2"/>
  <c r="AB289" i="2"/>
  <c r="AN323" i="2"/>
  <c r="L323" i="2"/>
  <c r="W323" i="2"/>
  <c r="Y323" i="2"/>
  <c r="AS289" i="2"/>
  <c r="AQ289" i="2"/>
  <c r="M289" i="2"/>
  <c r="AM289" i="2"/>
  <c r="AF289" i="2"/>
  <c r="Z289" i="2"/>
  <c r="AA289" i="2"/>
  <c r="AC289" i="2"/>
  <c r="V289" i="2"/>
  <c r="L289" i="2"/>
  <c r="AJ289" i="2"/>
  <c r="AH289" i="2"/>
  <c r="AE289" i="2"/>
  <c r="AU289" i="2"/>
  <c r="U289" i="2"/>
  <c r="AR289" i="2"/>
  <c r="T289" i="2"/>
  <c r="AT289" i="2"/>
  <c r="AL289" i="2"/>
  <c r="AI289" i="2"/>
  <c r="AP289" i="2"/>
  <c r="AO289" i="2"/>
  <c r="Y289" i="2"/>
  <c r="N289" i="2"/>
  <c r="S289" i="2"/>
  <c r="X289" i="2"/>
  <c r="AN289" i="2"/>
  <c r="AD289" i="2"/>
  <c r="W289" i="2"/>
  <c r="AT323" i="2"/>
  <c r="X323" i="2"/>
  <c r="Z323" i="2"/>
  <c r="AA323" i="2"/>
  <c r="AK323" i="2"/>
  <c r="N323" i="2"/>
  <c r="AH323" i="2"/>
  <c r="O323" i="2"/>
  <c r="AE323" i="2"/>
  <c r="AD323" i="2"/>
  <c r="AG323" i="2"/>
  <c r="Q323" i="2"/>
  <c r="AJ323" i="2"/>
  <c r="T323" i="2"/>
  <c r="R323" i="2"/>
  <c r="AL323" i="2"/>
  <c r="S323" i="2"/>
  <c r="AI323" i="2"/>
  <c r="AU323" i="2"/>
  <c r="AC323" i="2"/>
  <c r="S31" i="9" l="1"/>
  <c r="T31" i="9"/>
  <c r="AK31" i="9"/>
  <c r="Z31" i="9"/>
  <c r="AA31" i="9"/>
  <c r="Y31" i="9"/>
  <c r="O31" i="9"/>
  <c r="AP31" i="9"/>
  <c r="AD31" i="9"/>
  <c r="Q31" i="9"/>
  <c r="L31" i="9"/>
  <c r="W31" i="9"/>
  <c r="AN31" i="9"/>
  <c r="P31" i="9"/>
  <c r="M31" i="9"/>
  <c r="AB31" i="9"/>
  <c r="AQ31" i="9"/>
  <c r="V31" i="9"/>
  <c r="AL31" i="9"/>
  <c r="AI31" i="9"/>
  <c r="N31" i="9"/>
  <c r="R31" i="9"/>
  <c r="AG31" i="9"/>
  <c r="AO31" i="9"/>
  <c r="U31" i="9"/>
  <c r="AM31" i="9"/>
  <c r="X31" i="9"/>
  <c r="AF31" i="9"/>
  <c r="AJ31" i="9"/>
  <c r="AC31" i="9"/>
  <c r="AH31" i="9"/>
  <c r="K31" i="9"/>
  <c r="AE31" i="9"/>
  <c r="H60" i="9"/>
  <c r="H31" i="9" s="1"/>
  <c r="G60" i="9"/>
  <c r="G31" i="9" s="1"/>
  <c r="I31" i="9" s="1"/>
  <c r="B145" i="3"/>
  <c r="B146" i="3" s="1"/>
  <c r="B147" i="3" s="1"/>
  <c r="B148" i="3" s="1"/>
  <c r="B149" i="3" s="1"/>
  <c r="B150" i="3" s="1"/>
  <c r="B153" i="3"/>
  <c r="CY196" i="3"/>
  <c r="CY204" i="3" s="1"/>
  <c r="T88" i="9" s="1"/>
  <c r="T30" i="9" s="1"/>
  <c r="CQ196" i="3"/>
  <c r="CQ204" i="3" s="1"/>
  <c r="DK196" i="3"/>
  <c r="DK204" i="3" s="1"/>
  <c r="AF88" i="9" s="1"/>
  <c r="AF30" i="9" s="1"/>
  <c r="DO196" i="3"/>
  <c r="DO204" i="3" s="1"/>
  <c r="AJ88" i="9" s="1"/>
  <c r="AJ30" i="9" s="1"/>
  <c r="BU204" i="3"/>
  <c r="BI204" i="3"/>
  <c r="DC196" i="3"/>
  <c r="DC204" i="3" s="1"/>
  <c r="X88" i="9" s="1"/>
  <c r="X30" i="9" s="1"/>
  <c r="DQ196" i="3"/>
  <c r="DQ204" i="3" s="1"/>
  <c r="AL88" i="9" s="1"/>
  <c r="AL30" i="9" s="1"/>
  <c r="CZ196" i="3"/>
  <c r="CZ204" i="3" s="1"/>
  <c r="U88" i="9" s="1"/>
  <c r="U30" i="9" s="1"/>
  <c r="DF196" i="3"/>
  <c r="DF204" i="3" s="1"/>
  <c r="AA88" i="9" s="1"/>
  <c r="AA30" i="9" s="1"/>
  <c r="DT196" i="3"/>
  <c r="DT204" i="3" s="1"/>
  <c r="AO88" i="9" s="1"/>
  <c r="AO30" i="9" s="1"/>
  <c r="AB30" i="9"/>
  <c r="AG30" i="9"/>
  <c r="AN30" i="9"/>
  <c r="Z30" i="9"/>
  <c r="CG204" i="3"/>
  <c r="DA196" i="3"/>
  <c r="DA204" i="3" s="1"/>
  <c r="V88" i="9" s="1"/>
  <c r="V30" i="9" s="1"/>
  <c r="DP196" i="3"/>
  <c r="DP204" i="3" s="1"/>
  <c r="AK88" i="9" s="1"/>
  <c r="AK30" i="9" s="1"/>
  <c r="DD196" i="3"/>
  <c r="DD204" i="3" s="1"/>
  <c r="Y88" i="9" s="1"/>
  <c r="Y30" i="9" s="1"/>
  <c r="DM196" i="3"/>
  <c r="DM204" i="3" s="1"/>
  <c r="AH88" i="9" s="1"/>
  <c r="AH30" i="9" s="1"/>
  <c r="AM30" i="9"/>
  <c r="DN196" i="3"/>
  <c r="DN204" i="3" s="1"/>
  <c r="AI88" i="9" s="1"/>
  <c r="AI30" i="9" s="1"/>
  <c r="DJ196" i="3"/>
  <c r="DJ204" i="3" s="1"/>
  <c r="AE88" i="9" s="1"/>
  <c r="AE30" i="9" s="1"/>
  <c r="DB196" i="3"/>
  <c r="DB204" i="3" s="1"/>
  <c r="W88" i="9" s="1"/>
  <c r="W30" i="9" s="1"/>
  <c r="DU196" i="3"/>
  <c r="DU204" i="3" s="1"/>
  <c r="AP88" i="9" s="1"/>
  <c r="AP30" i="9" s="1"/>
  <c r="CW196" i="3"/>
  <c r="CW204" i="3" s="1"/>
  <c r="R88" i="9" s="1"/>
  <c r="R30" i="9" s="1"/>
  <c r="CR196" i="3"/>
  <c r="CR204" i="3" s="1"/>
  <c r="M88" i="9" s="1"/>
  <c r="M30" i="9" s="1"/>
  <c r="N30" i="9"/>
  <c r="CN196" i="3"/>
  <c r="CN204" i="3" s="1"/>
  <c r="K88" i="9" s="1"/>
  <c r="K30" i="9" s="1"/>
  <c r="P30" i="9"/>
  <c r="CO196" i="3"/>
  <c r="CO204" i="3" s="1"/>
  <c r="L88" i="9" s="1"/>
  <c r="L30" i="9" s="1"/>
  <c r="CX196" i="3"/>
  <c r="CX204" i="3" s="1"/>
  <c r="S88" i="9" s="1"/>
  <c r="S30" i="9" s="1"/>
  <c r="CP196" i="3"/>
  <c r="CP204" i="3" s="1"/>
  <c r="CT196" i="3"/>
  <c r="CT204" i="3" s="1"/>
  <c r="O88" i="9" s="1"/>
  <c r="O30" i="9" s="1"/>
  <c r="DV196" i="3"/>
  <c r="DV204" i="3" s="1"/>
  <c r="AQ88" i="9" s="1"/>
  <c r="AQ30" i="9" s="1"/>
  <c r="DI196" i="3"/>
  <c r="DI204" i="3" s="1"/>
  <c r="AD88" i="9" s="1"/>
  <c r="AD30" i="9" s="1"/>
  <c r="BJ204" i="3"/>
  <c r="Q30" i="9"/>
  <c r="AC30" i="9"/>
  <c r="H59" i="9"/>
  <c r="H30" i="9" s="1"/>
  <c r="G59" i="9"/>
  <c r="G30" i="9" s="1"/>
  <c r="I30" i="9" s="1"/>
  <c r="B154" i="3" l="1"/>
  <c r="B155" i="3" s="1"/>
  <c r="B156" i="3" s="1"/>
  <c r="B157" i="3" s="1"/>
  <c r="B158" i="3" s="1"/>
  <c r="B159" i="3" s="1"/>
  <c r="B162" i="3"/>
  <c r="H973" i="6"/>
  <c r="H972" i="6"/>
  <c r="H971" i="6"/>
  <c r="H970" i="6"/>
  <c r="H967" i="6"/>
  <c r="H966" i="6"/>
  <c r="H965" i="6"/>
  <c r="H964" i="6"/>
  <c r="H961" i="6"/>
  <c r="H960" i="6"/>
  <c r="H959" i="6"/>
  <c r="H958" i="6"/>
  <c r="H955" i="6"/>
  <c r="H954" i="6"/>
  <c r="H953" i="6"/>
  <c r="H952" i="6"/>
  <c r="H949" i="6"/>
  <c r="H948" i="6"/>
  <c r="H947" i="6"/>
  <c r="H946" i="6"/>
  <c r="H943" i="6"/>
  <c r="H942" i="6"/>
  <c r="H941" i="6"/>
  <c r="H940" i="6"/>
  <c r="H937" i="6"/>
  <c r="H936" i="6"/>
  <c r="H935" i="6"/>
  <c r="H934" i="6"/>
  <c r="H931" i="6"/>
  <c r="H930" i="6"/>
  <c r="H929" i="6"/>
  <c r="H928" i="6"/>
  <c r="H925" i="6"/>
  <c r="H924" i="6"/>
  <c r="H923" i="6"/>
  <c r="H922" i="6"/>
  <c r="H919" i="6"/>
  <c r="H918" i="6"/>
  <c r="H917" i="6"/>
  <c r="H916" i="6"/>
  <c r="H913" i="6"/>
  <c r="H912" i="6"/>
  <c r="H911" i="6"/>
  <c r="H910" i="6"/>
  <c r="H907" i="6"/>
  <c r="H906" i="6"/>
  <c r="H905" i="6"/>
  <c r="H904" i="6"/>
  <c r="H901" i="6"/>
  <c r="H900" i="6"/>
  <c r="H899" i="6"/>
  <c r="H898" i="6"/>
  <c r="H895" i="6"/>
  <c r="H894" i="6"/>
  <c r="H893" i="6"/>
  <c r="H892" i="6"/>
  <c r="H889" i="6"/>
  <c r="H888" i="6"/>
  <c r="H887" i="6"/>
  <c r="H886" i="6"/>
  <c r="H883" i="6"/>
  <c r="H882" i="6"/>
  <c r="H881" i="6"/>
  <c r="H880" i="6"/>
  <c r="H877" i="6"/>
  <c r="H876" i="6"/>
  <c r="H875" i="6"/>
  <c r="H874" i="6"/>
  <c r="H870" i="6"/>
  <c r="H869" i="6"/>
  <c r="H868" i="6"/>
  <c r="H865" i="6"/>
  <c r="H864" i="6"/>
  <c r="H863" i="6"/>
  <c r="H862" i="6"/>
  <c r="H859" i="6"/>
  <c r="H858" i="6"/>
  <c r="H857" i="6"/>
  <c r="H856" i="6"/>
  <c r="H853" i="6"/>
  <c r="H852" i="6"/>
  <c r="H851" i="6"/>
  <c r="H850" i="6"/>
  <c r="H847" i="6"/>
  <c r="H846" i="6"/>
  <c r="H845" i="6"/>
  <c r="H844" i="6"/>
  <c r="H841" i="6"/>
  <c r="H840" i="6"/>
  <c r="H839" i="6"/>
  <c r="H838" i="6"/>
  <c r="H835" i="6"/>
  <c r="H834" i="6"/>
  <c r="H833" i="6"/>
  <c r="H832" i="6"/>
  <c r="H829" i="6"/>
  <c r="H828" i="6"/>
  <c r="H827" i="6"/>
  <c r="H826" i="6"/>
  <c r="H822" i="6"/>
  <c r="H821" i="6"/>
  <c r="H820" i="6"/>
  <c r="H817" i="6"/>
  <c r="H816" i="6"/>
  <c r="H815" i="6"/>
  <c r="H814" i="6"/>
  <c r="H811" i="6"/>
  <c r="H810" i="6"/>
  <c r="H809" i="6"/>
  <c r="H808" i="6"/>
  <c r="CA57" i="9"/>
  <c r="BZ57" i="9"/>
  <c r="BY57" i="9"/>
  <c r="BX57" i="9"/>
  <c r="BW57" i="9"/>
  <c r="BV57" i="9"/>
  <c r="BU57" i="9"/>
  <c r="BT57" i="9"/>
  <c r="BS57" i="9"/>
  <c r="BR57" i="9"/>
  <c r="BQ57" i="9"/>
  <c r="BP57" i="9"/>
  <c r="BO57" i="9"/>
  <c r="BN57" i="9"/>
  <c r="BM57" i="9"/>
  <c r="BL57" i="9"/>
  <c r="BK57" i="9"/>
  <c r="BJ57" i="9"/>
  <c r="BI57" i="9"/>
  <c r="BH57" i="9"/>
  <c r="BG57" i="9"/>
  <c r="BF57" i="9"/>
  <c r="BE57" i="9"/>
  <c r="BD57" i="9"/>
  <c r="BC57" i="9"/>
  <c r="BB57" i="9"/>
  <c r="BA57" i="9"/>
  <c r="D57" i="9"/>
  <c r="C57" i="9"/>
  <c r="B57" i="9"/>
  <c r="B28" i="9" s="1"/>
  <c r="B163" i="3" l="1"/>
  <c r="B164" i="3" s="1"/>
  <c r="B165" i="3" s="1"/>
  <c r="B166" i="3" s="1"/>
  <c r="B167" i="3" s="1"/>
  <c r="B168" i="3" s="1"/>
  <c r="H818" i="6"/>
  <c r="I818" i="6" s="1"/>
  <c r="H872" i="6"/>
  <c r="I872" i="6" s="1"/>
  <c r="H212" i="2" s="1"/>
  <c r="H884" i="6"/>
  <c r="I884" i="6" s="1"/>
  <c r="H896" i="6"/>
  <c r="I896" i="6" s="1"/>
  <c r="O895" i="6" s="1"/>
  <c r="H902" i="6"/>
  <c r="I902" i="6" s="1"/>
  <c r="L901" i="6" s="1"/>
  <c r="H908" i="6"/>
  <c r="I908" i="6" s="1"/>
  <c r="H920" i="6"/>
  <c r="I920" i="6" s="1"/>
  <c r="O919" i="6" s="1"/>
  <c r="H932" i="6"/>
  <c r="I932" i="6" s="1"/>
  <c r="N931" i="6" s="1"/>
  <c r="H812" i="6"/>
  <c r="I812" i="6" s="1"/>
  <c r="N811" i="6" s="1"/>
  <c r="H866" i="6"/>
  <c r="I866" i="6" s="1"/>
  <c r="O865" i="6" s="1"/>
  <c r="H878" i="6"/>
  <c r="I878" i="6" s="1"/>
  <c r="M877" i="6" s="1"/>
  <c r="H890" i="6"/>
  <c r="I890" i="6" s="1"/>
  <c r="L889" i="6" s="1"/>
  <c r="H830" i="6"/>
  <c r="I830" i="6" s="1"/>
  <c r="H848" i="6"/>
  <c r="I848" i="6" s="1"/>
  <c r="M847" i="6" s="1"/>
  <c r="H938" i="6"/>
  <c r="I938" i="6" s="1"/>
  <c r="N937" i="6" s="1"/>
  <c r="H944" i="6"/>
  <c r="I944" i="6" s="1"/>
  <c r="H962" i="6"/>
  <c r="I962" i="6" s="1"/>
  <c r="N961" i="6" s="1"/>
  <c r="H968" i="6"/>
  <c r="I968" i="6" s="1"/>
  <c r="H974" i="6"/>
  <c r="I974" i="6" s="1"/>
  <c r="M973" i="6" s="1"/>
  <c r="H860" i="6"/>
  <c r="I860" i="6" s="1"/>
  <c r="H842" i="6"/>
  <c r="H956" i="6"/>
  <c r="I956" i="6" s="1"/>
  <c r="H229" i="2" s="1"/>
  <c r="CC57" i="9"/>
  <c r="CE57" i="9" s="1"/>
  <c r="H950" i="6"/>
  <c r="I950" i="6" s="1"/>
  <c r="H926" i="6"/>
  <c r="I926" i="6" s="1"/>
  <c r="K925" i="6" s="1"/>
  <c r="H914" i="6"/>
  <c r="I914" i="6" s="1"/>
  <c r="M913" i="6" s="1"/>
  <c r="H854" i="6"/>
  <c r="I854" i="6" s="1"/>
  <c r="M853" i="6" s="1"/>
  <c r="H836" i="6"/>
  <c r="I836" i="6" s="1"/>
  <c r="M835" i="6" s="1"/>
  <c r="L961" i="6"/>
  <c r="M895" i="6"/>
  <c r="K931" i="6"/>
  <c r="L931" i="6"/>
  <c r="N883" i="6"/>
  <c r="H824" i="6"/>
  <c r="I824" i="6" s="1"/>
  <c r="M823" i="6" s="1"/>
  <c r="AZ194" i="3"/>
  <c r="CA87" i="9" s="1"/>
  <c r="CA29" i="9" s="1"/>
  <c r="AY194" i="3"/>
  <c r="BZ87" i="9" s="1"/>
  <c r="BZ29" i="9" s="1"/>
  <c r="AV194" i="3"/>
  <c r="BY87" i="9" s="1"/>
  <c r="BY29" i="9" s="1"/>
  <c r="AU194" i="3"/>
  <c r="BX87" i="9" s="1"/>
  <c r="BX29" i="9" s="1"/>
  <c r="AT194" i="3"/>
  <c r="BW87" i="9" s="1"/>
  <c r="BW29" i="9" s="1"/>
  <c r="AS194" i="3"/>
  <c r="BV87" i="9" s="1"/>
  <c r="BV29" i="9" s="1"/>
  <c r="AR194" i="3"/>
  <c r="BU87" i="9" s="1"/>
  <c r="BU29" i="9" s="1"/>
  <c r="AQ194" i="3"/>
  <c r="BT87" i="9" s="1"/>
  <c r="BT29" i="9" s="1"/>
  <c r="AP194" i="3"/>
  <c r="BS87" i="9" s="1"/>
  <c r="BS29" i="9" s="1"/>
  <c r="AO194" i="3"/>
  <c r="BR87" i="9" s="1"/>
  <c r="BR29" i="9" s="1"/>
  <c r="AN194" i="3"/>
  <c r="BQ87" i="9" s="1"/>
  <c r="BQ29" i="9" s="1"/>
  <c r="AM194" i="3"/>
  <c r="BP87" i="9" s="1"/>
  <c r="BP29" i="9" s="1"/>
  <c r="AL194" i="3"/>
  <c r="BO87" i="9" s="1"/>
  <c r="BO29" i="9" s="1"/>
  <c r="AK194" i="3"/>
  <c r="BN87" i="9" s="1"/>
  <c r="BN29" i="9" s="1"/>
  <c r="AJ194" i="3"/>
  <c r="BM87" i="9" s="1"/>
  <c r="BM29" i="9" s="1"/>
  <c r="AI194" i="3"/>
  <c r="BL87" i="9" s="1"/>
  <c r="BL29" i="9" s="1"/>
  <c r="AH194" i="3"/>
  <c r="BK87" i="9" s="1"/>
  <c r="BK29" i="9" s="1"/>
  <c r="AG194" i="3"/>
  <c r="BJ87" i="9" s="1"/>
  <c r="BJ29" i="9" s="1"/>
  <c r="AF194" i="3"/>
  <c r="BI87" i="9" s="1"/>
  <c r="BI29" i="9" s="1"/>
  <c r="AE194" i="3"/>
  <c r="BH87" i="9" s="1"/>
  <c r="BH29" i="9" s="1"/>
  <c r="AD194" i="3"/>
  <c r="BG87" i="9" s="1"/>
  <c r="BG29" i="9" s="1"/>
  <c r="AC194" i="3"/>
  <c r="BF87" i="9" s="1"/>
  <c r="BF29" i="9" s="1"/>
  <c r="AB194" i="3"/>
  <c r="BE87" i="9" s="1"/>
  <c r="BE29" i="9" s="1"/>
  <c r="AA194" i="3"/>
  <c r="BD87" i="9" s="1"/>
  <c r="BD29" i="9" s="1"/>
  <c r="Z194" i="3"/>
  <c r="BC87" i="9" s="1"/>
  <c r="BC29" i="9" s="1"/>
  <c r="Y194" i="3"/>
  <c r="BB87" i="9" s="1"/>
  <c r="BB29" i="9" s="1"/>
  <c r="X194" i="3"/>
  <c r="BA87" i="9" s="1"/>
  <c r="BA29" i="9" s="1"/>
  <c r="W194" i="3"/>
  <c r="AZ87" i="9" s="1"/>
  <c r="AZ29" i="9" s="1"/>
  <c r="V194" i="3"/>
  <c r="AY87" i="9" s="1"/>
  <c r="AY29" i="9" s="1"/>
  <c r="U194" i="3"/>
  <c r="AX87" i="9" s="1"/>
  <c r="AX29" i="9" s="1"/>
  <c r="T194" i="3"/>
  <c r="AW87" i="9" s="1"/>
  <c r="AW29" i="9" s="1"/>
  <c r="S194" i="3"/>
  <c r="AV87" i="9" s="1"/>
  <c r="AV29" i="9" s="1"/>
  <c r="R194" i="3"/>
  <c r="AU87" i="9" s="1"/>
  <c r="AU29" i="9" s="1"/>
  <c r="Q194" i="3"/>
  <c r="AT87" i="9" s="1"/>
  <c r="AT29" i="9" s="1"/>
  <c r="P194" i="3"/>
  <c r="AS87" i="9" s="1"/>
  <c r="E194" i="3"/>
  <c r="D87" i="9" s="1"/>
  <c r="D194" i="3"/>
  <c r="C87" i="9" s="1"/>
  <c r="C29" i="9" s="1"/>
  <c r="N193" i="3"/>
  <c r="M193" i="3"/>
  <c r="N186" i="3"/>
  <c r="M186" i="3"/>
  <c r="FF185" i="3"/>
  <c r="FE185" i="3"/>
  <c r="FD185" i="3"/>
  <c r="FC185" i="3"/>
  <c r="FB185" i="3"/>
  <c r="FA185" i="3"/>
  <c r="EZ185" i="3"/>
  <c r="EY185" i="3"/>
  <c r="EX185" i="3"/>
  <c r="EW185" i="3"/>
  <c r="EV185" i="3"/>
  <c r="EU185" i="3"/>
  <c r="ET185" i="3"/>
  <c r="ES185" i="3"/>
  <c r="ER185" i="3"/>
  <c r="EQ185" i="3"/>
  <c r="EP185" i="3"/>
  <c r="EO185" i="3"/>
  <c r="EN185" i="3"/>
  <c r="EM185" i="3"/>
  <c r="EL185" i="3"/>
  <c r="EK185" i="3"/>
  <c r="EJ185" i="3"/>
  <c r="EI185" i="3"/>
  <c r="EH185" i="3"/>
  <c r="EG185" i="3"/>
  <c r="EF185" i="3"/>
  <c r="EE185" i="3"/>
  <c r="ED185" i="3"/>
  <c r="EC185" i="3"/>
  <c r="EB185" i="3"/>
  <c r="EA185" i="3"/>
  <c r="DZ185" i="3"/>
  <c r="DY185" i="3"/>
  <c r="DX185" i="3"/>
  <c r="N185" i="3"/>
  <c r="M185" i="3"/>
  <c r="FF184" i="3"/>
  <c r="FE184" i="3"/>
  <c r="FD184" i="3"/>
  <c r="FC184" i="3"/>
  <c r="FB184" i="3"/>
  <c r="FA184" i="3"/>
  <c r="EZ184" i="3"/>
  <c r="EY184" i="3"/>
  <c r="EX184" i="3"/>
  <c r="EW184" i="3"/>
  <c r="EV184" i="3"/>
  <c r="EU184" i="3"/>
  <c r="ET184" i="3"/>
  <c r="ES184" i="3"/>
  <c r="ER184" i="3"/>
  <c r="EQ184" i="3"/>
  <c r="EP184" i="3"/>
  <c r="EO184" i="3"/>
  <c r="EN184" i="3"/>
  <c r="EM184" i="3"/>
  <c r="EL184" i="3"/>
  <c r="EK184" i="3"/>
  <c r="EJ184" i="3"/>
  <c r="EI184" i="3"/>
  <c r="EH184" i="3"/>
  <c r="EG184" i="3"/>
  <c r="EF184" i="3"/>
  <c r="EE184" i="3"/>
  <c r="ED184" i="3"/>
  <c r="EC184" i="3"/>
  <c r="EB184" i="3"/>
  <c r="EA184" i="3"/>
  <c r="DZ184" i="3"/>
  <c r="DY184" i="3"/>
  <c r="DX184" i="3"/>
  <c r="N184" i="3"/>
  <c r="M184" i="3"/>
  <c r="CA86" i="9"/>
  <c r="CA28" i="9" s="1"/>
  <c r="BZ86" i="9"/>
  <c r="BZ28" i="9" s="1"/>
  <c r="BY86" i="9"/>
  <c r="BY28" i="9" s="1"/>
  <c r="BX86" i="9"/>
  <c r="BX28" i="9" s="1"/>
  <c r="BW86" i="9"/>
  <c r="BW28" i="9" s="1"/>
  <c r="BV86" i="9"/>
  <c r="BV28" i="9" s="1"/>
  <c r="BU86" i="9"/>
  <c r="BU28" i="9" s="1"/>
  <c r="BT86" i="9"/>
  <c r="BT28" i="9" s="1"/>
  <c r="BS86" i="9"/>
  <c r="BS28" i="9" s="1"/>
  <c r="BR86" i="9"/>
  <c r="BR28" i="9" s="1"/>
  <c r="BQ86" i="9"/>
  <c r="BQ28" i="9" s="1"/>
  <c r="BP86" i="9"/>
  <c r="BP28" i="9" s="1"/>
  <c r="BO86" i="9"/>
  <c r="BO28" i="9" s="1"/>
  <c r="BN86" i="9"/>
  <c r="BN28" i="9" s="1"/>
  <c r="BM86" i="9"/>
  <c r="BM28" i="9" s="1"/>
  <c r="BL86" i="9"/>
  <c r="BL28" i="9" s="1"/>
  <c r="BK86" i="9"/>
  <c r="BK28" i="9" s="1"/>
  <c r="BJ86" i="9"/>
  <c r="BJ28" i="9" s="1"/>
  <c r="BI86" i="9"/>
  <c r="BI28" i="9" s="1"/>
  <c r="BH86" i="9"/>
  <c r="BH28" i="9" s="1"/>
  <c r="BG86" i="9"/>
  <c r="BG28" i="9" s="1"/>
  <c r="BF86" i="9"/>
  <c r="BF28" i="9" s="1"/>
  <c r="BE86" i="9"/>
  <c r="BE28" i="9" s="1"/>
  <c r="BD86" i="9"/>
  <c r="BD28" i="9" s="1"/>
  <c r="BC86" i="9"/>
  <c r="BC28" i="9" s="1"/>
  <c r="BB86" i="9"/>
  <c r="BB28" i="9" s="1"/>
  <c r="BA86" i="9"/>
  <c r="BA28" i="9" s="1"/>
  <c r="AZ86" i="9"/>
  <c r="AZ28" i="9" s="1"/>
  <c r="AY86" i="9"/>
  <c r="AY28" i="9" s="1"/>
  <c r="AX86" i="9"/>
  <c r="AX28" i="9" s="1"/>
  <c r="AW86" i="9"/>
  <c r="AW28" i="9" s="1"/>
  <c r="AV86" i="9"/>
  <c r="AV28" i="9" s="1"/>
  <c r="AU86" i="9"/>
  <c r="AU28" i="9" s="1"/>
  <c r="AT86" i="9"/>
  <c r="AT28" i="9" s="1"/>
  <c r="AS86" i="9"/>
  <c r="AS28" i="9" s="1"/>
  <c r="D86" i="9"/>
  <c r="D28" i="9" s="1"/>
  <c r="C86" i="9"/>
  <c r="C28" i="9" s="1"/>
  <c r="FF179" i="3"/>
  <c r="FE179" i="3"/>
  <c r="FD179" i="3"/>
  <c r="FC179" i="3"/>
  <c r="FB179" i="3"/>
  <c r="FA179" i="3"/>
  <c r="EZ179" i="3"/>
  <c r="EY179" i="3"/>
  <c r="EX179" i="3"/>
  <c r="EW179" i="3"/>
  <c r="EV179" i="3"/>
  <c r="EU179" i="3"/>
  <c r="ET179" i="3"/>
  <c r="ES179" i="3"/>
  <c r="ER179" i="3"/>
  <c r="EQ179" i="3"/>
  <c r="EP179" i="3"/>
  <c r="EO179" i="3"/>
  <c r="EN179" i="3"/>
  <c r="EM179" i="3"/>
  <c r="EL179" i="3"/>
  <c r="EK179" i="3"/>
  <c r="EJ179" i="3"/>
  <c r="EI179" i="3"/>
  <c r="EH179" i="3"/>
  <c r="EG179" i="3"/>
  <c r="EF179" i="3"/>
  <c r="EE179" i="3"/>
  <c r="ED179" i="3"/>
  <c r="EC179" i="3"/>
  <c r="EB179" i="3"/>
  <c r="EA179" i="3"/>
  <c r="DZ179" i="3"/>
  <c r="DY179" i="3"/>
  <c r="DX179" i="3"/>
  <c r="N179" i="3"/>
  <c r="M179" i="3"/>
  <c r="N177" i="3"/>
  <c r="M177" i="3"/>
  <c r="FF176" i="3"/>
  <c r="FE176" i="3"/>
  <c r="FD176" i="3"/>
  <c r="FC176" i="3"/>
  <c r="FB176" i="3"/>
  <c r="FA176" i="3"/>
  <c r="EZ176" i="3"/>
  <c r="EY176" i="3"/>
  <c r="EX176" i="3"/>
  <c r="EW176" i="3"/>
  <c r="EV176" i="3"/>
  <c r="EU176" i="3"/>
  <c r="ET176" i="3"/>
  <c r="ES176" i="3"/>
  <c r="ER176" i="3"/>
  <c r="EQ176" i="3"/>
  <c r="EP176" i="3"/>
  <c r="EO176" i="3"/>
  <c r="EN176" i="3"/>
  <c r="EM176" i="3"/>
  <c r="EL176" i="3"/>
  <c r="EK176" i="3"/>
  <c r="EJ176" i="3"/>
  <c r="EI176" i="3"/>
  <c r="EH176" i="3"/>
  <c r="EG176" i="3"/>
  <c r="EF176" i="3"/>
  <c r="EE176" i="3"/>
  <c r="ED176" i="3"/>
  <c r="EC176" i="3"/>
  <c r="EB176" i="3"/>
  <c r="EA176" i="3"/>
  <c r="DZ176" i="3"/>
  <c r="DY176" i="3"/>
  <c r="DX176" i="3"/>
  <c r="N176" i="3"/>
  <c r="N175" i="3"/>
  <c r="CG175" i="3" s="1"/>
  <c r="M175" i="3"/>
  <c r="CC185" i="3" l="1"/>
  <c r="O931" i="6"/>
  <c r="M931" i="6"/>
  <c r="K877" i="6"/>
  <c r="L973" i="6"/>
  <c r="O877" i="6"/>
  <c r="N877" i="6"/>
  <c r="L877" i="6"/>
  <c r="M865" i="6"/>
  <c r="N895" i="6"/>
  <c r="K895" i="6"/>
  <c r="L895" i="6"/>
  <c r="L907" i="6"/>
  <c r="H218" i="2"/>
  <c r="L829" i="6"/>
  <c r="H205" i="2"/>
  <c r="L883" i="6"/>
  <c r="H214" i="2"/>
  <c r="K847" i="6"/>
  <c r="O967" i="6"/>
  <c r="H231" i="2"/>
  <c r="O817" i="6"/>
  <c r="H203" i="2"/>
  <c r="L943" i="6"/>
  <c r="H227" i="2"/>
  <c r="H257" i="2" s="1"/>
  <c r="F58" i="9" s="1"/>
  <c r="F29" i="9" s="1"/>
  <c r="K967" i="6"/>
  <c r="N967" i="6"/>
  <c r="M817" i="6"/>
  <c r="O907" i="6"/>
  <c r="N829" i="6"/>
  <c r="N817" i="6"/>
  <c r="M967" i="6"/>
  <c r="M811" i="6"/>
  <c r="L871" i="6"/>
  <c r="K811" i="6"/>
  <c r="O889" i="6"/>
  <c r="L967" i="6"/>
  <c r="N943" i="6"/>
  <c r="M907" i="6"/>
  <c r="L811" i="6"/>
  <c r="M829" i="6"/>
  <c r="K889" i="6"/>
  <c r="L853" i="6"/>
  <c r="O901" i="6"/>
  <c r="K973" i="6"/>
  <c r="O937" i="6"/>
  <c r="K817" i="6"/>
  <c r="L817" i="6"/>
  <c r="K829" i="6"/>
  <c r="O883" i="6"/>
  <c r="O943" i="6"/>
  <c r="M889" i="6"/>
  <c r="N871" i="6"/>
  <c r="N907" i="6"/>
  <c r="K901" i="6"/>
  <c r="M937" i="6"/>
  <c r="L847" i="6"/>
  <c r="K919" i="6"/>
  <c r="K961" i="6"/>
  <c r="O835" i="6"/>
  <c r="O829" i="6"/>
  <c r="K883" i="6"/>
  <c r="M883" i="6"/>
  <c r="K865" i="6"/>
  <c r="L919" i="6"/>
  <c r="K907" i="6"/>
  <c r="K943" i="6"/>
  <c r="M943" i="6"/>
  <c r="N865" i="6"/>
  <c r="M919" i="6"/>
  <c r="DX194" i="3"/>
  <c r="EB194" i="3"/>
  <c r="EF194" i="3"/>
  <c r="EJ194" i="3"/>
  <c r="EN194" i="3"/>
  <c r="ER194" i="3"/>
  <c r="EV194" i="3"/>
  <c r="EZ194" i="3"/>
  <c r="FD194" i="3"/>
  <c r="K835" i="6"/>
  <c r="L925" i="6"/>
  <c r="I842" i="6"/>
  <c r="N841" i="6" s="1"/>
  <c r="O811" i="6"/>
  <c r="O847" i="6"/>
  <c r="N835" i="6"/>
  <c r="N889" i="6"/>
  <c r="K871" i="6"/>
  <c r="L865" i="6"/>
  <c r="O925" i="6"/>
  <c r="N919" i="6"/>
  <c r="N901" i="6"/>
  <c r="M901" i="6"/>
  <c r="N973" i="6"/>
  <c r="O961" i="6"/>
  <c r="M961" i="6"/>
  <c r="L937" i="6"/>
  <c r="K853" i="6"/>
  <c r="N847" i="6"/>
  <c r="L835" i="6"/>
  <c r="O823" i="6"/>
  <c r="O871" i="6"/>
  <c r="M871" i="6"/>
  <c r="O973" i="6"/>
  <c r="K937" i="6"/>
  <c r="L913" i="6"/>
  <c r="D29" i="9"/>
  <c r="AS29" i="9"/>
  <c r="CC29" i="9" s="1"/>
  <c r="CE29" i="9" s="1"/>
  <c r="CC87" i="9"/>
  <c r="CD87" i="9" s="1"/>
  <c r="N194" i="3"/>
  <c r="CD57" i="9"/>
  <c r="DY194" i="3"/>
  <c r="EC194" i="3"/>
  <c r="EG194" i="3"/>
  <c r="EK194" i="3"/>
  <c r="EO194" i="3"/>
  <c r="ES194" i="3"/>
  <c r="EW194" i="3"/>
  <c r="FA194" i="3"/>
  <c r="FE194" i="3"/>
  <c r="DZ194" i="3"/>
  <c r="EH194" i="3"/>
  <c r="EP194" i="3"/>
  <c r="EX194" i="3"/>
  <c r="FF194" i="3"/>
  <c r="ED194" i="3"/>
  <c r="EL194" i="3"/>
  <c r="ET194" i="3"/>
  <c r="FB194" i="3"/>
  <c r="EA194" i="3"/>
  <c r="EE194" i="3"/>
  <c r="EI194" i="3"/>
  <c r="EM194" i="3"/>
  <c r="EQ194" i="3"/>
  <c r="EU194" i="3"/>
  <c r="EY194" i="3"/>
  <c r="FC194" i="3"/>
  <c r="BH193" i="3"/>
  <c r="CG28" i="9"/>
  <c r="BP186" i="3"/>
  <c r="CC86" i="9"/>
  <c r="CD86" i="9" s="1"/>
  <c r="CF28" i="9"/>
  <c r="CC28" i="9"/>
  <c r="CE28" i="9" s="1"/>
  <c r="N925" i="6"/>
  <c r="M925" i="6"/>
  <c r="K913" i="6"/>
  <c r="N913" i="6"/>
  <c r="O913" i="6"/>
  <c r="BK184" i="3"/>
  <c r="CE193" i="3"/>
  <c r="BX186" i="3"/>
  <c r="BC186" i="3"/>
  <c r="BG186" i="3"/>
  <c r="BO186" i="3"/>
  <c r="BS186" i="3"/>
  <c r="CA186" i="3"/>
  <c r="CE186" i="3"/>
  <c r="CI186" i="3"/>
  <c r="BS184" i="3"/>
  <c r="BH186" i="3"/>
  <c r="BX193" i="3"/>
  <c r="BC184" i="3"/>
  <c r="CI184" i="3"/>
  <c r="BP193" i="3"/>
  <c r="BC193" i="3"/>
  <c r="BS193" i="3"/>
  <c r="BG193" i="3"/>
  <c r="CA193" i="3"/>
  <c r="CI193" i="3"/>
  <c r="BW184" i="3"/>
  <c r="CA184" i="3"/>
  <c r="BO193" i="3"/>
  <c r="BG184" i="3"/>
  <c r="CJ184" i="3"/>
  <c r="CD184" i="3"/>
  <c r="BV184" i="3"/>
  <c r="BN184" i="3"/>
  <c r="BF184" i="3"/>
  <c r="CH184" i="3"/>
  <c r="BZ184" i="3"/>
  <c r="BR184" i="3"/>
  <c r="BJ184" i="3"/>
  <c r="BB184" i="3"/>
  <c r="BO184" i="3"/>
  <c r="CE184" i="3"/>
  <c r="BD177" i="3"/>
  <c r="BH177" i="3"/>
  <c r="BL177" i="3"/>
  <c r="BP177" i="3"/>
  <c r="BT177" i="3"/>
  <c r="BX177" i="3"/>
  <c r="CB177" i="3"/>
  <c r="CF177" i="3"/>
  <c r="CJ177" i="3"/>
  <c r="BE177" i="3"/>
  <c r="BI177" i="3"/>
  <c r="BM177" i="3"/>
  <c r="BQ177" i="3"/>
  <c r="BU177" i="3"/>
  <c r="BY177" i="3"/>
  <c r="CC177" i="3"/>
  <c r="CG177" i="3"/>
  <c r="BB177" i="3"/>
  <c r="BF177" i="3"/>
  <c r="BJ177" i="3"/>
  <c r="BN177" i="3"/>
  <c r="BR177" i="3"/>
  <c r="BV177" i="3"/>
  <c r="BZ177" i="3"/>
  <c r="CD177" i="3"/>
  <c r="CH177" i="3"/>
  <c r="BC177" i="3"/>
  <c r="BG177" i="3"/>
  <c r="BK177" i="3"/>
  <c r="BO177" i="3"/>
  <c r="BS177" i="3"/>
  <c r="BW177" i="3"/>
  <c r="CA177" i="3"/>
  <c r="CE177" i="3"/>
  <c r="CI177" i="3"/>
  <c r="CH186" i="3"/>
  <c r="BK186" i="3"/>
  <c r="BW186" i="3"/>
  <c r="CF186" i="3"/>
  <c r="BD186" i="3"/>
  <c r="BL186" i="3"/>
  <c r="BT186" i="3"/>
  <c r="CB186" i="3"/>
  <c r="CJ186" i="3"/>
  <c r="CH193" i="3"/>
  <c r="BK193" i="3"/>
  <c r="BW193" i="3"/>
  <c r="CF193" i="3"/>
  <c r="BD193" i="3"/>
  <c r="BL193" i="3"/>
  <c r="BT193" i="3"/>
  <c r="CB193" i="3"/>
  <c r="CJ193" i="3"/>
  <c r="N853" i="6"/>
  <c r="O853" i="6"/>
  <c r="L823" i="6"/>
  <c r="N823" i="6"/>
  <c r="K823" i="6"/>
  <c r="BC175" i="3"/>
  <c r="BK175" i="3"/>
  <c r="BO175" i="3"/>
  <c r="BW175" i="3"/>
  <c r="CE175" i="3"/>
  <c r="BZ175" i="3"/>
  <c r="BG175" i="3"/>
  <c r="BS175" i="3"/>
  <c r="CA175" i="3"/>
  <c r="CI175" i="3"/>
  <c r="BJ175" i="3"/>
  <c r="BL175" i="3"/>
  <c r="BD175" i="3"/>
  <c r="BP175" i="3"/>
  <c r="BT175" i="3"/>
  <c r="CJ175" i="3"/>
  <c r="BB175" i="3"/>
  <c r="BR175" i="3"/>
  <c r="CD175" i="3"/>
  <c r="CB175" i="3"/>
  <c r="BH175" i="3"/>
  <c r="BX175" i="3"/>
  <c r="CF175" i="3"/>
  <c r="BF175" i="3"/>
  <c r="BV175" i="3"/>
  <c r="BN175" i="3"/>
  <c r="CH175" i="3"/>
  <c r="BI185" i="3"/>
  <c r="BY185" i="3"/>
  <c r="BM185" i="3"/>
  <c r="CJ185" i="3"/>
  <c r="CF185" i="3"/>
  <c r="CG185" i="3"/>
  <c r="CB185" i="3"/>
  <c r="BX185" i="3"/>
  <c r="BT185" i="3"/>
  <c r="BP185" i="3"/>
  <c r="BL185" i="3"/>
  <c r="BH185" i="3"/>
  <c r="BD185" i="3"/>
  <c r="CD185" i="3"/>
  <c r="BV185" i="3"/>
  <c r="BN185" i="3"/>
  <c r="BF185" i="3"/>
  <c r="CE185" i="3"/>
  <c r="CA185" i="3"/>
  <c r="BW185" i="3"/>
  <c r="BS185" i="3"/>
  <c r="BO185" i="3"/>
  <c r="BK185" i="3"/>
  <c r="BG185" i="3"/>
  <c r="BC185" i="3"/>
  <c r="CI185" i="3"/>
  <c r="BZ185" i="3"/>
  <c r="BR185" i="3"/>
  <c r="BJ185" i="3"/>
  <c r="BB185" i="3"/>
  <c r="BQ185" i="3"/>
  <c r="CH185" i="3"/>
  <c r="BE185" i="3"/>
  <c r="BU185" i="3"/>
  <c r="BD184" i="3"/>
  <c r="BH184" i="3"/>
  <c r="BL184" i="3"/>
  <c r="BP184" i="3"/>
  <c r="BT184" i="3"/>
  <c r="BX184" i="3"/>
  <c r="CB184" i="3"/>
  <c r="CF184" i="3"/>
  <c r="BE184" i="3"/>
  <c r="BI184" i="3"/>
  <c r="BM184" i="3"/>
  <c r="BQ184" i="3"/>
  <c r="BU184" i="3"/>
  <c r="BY184" i="3"/>
  <c r="CC184" i="3"/>
  <c r="CG184" i="3"/>
  <c r="BE186" i="3"/>
  <c r="BI186" i="3"/>
  <c r="BM186" i="3"/>
  <c r="BQ186" i="3"/>
  <c r="BU186" i="3"/>
  <c r="BY186" i="3"/>
  <c r="CC186" i="3"/>
  <c r="CG186" i="3"/>
  <c r="BE193" i="3"/>
  <c r="BI193" i="3"/>
  <c r="BM193" i="3"/>
  <c r="BQ193" i="3"/>
  <c r="BU193" i="3"/>
  <c r="BY193" i="3"/>
  <c r="CC193" i="3"/>
  <c r="CG193" i="3"/>
  <c r="BB186" i="3"/>
  <c r="BF186" i="3"/>
  <c r="BJ186" i="3"/>
  <c r="BN186" i="3"/>
  <c r="BR186" i="3"/>
  <c r="BV186" i="3"/>
  <c r="BZ186" i="3"/>
  <c r="CD186" i="3"/>
  <c r="BB193" i="3"/>
  <c r="BF193" i="3"/>
  <c r="BJ193" i="3"/>
  <c r="BN193" i="3"/>
  <c r="BR193" i="3"/>
  <c r="BV193" i="3"/>
  <c r="BZ193" i="3"/>
  <c r="CD193" i="3"/>
  <c r="CJ179" i="3"/>
  <c r="CF179" i="3"/>
  <c r="CB179" i="3"/>
  <c r="BX179" i="3"/>
  <c r="BT179" i="3"/>
  <c r="BP179" i="3"/>
  <c r="BL179" i="3"/>
  <c r="BH179" i="3"/>
  <c r="BD179" i="3"/>
  <c r="CI179" i="3"/>
  <c r="CE179" i="3"/>
  <c r="CA179" i="3"/>
  <c r="BW179" i="3"/>
  <c r="BS179" i="3"/>
  <c r="BO179" i="3"/>
  <c r="BK179" i="3"/>
  <c r="BG179" i="3"/>
  <c r="BC179" i="3"/>
  <c r="CD179" i="3"/>
  <c r="BV179" i="3"/>
  <c r="BN179" i="3"/>
  <c r="BF179" i="3"/>
  <c r="BZ179" i="3"/>
  <c r="BJ179" i="3"/>
  <c r="BY179" i="3"/>
  <c r="CC179" i="3"/>
  <c r="BU179" i="3"/>
  <c r="BM179" i="3"/>
  <c r="BE179" i="3"/>
  <c r="CH179" i="3"/>
  <c r="BR179" i="3"/>
  <c r="BB179" i="3"/>
  <c r="CG179" i="3"/>
  <c r="BQ179" i="3"/>
  <c r="BI179" i="3"/>
  <c r="CJ176" i="3"/>
  <c r="CF176" i="3"/>
  <c r="CB176" i="3"/>
  <c r="BX176" i="3"/>
  <c r="BT176" i="3"/>
  <c r="BP176" i="3"/>
  <c r="BL176" i="3"/>
  <c r="BH176" i="3"/>
  <c r="BD176" i="3"/>
  <c r="CH176" i="3"/>
  <c r="CC176" i="3"/>
  <c r="BW176" i="3"/>
  <c r="BR176" i="3"/>
  <c r="BM176" i="3"/>
  <c r="BG176" i="3"/>
  <c r="BB176" i="3"/>
  <c r="CI176" i="3"/>
  <c r="BY176" i="3"/>
  <c r="BS176" i="3"/>
  <c r="BI176" i="3"/>
  <c r="CG176" i="3"/>
  <c r="CA176" i="3"/>
  <c r="BV176" i="3"/>
  <c r="BQ176" i="3"/>
  <c r="BK176" i="3"/>
  <c r="BF176" i="3"/>
  <c r="CE176" i="3"/>
  <c r="BZ176" i="3"/>
  <c r="BU176" i="3"/>
  <c r="BO176" i="3"/>
  <c r="BJ176" i="3"/>
  <c r="BE176" i="3"/>
  <c r="CD176" i="3"/>
  <c r="BN176" i="3"/>
  <c r="BC176" i="3"/>
  <c r="M176" i="3"/>
  <c r="BE175" i="3"/>
  <c r="BI175" i="3"/>
  <c r="BM175" i="3"/>
  <c r="BQ175" i="3"/>
  <c r="BU175" i="3"/>
  <c r="BY175" i="3"/>
  <c r="CC175" i="3"/>
  <c r="G682" i="6"/>
  <c r="I257" i="2" l="1"/>
  <c r="AG258" i="2" s="1"/>
  <c r="L841" i="6"/>
  <c r="M841" i="6"/>
  <c r="CV184" i="3"/>
  <c r="CV194" i="3" s="1"/>
  <c r="Q87" i="9" s="1"/>
  <c r="DF184" i="3"/>
  <c r="DF194" i="3" s="1"/>
  <c r="AA87" i="9" s="1"/>
  <c r="DP184" i="3"/>
  <c r="DP194" i="3" s="1"/>
  <c r="AK87" i="9" s="1"/>
  <c r="CP184" i="3"/>
  <c r="CP194" i="3" s="1"/>
  <c r="DT184" i="3"/>
  <c r="DT194" i="3" s="1"/>
  <c r="AO87" i="9" s="1"/>
  <c r="DV184" i="3"/>
  <c r="DV194" i="3" s="1"/>
  <c r="AQ87" i="9" s="1"/>
  <c r="CR184" i="3"/>
  <c r="CR194" i="3" s="1"/>
  <c r="M87" i="9" s="1"/>
  <c r="DG184" i="3"/>
  <c r="DG194" i="3" s="1"/>
  <c r="AB87" i="9" s="1"/>
  <c r="CN184" i="3"/>
  <c r="CN194" i="3" s="1"/>
  <c r="K87" i="9" s="1"/>
  <c r="DI184" i="3"/>
  <c r="DI194" i="3" s="1"/>
  <c r="AD87" i="9" s="1"/>
  <c r="DS184" i="3"/>
  <c r="DS194" i="3" s="1"/>
  <c r="AN87" i="9" s="1"/>
  <c r="DR184" i="3"/>
  <c r="DR194" i="3" s="1"/>
  <c r="AM87" i="9" s="1"/>
  <c r="DO184" i="3"/>
  <c r="DO194" i="3" s="1"/>
  <c r="AJ87" i="9" s="1"/>
  <c r="CY184" i="3"/>
  <c r="CY194" i="3" s="1"/>
  <c r="T87" i="9" s="1"/>
  <c r="DN184" i="3"/>
  <c r="DN194" i="3" s="1"/>
  <c r="AI87" i="9" s="1"/>
  <c r="CX184" i="3"/>
  <c r="CX194" i="3" s="1"/>
  <c r="S87" i="9" s="1"/>
  <c r="DQ184" i="3"/>
  <c r="DQ194" i="3" s="1"/>
  <c r="AL87" i="9" s="1"/>
  <c r="DD184" i="3"/>
  <c r="DD194" i="3" s="1"/>
  <c r="Y87" i="9" s="1"/>
  <c r="CZ184" i="3"/>
  <c r="CZ194" i="3" s="1"/>
  <c r="U87" i="9" s="1"/>
  <c r="CS184" i="3"/>
  <c r="CS194" i="3" s="1"/>
  <c r="N87" i="9" s="1"/>
  <c r="DU184" i="3"/>
  <c r="DU194" i="3" s="1"/>
  <c r="AP87" i="9" s="1"/>
  <c r="CQ184" i="3"/>
  <c r="CQ194" i="3" s="1"/>
  <c r="DE184" i="3"/>
  <c r="DE194" i="3" s="1"/>
  <c r="Z87" i="9" s="1"/>
  <c r="DC184" i="3"/>
  <c r="DC194" i="3" s="1"/>
  <c r="X87" i="9" s="1"/>
  <c r="DB184" i="3"/>
  <c r="DB194" i="3" s="1"/>
  <c r="W87" i="9" s="1"/>
  <c r="DK184" i="3"/>
  <c r="DK194" i="3" s="1"/>
  <c r="AF87" i="9" s="1"/>
  <c r="CU184" i="3"/>
  <c r="CU194" i="3" s="1"/>
  <c r="P87" i="9" s="1"/>
  <c r="DJ184" i="3"/>
  <c r="DJ194" i="3" s="1"/>
  <c r="AE87" i="9" s="1"/>
  <c r="CT184" i="3"/>
  <c r="CT194" i="3" s="1"/>
  <c r="O87" i="9" s="1"/>
  <c r="DA184" i="3"/>
  <c r="DA194" i="3" s="1"/>
  <c r="V87" i="9" s="1"/>
  <c r="DL184" i="3"/>
  <c r="DL194" i="3" s="1"/>
  <c r="AG87" i="9" s="1"/>
  <c r="DH184" i="3"/>
  <c r="DH194" i="3" s="1"/>
  <c r="AC87" i="9" s="1"/>
  <c r="DM184" i="3"/>
  <c r="DM194" i="3" s="1"/>
  <c r="AH87" i="9" s="1"/>
  <c r="CO184" i="3"/>
  <c r="CO194" i="3" s="1"/>
  <c r="L87" i="9" s="1"/>
  <c r="CW184" i="3"/>
  <c r="CW194" i="3" s="1"/>
  <c r="R87" i="9" s="1"/>
  <c r="H207" i="2"/>
  <c r="O841" i="6"/>
  <c r="K841" i="6"/>
  <c r="CD29" i="9"/>
  <c r="I87" i="9"/>
  <c r="G87" i="9" s="1"/>
  <c r="BJ194" i="3"/>
  <c r="BF194" i="3"/>
  <c r="CJ194" i="3"/>
  <c r="BC194" i="3"/>
  <c r="BZ194" i="3"/>
  <c r="BV194" i="3"/>
  <c r="BS194" i="3"/>
  <c r="BB194" i="3"/>
  <c r="CH194" i="3"/>
  <c r="CD194" i="3"/>
  <c r="BW194" i="3"/>
  <c r="CI194" i="3"/>
  <c r="CH28" i="9"/>
  <c r="BK194" i="3"/>
  <c r="CD28" i="9"/>
  <c r="BR194" i="3"/>
  <c r="BN194" i="3"/>
  <c r="CA194" i="3"/>
  <c r="BO194" i="3"/>
  <c r="CE194" i="3"/>
  <c r="BG194" i="3"/>
  <c r="BE194" i="3"/>
  <c r="CB194" i="3"/>
  <c r="CG194" i="3"/>
  <c r="BQ194" i="3"/>
  <c r="BH194" i="3"/>
  <c r="CC194" i="3"/>
  <c r="BM194" i="3"/>
  <c r="BT194" i="3"/>
  <c r="BD194" i="3"/>
  <c r="BU194" i="3"/>
  <c r="BL194" i="3"/>
  <c r="BX194" i="3"/>
  <c r="BY194" i="3"/>
  <c r="BI194" i="3"/>
  <c r="CF194" i="3"/>
  <c r="BP194" i="3"/>
  <c r="AU192" i="2"/>
  <c r="CA56" i="9" s="1"/>
  <c r="AT192" i="2"/>
  <c r="BZ56" i="9" s="1"/>
  <c r="AS192" i="2"/>
  <c r="BY56" i="9" s="1"/>
  <c r="AR192" i="2"/>
  <c r="BX56" i="9" s="1"/>
  <c r="AO192" i="2"/>
  <c r="BW56" i="9" s="1"/>
  <c r="AN192" i="2"/>
  <c r="BV56" i="9" s="1"/>
  <c r="AM192" i="2"/>
  <c r="BU56" i="9" s="1"/>
  <c r="AL192" i="2"/>
  <c r="BT56" i="9" s="1"/>
  <c r="AK192" i="2"/>
  <c r="BS56" i="9" s="1"/>
  <c r="AJ192" i="2"/>
  <c r="BR56" i="9" s="1"/>
  <c r="AI192" i="2"/>
  <c r="BQ56" i="9" s="1"/>
  <c r="AH192" i="2"/>
  <c r="BP56" i="9" s="1"/>
  <c r="AG192" i="2"/>
  <c r="BO56" i="9" s="1"/>
  <c r="AF192" i="2"/>
  <c r="BN56" i="9" s="1"/>
  <c r="AE192" i="2"/>
  <c r="BM56" i="9" s="1"/>
  <c r="AD192" i="2"/>
  <c r="BL56" i="9" s="1"/>
  <c r="AC192" i="2"/>
  <c r="BK56" i="9" s="1"/>
  <c r="AB192" i="2"/>
  <c r="BJ56" i="9" s="1"/>
  <c r="AA192" i="2"/>
  <c r="BI56" i="9" s="1"/>
  <c r="Z192" i="2"/>
  <c r="BH56" i="9" s="1"/>
  <c r="Y192" i="2"/>
  <c r="BG56" i="9" s="1"/>
  <c r="X192" i="2"/>
  <c r="BF56" i="9" s="1"/>
  <c r="W192" i="2"/>
  <c r="BE56" i="9" s="1"/>
  <c r="V192" i="2"/>
  <c r="BD56" i="9" s="1"/>
  <c r="U192" i="2"/>
  <c r="BC56" i="9" s="1"/>
  <c r="T192" i="2"/>
  <c r="BB56" i="9" s="1"/>
  <c r="S192" i="2"/>
  <c r="BA56" i="9" s="1"/>
  <c r="R192" i="2"/>
  <c r="Q192" i="2"/>
  <c r="P192" i="2"/>
  <c r="O192" i="2"/>
  <c r="N192" i="2"/>
  <c r="M192" i="2"/>
  <c r="L192" i="2"/>
  <c r="K192" i="2"/>
  <c r="G192" i="2"/>
  <c r="D56" i="9" s="1"/>
  <c r="F192" i="2"/>
  <c r="C56" i="9" s="1"/>
  <c r="E192" i="2"/>
  <c r="B56" i="9" s="1"/>
  <c r="B27" i="9" s="1"/>
  <c r="AX151" i="3"/>
  <c r="AX5" i="3" s="1"/>
  <c r="AW151" i="3"/>
  <c r="AW5" i="3" s="1"/>
  <c r="L258" i="2" l="1"/>
  <c r="L29" i="9" s="1"/>
  <c r="M258" i="2"/>
  <c r="X258" i="2"/>
  <c r="V29" i="9" s="1"/>
  <c r="AH258" i="2"/>
  <c r="AF29" i="9" s="1"/>
  <c r="AO258" i="2"/>
  <c r="AM29" i="9" s="1"/>
  <c r="AT258" i="2"/>
  <c r="AP29" i="9" s="1"/>
  <c r="AD258" i="2"/>
  <c r="AB29" i="9" s="1"/>
  <c r="AU258" i="2"/>
  <c r="AQ29" i="9" s="1"/>
  <c r="U258" i="2"/>
  <c r="S29" i="9" s="1"/>
  <c r="AS258" i="2"/>
  <c r="AO29" i="9" s="1"/>
  <c r="AI258" i="2"/>
  <c r="AG29" i="9" s="1"/>
  <c r="V258" i="2"/>
  <c r="T29" i="9" s="1"/>
  <c r="AQ258" i="2"/>
  <c r="N258" i="2"/>
  <c r="AM258" i="2"/>
  <c r="AK29" i="9" s="1"/>
  <c r="R258" i="2"/>
  <c r="P29" i="9" s="1"/>
  <c r="O258" i="2"/>
  <c r="M29" i="9" s="1"/>
  <c r="AE258" i="2"/>
  <c r="AC29" i="9" s="1"/>
  <c r="AL258" i="2"/>
  <c r="AJ29" i="9" s="1"/>
  <c r="Q258" i="2"/>
  <c r="O29" i="9" s="1"/>
  <c r="AR258" i="2"/>
  <c r="AN29" i="9" s="1"/>
  <c r="S258" i="2"/>
  <c r="Q29" i="9" s="1"/>
  <c r="AP258" i="2"/>
  <c r="Y258" i="2"/>
  <c r="W29" i="9" s="1"/>
  <c r="AF258" i="2"/>
  <c r="AD29" i="9" s="1"/>
  <c r="AA258" i="2"/>
  <c r="Y29" i="9" s="1"/>
  <c r="AJ258" i="2"/>
  <c r="AH29" i="9" s="1"/>
  <c r="AB258" i="2"/>
  <c r="Z29" i="9" s="1"/>
  <c r="W258" i="2"/>
  <c r="U29" i="9" s="1"/>
  <c r="AN258" i="2"/>
  <c r="AL29" i="9" s="1"/>
  <c r="AC258" i="2"/>
  <c r="AA29" i="9" s="1"/>
  <c r="T258" i="2"/>
  <c r="R29" i="9" s="1"/>
  <c r="P258" i="2"/>
  <c r="N29" i="9" s="1"/>
  <c r="Z258" i="2"/>
  <c r="X29" i="9" s="1"/>
  <c r="AK258" i="2"/>
  <c r="AI29" i="9" s="1"/>
  <c r="I58" i="9"/>
  <c r="G58" i="9" s="1"/>
  <c r="G29" i="9" s="1"/>
  <c r="I29" i="9" s="1"/>
  <c r="K258" i="2"/>
  <c r="K29" i="9" s="1"/>
  <c r="AE29" i="9"/>
  <c r="CC56" i="9"/>
  <c r="CE56" i="9" s="1"/>
  <c r="AQ162" i="2"/>
  <c r="AP162" i="2"/>
  <c r="FF174" i="3"/>
  <c r="FE174" i="3"/>
  <c r="FD174" i="3"/>
  <c r="FC174" i="3"/>
  <c r="FB174" i="3"/>
  <c r="FA174" i="3"/>
  <c r="EZ174" i="3"/>
  <c r="EY174" i="3"/>
  <c r="EX174" i="3"/>
  <c r="EW174" i="3"/>
  <c r="EV174" i="3"/>
  <c r="EU174" i="3"/>
  <c r="ET174" i="3"/>
  <c r="ES174" i="3"/>
  <c r="ER174" i="3"/>
  <c r="EQ174" i="3"/>
  <c r="EP174" i="3"/>
  <c r="EO174" i="3"/>
  <c r="EN174" i="3"/>
  <c r="EM174" i="3"/>
  <c r="EL174" i="3"/>
  <c r="EK174" i="3"/>
  <c r="EJ174" i="3"/>
  <c r="EI174" i="3"/>
  <c r="EH174" i="3"/>
  <c r="EG174" i="3"/>
  <c r="EF174" i="3"/>
  <c r="EE174" i="3"/>
  <c r="ED174" i="3"/>
  <c r="EC174" i="3"/>
  <c r="EB174" i="3"/>
  <c r="EA174" i="3"/>
  <c r="DZ174" i="3"/>
  <c r="DY174" i="3"/>
  <c r="DX174" i="3"/>
  <c r="N174" i="3"/>
  <c r="M174" i="3"/>
  <c r="FF173" i="3"/>
  <c r="FE173" i="3"/>
  <c r="FD173" i="3"/>
  <c r="FC173" i="3"/>
  <c r="FB173" i="3"/>
  <c r="FA173" i="3"/>
  <c r="EZ173" i="3"/>
  <c r="EY173" i="3"/>
  <c r="EX173" i="3"/>
  <c r="EW173" i="3"/>
  <c r="EV173" i="3"/>
  <c r="EU173" i="3"/>
  <c r="ET173" i="3"/>
  <c r="ES173" i="3"/>
  <c r="ER173" i="3"/>
  <c r="EQ173" i="3"/>
  <c r="EP173" i="3"/>
  <c r="EO173" i="3"/>
  <c r="EN173" i="3"/>
  <c r="EM173" i="3"/>
  <c r="EL173" i="3"/>
  <c r="EK173" i="3"/>
  <c r="EJ173" i="3"/>
  <c r="EI173" i="3"/>
  <c r="EH173" i="3"/>
  <c r="EG173" i="3"/>
  <c r="EF173" i="3"/>
  <c r="EE173" i="3"/>
  <c r="ED173" i="3"/>
  <c r="EC173" i="3"/>
  <c r="EB173" i="3"/>
  <c r="EA173" i="3"/>
  <c r="DZ173" i="3"/>
  <c r="DY173" i="3"/>
  <c r="DX173" i="3"/>
  <c r="FF172" i="3"/>
  <c r="FE172" i="3"/>
  <c r="FD172" i="3"/>
  <c r="FC172" i="3"/>
  <c r="FC182" i="3" s="1"/>
  <c r="FB172" i="3"/>
  <c r="FA172" i="3"/>
  <c r="EZ172" i="3"/>
  <c r="EY172" i="3"/>
  <c r="EX172" i="3"/>
  <c r="EW172" i="3"/>
  <c r="EV172" i="3"/>
  <c r="EU172" i="3"/>
  <c r="EU182" i="3" s="1"/>
  <c r="ET172" i="3"/>
  <c r="ES172" i="3"/>
  <c r="ER172" i="3"/>
  <c r="EQ172" i="3"/>
  <c r="EP172" i="3"/>
  <c r="EO172" i="3"/>
  <c r="EN172" i="3"/>
  <c r="EM172" i="3"/>
  <c r="EM182" i="3" s="1"/>
  <c r="EL172" i="3"/>
  <c r="EK172" i="3"/>
  <c r="EJ172" i="3"/>
  <c r="EI172" i="3"/>
  <c r="EH172" i="3"/>
  <c r="EG172" i="3"/>
  <c r="EF172" i="3"/>
  <c r="EE172" i="3"/>
  <c r="EE182" i="3" s="1"/>
  <c r="ED172" i="3"/>
  <c r="EC172" i="3"/>
  <c r="EB172" i="3"/>
  <c r="EA172" i="3"/>
  <c r="DZ172" i="3"/>
  <c r="DY172" i="3"/>
  <c r="DX172" i="3"/>
  <c r="N172" i="3"/>
  <c r="N182" i="3" s="1"/>
  <c r="M172" i="3"/>
  <c r="AZ169" i="3"/>
  <c r="CA85" i="9" s="1"/>
  <c r="CA27" i="9" s="1"/>
  <c r="AY169" i="3"/>
  <c r="BZ85" i="9" s="1"/>
  <c r="BZ27" i="9" s="1"/>
  <c r="AV169" i="3"/>
  <c r="BY85" i="9" s="1"/>
  <c r="BY27" i="9" s="1"/>
  <c r="AU169" i="3"/>
  <c r="BX85" i="9" s="1"/>
  <c r="BX27" i="9" s="1"/>
  <c r="AT169" i="3"/>
  <c r="BW85" i="9" s="1"/>
  <c r="BW27" i="9" s="1"/>
  <c r="AS169" i="3"/>
  <c r="BV85" i="9" s="1"/>
  <c r="BV27" i="9" s="1"/>
  <c r="AR169" i="3"/>
  <c r="BU85" i="9" s="1"/>
  <c r="BU27" i="9" s="1"/>
  <c r="AQ169" i="3"/>
  <c r="BT85" i="9" s="1"/>
  <c r="BT27" i="9" s="1"/>
  <c r="AP169" i="3"/>
  <c r="BS85" i="9" s="1"/>
  <c r="BS27" i="9" s="1"/>
  <c r="AO169" i="3"/>
  <c r="BR85" i="9" s="1"/>
  <c r="BR27" i="9" s="1"/>
  <c r="AN169" i="3"/>
  <c r="BQ85" i="9" s="1"/>
  <c r="BQ27" i="9" s="1"/>
  <c r="AM169" i="3"/>
  <c r="BP85" i="9" s="1"/>
  <c r="BP27" i="9" s="1"/>
  <c r="AL169" i="3"/>
  <c r="BO85" i="9" s="1"/>
  <c r="BO27" i="9" s="1"/>
  <c r="AK169" i="3"/>
  <c r="BN85" i="9" s="1"/>
  <c r="BN27" i="9" s="1"/>
  <c r="AJ169" i="3"/>
  <c r="BM85" i="9" s="1"/>
  <c r="BM27" i="9" s="1"/>
  <c r="AI169" i="3"/>
  <c r="BL85" i="9" s="1"/>
  <c r="BL27" i="9" s="1"/>
  <c r="AH169" i="3"/>
  <c r="BK85" i="9" s="1"/>
  <c r="BK27" i="9" s="1"/>
  <c r="AG169" i="3"/>
  <c r="BJ85" i="9" s="1"/>
  <c r="BJ27" i="9" s="1"/>
  <c r="AF169" i="3"/>
  <c r="BI85" i="9" s="1"/>
  <c r="BI27" i="9" s="1"/>
  <c r="AE169" i="3"/>
  <c r="BH85" i="9" s="1"/>
  <c r="BH27" i="9" s="1"/>
  <c r="AD169" i="3"/>
  <c r="BG85" i="9" s="1"/>
  <c r="BG27" i="9" s="1"/>
  <c r="AC169" i="3"/>
  <c r="BF85" i="9" s="1"/>
  <c r="BF27" i="9" s="1"/>
  <c r="AB169" i="3"/>
  <c r="BE85" i="9" s="1"/>
  <c r="BE27" i="9" s="1"/>
  <c r="AA169" i="3"/>
  <c r="BD85" i="9" s="1"/>
  <c r="BD27" i="9" s="1"/>
  <c r="Z169" i="3"/>
  <c r="BC85" i="9" s="1"/>
  <c r="BC27" i="9" s="1"/>
  <c r="Y169" i="3"/>
  <c r="BB85" i="9" s="1"/>
  <c r="BB27" i="9" s="1"/>
  <c r="X169" i="3"/>
  <c r="BA85" i="9" s="1"/>
  <c r="BA27" i="9" s="1"/>
  <c r="W169" i="3"/>
  <c r="AZ85" i="9" s="1"/>
  <c r="AZ27" i="9" s="1"/>
  <c r="V169" i="3"/>
  <c r="AY85" i="9" s="1"/>
  <c r="AY27" i="9" s="1"/>
  <c r="U169" i="3"/>
  <c r="AX85" i="9" s="1"/>
  <c r="AX27" i="9" s="1"/>
  <c r="T169" i="3"/>
  <c r="AW85" i="9" s="1"/>
  <c r="AW27" i="9" s="1"/>
  <c r="S169" i="3"/>
  <c r="AV85" i="9" s="1"/>
  <c r="AV27" i="9" s="1"/>
  <c r="R169" i="3"/>
  <c r="AU85" i="9" s="1"/>
  <c r="AU27" i="9" s="1"/>
  <c r="Q169" i="3"/>
  <c r="AT85" i="9" s="1"/>
  <c r="AT27" i="9" s="1"/>
  <c r="P169" i="3"/>
  <c r="AS85" i="9" s="1"/>
  <c r="AS27" i="9" s="1"/>
  <c r="E169" i="3"/>
  <c r="D85" i="9" s="1"/>
  <c r="D169" i="3"/>
  <c r="C85" i="9" s="1"/>
  <c r="C27" i="9" s="1"/>
  <c r="AZ160" i="3"/>
  <c r="AY160" i="3"/>
  <c r="AV160" i="3"/>
  <c r="AU160" i="3"/>
  <c r="AT160" i="3"/>
  <c r="AS160" i="3"/>
  <c r="AR160" i="3"/>
  <c r="AQ160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E160" i="3"/>
  <c r="D160" i="3"/>
  <c r="CJ159" i="3"/>
  <c r="CI159" i="3"/>
  <c r="CH159" i="3"/>
  <c r="CG159" i="3"/>
  <c r="CF159" i="3"/>
  <c r="CE159" i="3"/>
  <c r="CD159" i="3"/>
  <c r="CC159" i="3"/>
  <c r="CB159" i="3"/>
  <c r="CA159" i="3"/>
  <c r="BZ159" i="3"/>
  <c r="BY159" i="3"/>
  <c r="BX159" i="3"/>
  <c r="BW159" i="3"/>
  <c r="BV159" i="3"/>
  <c r="BU159" i="3"/>
  <c r="BT159" i="3"/>
  <c r="BS159" i="3"/>
  <c r="BR159" i="3"/>
  <c r="BQ159" i="3"/>
  <c r="BP159" i="3"/>
  <c r="BO159" i="3"/>
  <c r="BN159" i="3"/>
  <c r="BM159" i="3"/>
  <c r="BL159" i="3"/>
  <c r="BK159" i="3"/>
  <c r="BJ159" i="3"/>
  <c r="BI159" i="3"/>
  <c r="BH159" i="3"/>
  <c r="BG159" i="3"/>
  <c r="BF159" i="3"/>
  <c r="BE159" i="3"/>
  <c r="BD159" i="3"/>
  <c r="BC159" i="3"/>
  <c r="BB159" i="3"/>
  <c r="CJ158" i="3"/>
  <c r="CI158" i="3"/>
  <c r="CH158" i="3"/>
  <c r="CG158" i="3"/>
  <c r="CF158" i="3"/>
  <c r="CE158" i="3"/>
  <c r="CD158" i="3"/>
  <c r="CC158" i="3"/>
  <c r="CB158" i="3"/>
  <c r="CA158" i="3"/>
  <c r="BZ158" i="3"/>
  <c r="BY158" i="3"/>
  <c r="BX158" i="3"/>
  <c r="BW158" i="3"/>
  <c r="BV158" i="3"/>
  <c r="BU158" i="3"/>
  <c r="BT158" i="3"/>
  <c r="BS158" i="3"/>
  <c r="BR158" i="3"/>
  <c r="BQ158" i="3"/>
  <c r="BP158" i="3"/>
  <c r="BO158" i="3"/>
  <c r="BN158" i="3"/>
  <c r="BM158" i="3"/>
  <c r="BL158" i="3"/>
  <c r="BK158" i="3"/>
  <c r="BJ158" i="3"/>
  <c r="BI158" i="3"/>
  <c r="BH158" i="3"/>
  <c r="BG158" i="3"/>
  <c r="BF158" i="3"/>
  <c r="BE158" i="3"/>
  <c r="BD158" i="3"/>
  <c r="BC158" i="3"/>
  <c r="BB158" i="3"/>
  <c r="CJ155" i="3"/>
  <c r="CI155" i="3"/>
  <c r="CH155" i="3"/>
  <c r="CG155" i="3"/>
  <c r="CF155" i="3"/>
  <c r="CE155" i="3"/>
  <c r="CD155" i="3"/>
  <c r="CC155" i="3"/>
  <c r="CB155" i="3"/>
  <c r="CA155" i="3"/>
  <c r="BZ155" i="3"/>
  <c r="BY155" i="3"/>
  <c r="BX155" i="3"/>
  <c r="BW155" i="3"/>
  <c r="BV155" i="3"/>
  <c r="BU155" i="3"/>
  <c r="BT155" i="3"/>
  <c r="BS155" i="3"/>
  <c r="BR155" i="3"/>
  <c r="BQ155" i="3"/>
  <c r="BP155" i="3"/>
  <c r="BO155" i="3"/>
  <c r="BN155" i="3"/>
  <c r="BM155" i="3"/>
  <c r="BL155" i="3"/>
  <c r="BK155" i="3"/>
  <c r="BJ155" i="3"/>
  <c r="BI155" i="3"/>
  <c r="BH155" i="3"/>
  <c r="BG155" i="3"/>
  <c r="BF155" i="3"/>
  <c r="BE155" i="3"/>
  <c r="BD155" i="3"/>
  <c r="BC155" i="3"/>
  <c r="BB155" i="3"/>
  <c r="CJ153" i="3"/>
  <c r="CI153" i="3"/>
  <c r="CH153" i="3"/>
  <c r="CG153" i="3"/>
  <c r="CF153" i="3"/>
  <c r="CE153" i="3"/>
  <c r="CD153" i="3"/>
  <c r="CC153" i="3"/>
  <c r="CB153" i="3"/>
  <c r="CA153" i="3"/>
  <c r="BZ153" i="3"/>
  <c r="BY153" i="3"/>
  <c r="BX153" i="3"/>
  <c r="BW153" i="3"/>
  <c r="BV153" i="3"/>
  <c r="BU153" i="3"/>
  <c r="BT153" i="3"/>
  <c r="BS153" i="3"/>
  <c r="BR153" i="3"/>
  <c r="BQ153" i="3"/>
  <c r="BP153" i="3"/>
  <c r="BO153" i="3"/>
  <c r="BN153" i="3"/>
  <c r="BM153" i="3"/>
  <c r="BL153" i="3"/>
  <c r="BK153" i="3"/>
  <c r="BJ153" i="3"/>
  <c r="BI153" i="3"/>
  <c r="BH153" i="3"/>
  <c r="BG153" i="3"/>
  <c r="BF153" i="3"/>
  <c r="BE153" i="3"/>
  <c r="BD153" i="3"/>
  <c r="BC153" i="3"/>
  <c r="BB153" i="3"/>
  <c r="AZ151" i="3"/>
  <c r="AY151" i="3"/>
  <c r="AV151" i="3"/>
  <c r="AU151" i="3"/>
  <c r="AT151" i="3"/>
  <c r="AS151" i="3"/>
  <c r="AR151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D151" i="3"/>
  <c r="CJ150" i="3"/>
  <c r="CI150" i="3"/>
  <c r="CH150" i="3"/>
  <c r="CG150" i="3"/>
  <c r="CF150" i="3"/>
  <c r="CE150" i="3"/>
  <c r="CD150" i="3"/>
  <c r="CC150" i="3"/>
  <c r="CB150" i="3"/>
  <c r="CA150" i="3"/>
  <c r="BZ150" i="3"/>
  <c r="BY150" i="3"/>
  <c r="BX150" i="3"/>
  <c r="BW150" i="3"/>
  <c r="BV150" i="3"/>
  <c r="BU150" i="3"/>
  <c r="BT150" i="3"/>
  <c r="BS150" i="3"/>
  <c r="BR150" i="3"/>
  <c r="BQ150" i="3"/>
  <c r="BP150" i="3"/>
  <c r="BO150" i="3"/>
  <c r="BN150" i="3"/>
  <c r="BM150" i="3"/>
  <c r="BL150" i="3"/>
  <c r="BK150" i="3"/>
  <c r="BJ150" i="3"/>
  <c r="BI150" i="3"/>
  <c r="BH150" i="3"/>
  <c r="BG150" i="3"/>
  <c r="BF150" i="3"/>
  <c r="BE150" i="3"/>
  <c r="BD150" i="3"/>
  <c r="BC150" i="3"/>
  <c r="BB150" i="3"/>
  <c r="CJ149" i="3"/>
  <c r="CI149" i="3"/>
  <c r="CH149" i="3"/>
  <c r="CG149" i="3"/>
  <c r="CF149" i="3"/>
  <c r="CE149" i="3"/>
  <c r="CD149" i="3"/>
  <c r="CC149" i="3"/>
  <c r="CB149" i="3"/>
  <c r="CA149" i="3"/>
  <c r="BZ149" i="3"/>
  <c r="BY149" i="3"/>
  <c r="BX149" i="3"/>
  <c r="BW149" i="3"/>
  <c r="BV149" i="3"/>
  <c r="BU149" i="3"/>
  <c r="BT149" i="3"/>
  <c r="BS149" i="3"/>
  <c r="BR149" i="3"/>
  <c r="BQ149" i="3"/>
  <c r="BP149" i="3"/>
  <c r="BO149" i="3"/>
  <c r="BN149" i="3"/>
  <c r="BM149" i="3"/>
  <c r="BL149" i="3"/>
  <c r="BK149" i="3"/>
  <c r="BJ149" i="3"/>
  <c r="BI149" i="3"/>
  <c r="BH149" i="3"/>
  <c r="BG149" i="3"/>
  <c r="BF149" i="3"/>
  <c r="BE149" i="3"/>
  <c r="BD149" i="3"/>
  <c r="BC149" i="3"/>
  <c r="BB149" i="3"/>
  <c r="CJ147" i="3"/>
  <c r="CI147" i="3"/>
  <c r="CH147" i="3"/>
  <c r="CG147" i="3"/>
  <c r="CF147" i="3"/>
  <c r="CE147" i="3"/>
  <c r="CD147" i="3"/>
  <c r="CC147" i="3"/>
  <c r="CB147" i="3"/>
  <c r="CA147" i="3"/>
  <c r="BZ147" i="3"/>
  <c r="BY147" i="3"/>
  <c r="BX147" i="3"/>
  <c r="BW147" i="3"/>
  <c r="BV147" i="3"/>
  <c r="BU147" i="3"/>
  <c r="BT147" i="3"/>
  <c r="BS147" i="3"/>
  <c r="BR147" i="3"/>
  <c r="BQ147" i="3"/>
  <c r="BP147" i="3"/>
  <c r="BO147" i="3"/>
  <c r="BN147" i="3"/>
  <c r="BM147" i="3"/>
  <c r="BL147" i="3"/>
  <c r="BK147" i="3"/>
  <c r="BJ147" i="3"/>
  <c r="BI147" i="3"/>
  <c r="BH147" i="3"/>
  <c r="BG147" i="3"/>
  <c r="BF147" i="3"/>
  <c r="BE147" i="3"/>
  <c r="BD147" i="3"/>
  <c r="BC147" i="3"/>
  <c r="BB147" i="3"/>
  <c r="CJ144" i="3"/>
  <c r="CI144" i="3"/>
  <c r="CH144" i="3"/>
  <c r="CG144" i="3"/>
  <c r="CF144" i="3"/>
  <c r="CE144" i="3"/>
  <c r="CD144" i="3"/>
  <c r="CC144" i="3"/>
  <c r="CB144" i="3"/>
  <c r="CA144" i="3"/>
  <c r="BZ144" i="3"/>
  <c r="BY144" i="3"/>
  <c r="BX144" i="3"/>
  <c r="BW144" i="3"/>
  <c r="BV144" i="3"/>
  <c r="BU144" i="3"/>
  <c r="BT144" i="3"/>
  <c r="BS144" i="3"/>
  <c r="BR144" i="3"/>
  <c r="BQ144" i="3"/>
  <c r="BP144" i="3"/>
  <c r="BO144" i="3"/>
  <c r="BN144" i="3"/>
  <c r="BM144" i="3"/>
  <c r="BL144" i="3"/>
  <c r="BK144" i="3"/>
  <c r="BJ144" i="3"/>
  <c r="BI144" i="3"/>
  <c r="BH144" i="3"/>
  <c r="BG144" i="3"/>
  <c r="BF144" i="3"/>
  <c r="BE144" i="3"/>
  <c r="BD144" i="3"/>
  <c r="BC144" i="3"/>
  <c r="BB144" i="3"/>
  <c r="H805" i="6"/>
  <c r="H804" i="6"/>
  <c r="H803" i="6"/>
  <c r="H802" i="6"/>
  <c r="H799" i="6"/>
  <c r="H798" i="6"/>
  <c r="H797" i="6"/>
  <c r="H796" i="6"/>
  <c r="H793" i="6"/>
  <c r="H792" i="6"/>
  <c r="H791" i="6"/>
  <c r="H790" i="6"/>
  <c r="H787" i="6"/>
  <c r="H786" i="6"/>
  <c r="H785" i="6"/>
  <c r="H784" i="6"/>
  <c r="H781" i="6"/>
  <c r="H780" i="6"/>
  <c r="H779" i="6"/>
  <c r="H778" i="6"/>
  <c r="H775" i="6"/>
  <c r="H774" i="6"/>
  <c r="H773" i="6"/>
  <c r="H772" i="6"/>
  <c r="H769" i="6"/>
  <c r="H768" i="6"/>
  <c r="H767" i="6"/>
  <c r="H766" i="6"/>
  <c r="H763" i="6"/>
  <c r="H762" i="6"/>
  <c r="H761" i="6"/>
  <c r="H760" i="6"/>
  <c r="H756" i="6"/>
  <c r="H755" i="6"/>
  <c r="H754" i="6"/>
  <c r="H751" i="6"/>
  <c r="H750" i="6"/>
  <c r="H749" i="6"/>
  <c r="H748" i="6"/>
  <c r="H745" i="6"/>
  <c r="H744" i="6"/>
  <c r="H743" i="6"/>
  <c r="H742" i="6"/>
  <c r="H739" i="6"/>
  <c r="H738" i="6"/>
  <c r="H737" i="6"/>
  <c r="H736" i="6"/>
  <c r="H733" i="6"/>
  <c r="H732" i="6"/>
  <c r="H731" i="6"/>
  <c r="H730" i="6"/>
  <c r="H727" i="6"/>
  <c r="H726" i="6"/>
  <c r="H725" i="6"/>
  <c r="H724" i="6"/>
  <c r="H721" i="6"/>
  <c r="H720" i="6"/>
  <c r="H719" i="6"/>
  <c r="H718" i="6"/>
  <c r="H715" i="6"/>
  <c r="H714" i="6"/>
  <c r="H713" i="6"/>
  <c r="H712" i="6"/>
  <c r="H709" i="6"/>
  <c r="H708" i="6"/>
  <c r="H707" i="6"/>
  <c r="H706" i="6"/>
  <c r="H703" i="6"/>
  <c r="H702" i="6"/>
  <c r="H701" i="6"/>
  <c r="H700" i="6"/>
  <c r="H697" i="6"/>
  <c r="H696" i="6"/>
  <c r="H695" i="6"/>
  <c r="H694" i="6"/>
  <c r="H691" i="6"/>
  <c r="H690" i="6"/>
  <c r="H689" i="6"/>
  <c r="H688" i="6"/>
  <c r="H685" i="6"/>
  <c r="H684" i="6"/>
  <c r="H683" i="6"/>
  <c r="H682" i="6"/>
  <c r="H679" i="6"/>
  <c r="H678" i="6"/>
  <c r="H677" i="6"/>
  <c r="H676" i="6"/>
  <c r="H673" i="6"/>
  <c r="H672" i="6"/>
  <c r="H671" i="6"/>
  <c r="H670" i="6"/>
  <c r="H667" i="6"/>
  <c r="H666" i="6"/>
  <c r="H665" i="6"/>
  <c r="H664" i="6"/>
  <c r="H661" i="6"/>
  <c r="H660" i="6"/>
  <c r="H659" i="6"/>
  <c r="H658" i="6"/>
  <c r="H655" i="6"/>
  <c r="H654" i="6"/>
  <c r="H653" i="6"/>
  <c r="H652" i="6"/>
  <c r="H649" i="6"/>
  <c r="H648" i="6"/>
  <c r="H647" i="6"/>
  <c r="H646" i="6"/>
  <c r="H643" i="6"/>
  <c r="H642" i="6"/>
  <c r="H641" i="6"/>
  <c r="H640" i="6"/>
  <c r="H637" i="6"/>
  <c r="H636" i="6"/>
  <c r="H635" i="6"/>
  <c r="H634" i="6"/>
  <c r="H631" i="6"/>
  <c r="H630" i="6"/>
  <c r="H629" i="6"/>
  <c r="H628" i="6"/>
  <c r="H625" i="6"/>
  <c r="H624" i="6"/>
  <c r="H623" i="6"/>
  <c r="H622" i="6"/>
  <c r="H619" i="6"/>
  <c r="H618" i="6"/>
  <c r="H617" i="6"/>
  <c r="H616" i="6"/>
  <c r="H613" i="6"/>
  <c r="H612" i="6"/>
  <c r="H611" i="6"/>
  <c r="H610" i="6"/>
  <c r="H607" i="6"/>
  <c r="H606" i="6"/>
  <c r="H605" i="6"/>
  <c r="H604" i="6"/>
  <c r="H601" i="6"/>
  <c r="H600" i="6"/>
  <c r="H599" i="6"/>
  <c r="H598" i="6"/>
  <c r="H595" i="6"/>
  <c r="H594" i="6"/>
  <c r="H593" i="6"/>
  <c r="H592" i="6"/>
  <c r="H589" i="6"/>
  <c r="H588" i="6"/>
  <c r="H587" i="6"/>
  <c r="H586" i="6"/>
  <c r="H583" i="6"/>
  <c r="H582" i="6"/>
  <c r="H581" i="6"/>
  <c r="H580" i="6"/>
  <c r="H577" i="6"/>
  <c r="H576" i="6"/>
  <c r="H575" i="6"/>
  <c r="H574" i="6"/>
  <c r="H571" i="6"/>
  <c r="H570" i="6"/>
  <c r="H569" i="6"/>
  <c r="H568" i="6"/>
  <c r="H565" i="6"/>
  <c r="H564" i="6"/>
  <c r="H563" i="6"/>
  <c r="H562" i="6"/>
  <c r="H559" i="6"/>
  <c r="H558" i="6"/>
  <c r="H557" i="6"/>
  <c r="H556" i="6"/>
  <c r="EA182" i="3" l="1"/>
  <c r="EI182" i="3"/>
  <c r="EQ182" i="3"/>
  <c r="EY182" i="3"/>
  <c r="DX182" i="3"/>
  <c r="EV182" i="3"/>
  <c r="EB182" i="3"/>
  <c r="EF182" i="3"/>
  <c r="EJ182" i="3"/>
  <c r="EN182" i="3"/>
  <c r="ER182" i="3"/>
  <c r="EZ182" i="3"/>
  <c r="FD182" i="3"/>
  <c r="DY182" i="3"/>
  <c r="EC182" i="3"/>
  <c r="EG182" i="3"/>
  <c r="EK182" i="3"/>
  <c r="EO182" i="3"/>
  <c r="ES182" i="3"/>
  <c r="EW182" i="3"/>
  <c r="FA182" i="3"/>
  <c r="FE182" i="3"/>
  <c r="DZ182" i="3"/>
  <c r="ED182" i="3"/>
  <c r="EH182" i="3"/>
  <c r="EL182" i="3"/>
  <c r="EP182" i="3"/>
  <c r="ET182" i="3"/>
  <c r="EX182" i="3"/>
  <c r="FB182" i="3"/>
  <c r="FF182" i="3"/>
  <c r="H58" i="9"/>
  <c r="H29" i="9" s="1"/>
  <c r="H566" i="6"/>
  <c r="I566" i="6" s="1"/>
  <c r="L565" i="6" s="1"/>
  <c r="H572" i="6"/>
  <c r="I572" i="6" s="1"/>
  <c r="L571" i="6" s="1"/>
  <c r="H584" i="6"/>
  <c r="I584" i="6" s="1"/>
  <c r="H590" i="6"/>
  <c r="I590" i="6" s="1"/>
  <c r="H596" i="6"/>
  <c r="I596" i="6" s="1"/>
  <c r="K595" i="6" s="1"/>
  <c r="H728" i="6"/>
  <c r="I728" i="6" s="1"/>
  <c r="M727" i="6" s="1"/>
  <c r="H734" i="6"/>
  <c r="I734" i="6" s="1"/>
  <c r="O733" i="6" s="1"/>
  <c r="H758" i="6"/>
  <c r="H560" i="6"/>
  <c r="I560" i="6" s="1"/>
  <c r="N559" i="6" s="1"/>
  <c r="H578" i="6"/>
  <c r="I578" i="6" s="1"/>
  <c r="O577" i="6" s="1"/>
  <c r="H740" i="6"/>
  <c r="I740" i="6" s="1"/>
  <c r="L739" i="6" s="1"/>
  <c r="H650" i="6"/>
  <c r="I650" i="6" s="1"/>
  <c r="L649" i="6" s="1"/>
  <c r="H656" i="6"/>
  <c r="I656" i="6" s="1"/>
  <c r="M655" i="6" s="1"/>
  <c r="H668" i="6"/>
  <c r="I668" i="6" s="1"/>
  <c r="O667" i="6" s="1"/>
  <c r="H692" i="6"/>
  <c r="I692" i="6" s="1"/>
  <c r="L691" i="6" s="1"/>
  <c r="H704" i="6"/>
  <c r="I704" i="6" s="1"/>
  <c r="L703" i="6" s="1"/>
  <c r="H710" i="6"/>
  <c r="I710" i="6" s="1"/>
  <c r="O709" i="6" s="1"/>
  <c r="H602" i="6"/>
  <c r="I602" i="6" s="1"/>
  <c r="L601" i="6" s="1"/>
  <c r="H620" i="6"/>
  <c r="I620" i="6" s="1"/>
  <c r="M619" i="6" s="1"/>
  <c r="H626" i="6"/>
  <c r="I626" i="6" s="1"/>
  <c r="H770" i="6"/>
  <c r="I770" i="6" s="1"/>
  <c r="L769" i="6" s="1"/>
  <c r="H788" i="6"/>
  <c r="I788" i="6" s="1"/>
  <c r="M787" i="6" s="1"/>
  <c r="H794" i="6"/>
  <c r="I794" i="6" s="1"/>
  <c r="K793" i="6" s="1"/>
  <c r="H800" i="6"/>
  <c r="I800" i="6" s="1"/>
  <c r="K799" i="6" s="1"/>
  <c r="H806" i="6"/>
  <c r="I806" i="6" s="1"/>
  <c r="BU174" i="3"/>
  <c r="CG27" i="9"/>
  <c r="CC85" i="9"/>
  <c r="CD85" i="9" s="1"/>
  <c r="CC172" i="3"/>
  <c r="D27" i="9"/>
  <c r="CC27" i="9"/>
  <c r="CE27" i="9" s="1"/>
  <c r="CF27" i="9"/>
  <c r="CD56" i="9"/>
  <c r="DZ169" i="3"/>
  <c r="ED169" i="3"/>
  <c r="EH169" i="3"/>
  <c r="EL169" i="3"/>
  <c r="EP169" i="3"/>
  <c r="ET169" i="3"/>
  <c r="EX169" i="3"/>
  <c r="FB169" i="3"/>
  <c r="FF169" i="3"/>
  <c r="DY169" i="3"/>
  <c r="EC169" i="3"/>
  <c r="EG169" i="3"/>
  <c r="EK169" i="3"/>
  <c r="EO169" i="3"/>
  <c r="ES169" i="3"/>
  <c r="FA169" i="3"/>
  <c r="FE169" i="3"/>
  <c r="EJ169" i="3"/>
  <c r="DX169" i="3"/>
  <c r="EB169" i="3"/>
  <c r="EF169" i="3"/>
  <c r="EN169" i="3"/>
  <c r="ER169" i="3"/>
  <c r="EV169" i="3"/>
  <c r="EZ169" i="3"/>
  <c r="FD169" i="3"/>
  <c r="EE169" i="3"/>
  <c r="EM169" i="3"/>
  <c r="EU169" i="3"/>
  <c r="FC169" i="3"/>
  <c r="EW169" i="3"/>
  <c r="EA169" i="3"/>
  <c r="EI169" i="3"/>
  <c r="EQ169" i="3"/>
  <c r="EY169" i="3"/>
  <c r="BM174" i="3"/>
  <c r="BE174" i="3"/>
  <c r="H782" i="6"/>
  <c r="I782" i="6" s="1"/>
  <c r="CH173" i="3"/>
  <c r="BK172" i="3"/>
  <c r="BG172" i="3"/>
  <c r="BW172" i="3"/>
  <c r="CA172" i="3"/>
  <c r="H776" i="6"/>
  <c r="I776" i="6" s="1"/>
  <c r="H196" i="2" s="1"/>
  <c r="H764" i="6"/>
  <c r="CR167" i="3"/>
  <c r="DA167" i="3"/>
  <c r="DJ167" i="3"/>
  <c r="DT167" i="3"/>
  <c r="H752" i="6"/>
  <c r="H746" i="6"/>
  <c r="I746" i="6" s="1"/>
  <c r="O745" i="6" s="1"/>
  <c r="DL167" i="3"/>
  <c r="CO167" i="3"/>
  <c r="CW167" i="3"/>
  <c r="DI167" i="3"/>
  <c r="DQ167" i="3"/>
  <c r="CP167" i="3"/>
  <c r="CX167" i="3"/>
  <c r="DB167" i="3"/>
  <c r="DN167" i="3"/>
  <c r="DR167" i="3"/>
  <c r="DV167" i="3"/>
  <c r="CT167" i="3"/>
  <c r="DD167" i="3"/>
  <c r="CN167" i="3"/>
  <c r="CV167" i="3"/>
  <c r="DE167" i="3"/>
  <c r="DP167" i="3"/>
  <c r="BH173" i="3"/>
  <c r="BP173" i="3"/>
  <c r="BX173" i="3"/>
  <c r="CF173" i="3"/>
  <c r="BC173" i="3"/>
  <c r="BK173" i="3"/>
  <c r="BS173" i="3"/>
  <c r="CA173" i="3"/>
  <c r="CI173" i="3"/>
  <c r="BO172" i="3"/>
  <c r="CE172" i="3"/>
  <c r="BD173" i="3"/>
  <c r="BL173" i="3"/>
  <c r="BT173" i="3"/>
  <c r="CB173" i="3"/>
  <c r="CJ173" i="3"/>
  <c r="CC174" i="3"/>
  <c r="BC172" i="3"/>
  <c r="BS172" i="3"/>
  <c r="BG173" i="3"/>
  <c r="BO173" i="3"/>
  <c r="BW173" i="3"/>
  <c r="CE173" i="3"/>
  <c r="CS167" i="3"/>
  <c r="CZ167" i="3"/>
  <c r="DH167" i="3"/>
  <c r="DM167" i="3"/>
  <c r="DU167" i="3"/>
  <c r="I85" i="9"/>
  <c r="G85" i="9" s="1"/>
  <c r="H722" i="6"/>
  <c r="I722" i="6" s="1"/>
  <c r="DF158" i="3"/>
  <c r="H716" i="6"/>
  <c r="I716" i="6" s="1"/>
  <c r="H698" i="6"/>
  <c r="I698" i="6" s="1"/>
  <c r="N160" i="3"/>
  <c r="H686" i="6"/>
  <c r="M685" i="6" s="1"/>
  <c r="H680" i="6"/>
  <c r="I680" i="6" s="1"/>
  <c r="L679" i="6" s="1"/>
  <c r="H674" i="6"/>
  <c r="H662" i="6"/>
  <c r="K661" i="6" s="1"/>
  <c r="H644" i="6"/>
  <c r="I644" i="6" s="1"/>
  <c r="L643" i="6" s="1"/>
  <c r="H638" i="6"/>
  <c r="I638" i="6" s="1"/>
  <c r="H632" i="6"/>
  <c r="I632" i="6" s="1"/>
  <c r="H614" i="6"/>
  <c r="I614" i="6" s="1"/>
  <c r="BE172" i="3"/>
  <c r="BM172" i="3"/>
  <c r="BU172" i="3"/>
  <c r="CJ172" i="3"/>
  <c r="CF172" i="3"/>
  <c r="CG172" i="3"/>
  <c r="CB172" i="3"/>
  <c r="BX172" i="3"/>
  <c r="BT172" i="3"/>
  <c r="BP172" i="3"/>
  <c r="BL172" i="3"/>
  <c r="BH172" i="3"/>
  <c r="BD172" i="3"/>
  <c r="CI172" i="3"/>
  <c r="CD172" i="3"/>
  <c r="BZ172" i="3"/>
  <c r="BV172" i="3"/>
  <c r="BR172" i="3"/>
  <c r="BN172" i="3"/>
  <c r="BJ172" i="3"/>
  <c r="BF172" i="3"/>
  <c r="BB172" i="3"/>
  <c r="BI172" i="3"/>
  <c r="BQ172" i="3"/>
  <c r="BY172" i="3"/>
  <c r="CH172" i="3"/>
  <c r="CI174" i="3"/>
  <c r="CE174" i="3"/>
  <c r="CA174" i="3"/>
  <c r="BW174" i="3"/>
  <c r="BS174" i="3"/>
  <c r="BO174" i="3"/>
  <c r="BK174" i="3"/>
  <c r="BG174" i="3"/>
  <c r="BC174" i="3"/>
  <c r="CH174" i="3"/>
  <c r="CD174" i="3"/>
  <c r="BZ174" i="3"/>
  <c r="BV174" i="3"/>
  <c r="BR174" i="3"/>
  <c r="BN174" i="3"/>
  <c r="BJ174" i="3"/>
  <c r="BF174" i="3"/>
  <c r="BB174" i="3"/>
  <c r="BI174" i="3"/>
  <c r="BQ174" i="3"/>
  <c r="BY174" i="3"/>
  <c r="CG174" i="3"/>
  <c r="BD174" i="3"/>
  <c r="BL174" i="3"/>
  <c r="BT174" i="3"/>
  <c r="CB174" i="3"/>
  <c r="CJ174" i="3"/>
  <c r="BH174" i="3"/>
  <c r="BP174" i="3"/>
  <c r="BX174" i="3"/>
  <c r="CF174" i="3"/>
  <c r="BE173" i="3"/>
  <c r="BI173" i="3"/>
  <c r="BM173" i="3"/>
  <c r="BQ173" i="3"/>
  <c r="BU173" i="3"/>
  <c r="BY173" i="3"/>
  <c r="CC173" i="3"/>
  <c r="CG173" i="3"/>
  <c r="BB173" i="3"/>
  <c r="BF173" i="3"/>
  <c r="BJ173" i="3"/>
  <c r="BN173" i="3"/>
  <c r="BR173" i="3"/>
  <c r="BV173" i="3"/>
  <c r="BZ173" i="3"/>
  <c r="CD173" i="3"/>
  <c r="DS167" i="3"/>
  <c r="CQ167" i="3"/>
  <c r="CU167" i="3"/>
  <c r="CY167" i="3"/>
  <c r="DC167" i="3"/>
  <c r="DG167" i="3"/>
  <c r="DK167" i="3"/>
  <c r="DO167" i="3"/>
  <c r="E151" i="3"/>
  <c r="H608" i="6"/>
  <c r="I608" i="6" s="1"/>
  <c r="L607" i="6" s="1"/>
  <c r="M769" i="6"/>
  <c r="O805" i="6"/>
  <c r="M733" i="6"/>
  <c r="N733" i="6"/>
  <c r="N673" i="6"/>
  <c r="O619" i="6"/>
  <c r="K619" i="6"/>
  <c r="M559" i="6"/>
  <c r="L559" i="6"/>
  <c r="K559" i="6"/>
  <c r="O565" i="6"/>
  <c r="M565" i="6"/>
  <c r="L577" i="6"/>
  <c r="H553" i="6"/>
  <c r="H552" i="6"/>
  <c r="H551" i="6"/>
  <c r="H550" i="6"/>
  <c r="H547" i="6"/>
  <c r="H546" i="6"/>
  <c r="H545" i="6"/>
  <c r="H544" i="6"/>
  <c r="H541" i="6"/>
  <c r="H540" i="6"/>
  <c r="H539" i="6"/>
  <c r="H538" i="6"/>
  <c r="H535" i="6"/>
  <c r="H534" i="6"/>
  <c r="H533" i="6"/>
  <c r="H532" i="6"/>
  <c r="H529" i="6"/>
  <c r="H528" i="6"/>
  <c r="H527" i="6"/>
  <c r="H526" i="6"/>
  <c r="H523" i="6"/>
  <c r="H522" i="6"/>
  <c r="H521" i="6"/>
  <c r="H520" i="6"/>
  <c r="H517" i="6"/>
  <c r="H516" i="6"/>
  <c r="H515" i="6"/>
  <c r="H514" i="6"/>
  <c r="H511" i="6"/>
  <c r="H510" i="6"/>
  <c r="H509" i="6"/>
  <c r="H508" i="6"/>
  <c r="H505" i="6"/>
  <c r="H504" i="6"/>
  <c r="H503" i="6"/>
  <c r="H502" i="6"/>
  <c r="H499" i="6"/>
  <c r="H498" i="6"/>
  <c r="H497" i="6"/>
  <c r="H496" i="6"/>
  <c r="AU182" i="2"/>
  <c r="AT182" i="2"/>
  <c r="AS182" i="2"/>
  <c r="AR182" i="2"/>
  <c r="AO182" i="2"/>
  <c r="AN182" i="2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G182" i="2"/>
  <c r="F182" i="2"/>
  <c r="E182" i="2"/>
  <c r="AU172" i="2"/>
  <c r="AT172" i="2"/>
  <c r="AS172" i="2"/>
  <c r="AR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G172" i="2"/>
  <c r="F172" i="2"/>
  <c r="E172" i="2"/>
  <c r="AU162" i="2"/>
  <c r="AT162" i="2"/>
  <c r="AS162" i="2"/>
  <c r="AR162" i="2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C162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G162" i="2"/>
  <c r="F162" i="2"/>
  <c r="E162" i="2"/>
  <c r="AU152" i="2"/>
  <c r="AT152" i="2"/>
  <c r="AS152" i="2"/>
  <c r="AR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AY52" i="9" s="1"/>
  <c r="P152" i="2"/>
  <c r="O152" i="2"/>
  <c r="N152" i="2"/>
  <c r="M152" i="2"/>
  <c r="L152" i="2"/>
  <c r="AT52" i="9" s="1"/>
  <c r="K152" i="2"/>
  <c r="AS52" i="9" s="1"/>
  <c r="G152" i="2"/>
  <c r="D52" i="9" s="1"/>
  <c r="F152" i="2"/>
  <c r="C52" i="9" s="1"/>
  <c r="E152" i="2"/>
  <c r="B52" i="9" s="1"/>
  <c r="B23" i="9" s="1"/>
  <c r="AU142" i="2"/>
  <c r="AT142" i="2"/>
  <c r="AS142" i="2"/>
  <c r="AR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G142" i="2"/>
  <c r="D51" i="9" s="1"/>
  <c r="F142" i="2"/>
  <c r="C51" i="9" s="1"/>
  <c r="E142" i="2"/>
  <c r="B51" i="9" s="1"/>
  <c r="B22" i="9" s="1"/>
  <c r="O571" i="6" l="1"/>
  <c r="M571" i="6"/>
  <c r="N571" i="6"/>
  <c r="K571" i="6"/>
  <c r="N577" i="6"/>
  <c r="K577" i="6"/>
  <c r="M577" i="6"/>
  <c r="K583" i="6"/>
  <c r="O739" i="6"/>
  <c r="N589" i="6"/>
  <c r="M583" i="6"/>
  <c r="O583" i="6"/>
  <c r="L793" i="6"/>
  <c r="O637" i="6"/>
  <c r="I764" i="6"/>
  <c r="L727" i="6"/>
  <c r="I752" i="6"/>
  <c r="N751" i="6" s="1"/>
  <c r="N595" i="6"/>
  <c r="L667" i="6"/>
  <c r="K727" i="6"/>
  <c r="L595" i="6"/>
  <c r="L655" i="6"/>
  <c r="O727" i="6"/>
  <c r="N727" i="6"/>
  <c r="N745" i="6"/>
  <c r="K805" i="6"/>
  <c r="H201" i="2"/>
  <c r="H223" i="2" s="1"/>
  <c r="CI182" i="3"/>
  <c r="BY182" i="3"/>
  <c r="BF182" i="3"/>
  <c r="BK182" i="3"/>
  <c r="CH182" i="3"/>
  <c r="BP182" i="3"/>
  <c r="CG182" i="3"/>
  <c r="BM182" i="3"/>
  <c r="BV182" i="3"/>
  <c r="BT182" i="3"/>
  <c r="BS182" i="3"/>
  <c r="CC182" i="3"/>
  <c r="BB182" i="3"/>
  <c r="CA182" i="3"/>
  <c r="BQ182" i="3"/>
  <c r="BJ182" i="3"/>
  <c r="BZ182" i="3"/>
  <c r="BH182" i="3"/>
  <c r="BX182" i="3"/>
  <c r="CJ182" i="3"/>
  <c r="BC182" i="3"/>
  <c r="BO182" i="3"/>
  <c r="BW182" i="3"/>
  <c r="BR182" i="3"/>
  <c r="BD182" i="3"/>
  <c r="CF182" i="3"/>
  <c r="BE182" i="3"/>
  <c r="CE182" i="3"/>
  <c r="BI182" i="3"/>
  <c r="BN182" i="3"/>
  <c r="CD182" i="3"/>
  <c r="BL182" i="3"/>
  <c r="CB182" i="3"/>
  <c r="BU182" i="3"/>
  <c r="BG182" i="3"/>
  <c r="L583" i="6"/>
  <c r="N619" i="6"/>
  <c r="M781" i="6"/>
  <c r="L631" i="6"/>
  <c r="N691" i="6"/>
  <c r="L733" i="6"/>
  <c r="O595" i="6"/>
  <c r="M595" i="6"/>
  <c r="N565" i="6"/>
  <c r="O559" i="6"/>
  <c r="M673" i="6"/>
  <c r="N709" i="6"/>
  <c r="L805" i="6"/>
  <c r="K769" i="6"/>
  <c r="M709" i="6"/>
  <c r="K565" i="6"/>
  <c r="M631" i="6"/>
  <c r="K655" i="6"/>
  <c r="O793" i="6"/>
  <c r="N769" i="6"/>
  <c r="I758" i="6"/>
  <c r="N757" i="6" s="1"/>
  <c r="O589" i="6"/>
  <c r="N703" i="6"/>
  <c r="K589" i="6"/>
  <c r="N649" i="6"/>
  <c r="M703" i="6"/>
  <c r="N781" i="6"/>
  <c r="K649" i="6"/>
  <c r="L799" i="6"/>
  <c r="H518" i="6"/>
  <c r="I518" i="6" s="1"/>
  <c r="H151" i="2" s="1"/>
  <c r="H524" i="6"/>
  <c r="I524" i="6" s="1"/>
  <c r="L523" i="6" s="1"/>
  <c r="H530" i="6"/>
  <c r="I530" i="6" s="1"/>
  <c r="K529" i="6" s="1"/>
  <c r="M589" i="6"/>
  <c r="N583" i="6"/>
  <c r="O625" i="6"/>
  <c r="L619" i="6"/>
  <c r="M613" i="6"/>
  <c r="K673" i="6"/>
  <c r="L661" i="6"/>
  <c r="O649" i="6"/>
  <c r="O703" i="6"/>
  <c r="O691" i="6"/>
  <c r="K745" i="6"/>
  <c r="M745" i="6"/>
  <c r="K739" i="6"/>
  <c r="K733" i="6"/>
  <c r="N793" i="6"/>
  <c r="M793" i="6"/>
  <c r="L589" i="6"/>
  <c r="O613" i="6"/>
  <c r="M649" i="6"/>
  <c r="K703" i="6"/>
  <c r="O631" i="6"/>
  <c r="M625" i="6"/>
  <c r="L673" i="6"/>
  <c r="M691" i="6"/>
  <c r="L745" i="6"/>
  <c r="N739" i="6"/>
  <c r="M739" i="6"/>
  <c r="O601" i="6"/>
  <c r="N667" i="6"/>
  <c r="M667" i="6"/>
  <c r="K781" i="6"/>
  <c r="K631" i="6"/>
  <c r="N631" i="6"/>
  <c r="M601" i="6"/>
  <c r="O673" i="6"/>
  <c r="K667" i="6"/>
  <c r="N805" i="6"/>
  <c r="M805" i="6"/>
  <c r="K787" i="6"/>
  <c r="O781" i="6"/>
  <c r="O769" i="6"/>
  <c r="M637" i="6"/>
  <c r="K709" i="6"/>
  <c r="L787" i="6"/>
  <c r="L781" i="6"/>
  <c r="H554" i="6"/>
  <c r="I554" i="6" s="1"/>
  <c r="O715" i="6"/>
  <c r="H506" i="6"/>
  <c r="I506" i="6" s="1"/>
  <c r="H149" i="2" s="1"/>
  <c r="H512" i="6"/>
  <c r="I512" i="6" s="1"/>
  <c r="H150" i="2" s="1"/>
  <c r="L637" i="6"/>
  <c r="K625" i="6"/>
  <c r="N625" i="6"/>
  <c r="L613" i="6"/>
  <c r="K601" i="6"/>
  <c r="N601" i="6"/>
  <c r="O655" i="6"/>
  <c r="L709" i="6"/>
  <c r="K691" i="6"/>
  <c r="N799" i="6"/>
  <c r="M799" i="6"/>
  <c r="O787" i="6"/>
  <c r="M643" i="6"/>
  <c r="O607" i="6"/>
  <c r="H156" i="2"/>
  <c r="O661" i="6"/>
  <c r="O679" i="6"/>
  <c r="H536" i="6"/>
  <c r="I536" i="6" s="1"/>
  <c r="K535" i="6" s="1"/>
  <c r="H542" i="6"/>
  <c r="I542" i="6" s="1"/>
  <c r="L541" i="6" s="1"/>
  <c r="H548" i="6"/>
  <c r="I548" i="6" s="1"/>
  <c r="K637" i="6"/>
  <c r="N637" i="6"/>
  <c r="L625" i="6"/>
  <c r="K613" i="6"/>
  <c r="N613" i="6"/>
  <c r="N655" i="6"/>
  <c r="O799" i="6"/>
  <c r="N787" i="6"/>
  <c r="M697" i="6"/>
  <c r="O721" i="6"/>
  <c r="CX158" i="3"/>
  <c r="DK171" i="3"/>
  <c r="DK182" i="3" s="1"/>
  <c r="AF86" i="9" s="1"/>
  <c r="CR171" i="3"/>
  <c r="CR182" i="3" s="1"/>
  <c r="M86" i="9" s="1"/>
  <c r="DH171" i="3"/>
  <c r="DH182" i="3" s="1"/>
  <c r="AC86" i="9" s="1"/>
  <c r="DF171" i="3"/>
  <c r="DF182" i="3" s="1"/>
  <c r="AA86" i="9" s="1"/>
  <c r="CH27" i="9"/>
  <c r="CR158" i="3"/>
  <c r="CQ171" i="3"/>
  <c r="CQ182" i="3" s="1"/>
  <c r="DO171" i="3"/>
  <c r="DO182" i="3" s="1"/>
  <c r="AJ86" i="9" s="1"/>
  <c r="CT171" i="3"/>
  <c r="CT182" i="3" s="1"/>
  <c r="O86" i="9" s="1"/>
  <c r="DE171" i="3"/>
  <c r="DE182" i="3" s="1"/>
  <c r="Z86" i="9" s="1"/>
  <c r="DG149" i="3"/>
  <c r="CX171" i="3"/>
  <c r="CX182" i="3" s="1"/>
  <c r="S86" i="9" s="1"/>
  <c r="DG171" i="3"/>
  <c r="DG182" i="3" s="1"/>
  <c r="AB86" i="9" s="1"/>
  <c r="CP171" i="3"/>
  <c r="CP182" i="3" s="1"/>
  <c r="DR171" i="3"/>
  <c r="DR182" i="3" s="1"/>
  <c r="AM86" i="9" s="1"/>
  <c r="CW171" i="3"/>
  <c r="CW182" i="3" s="1"/>
  <c r="R86" i="9" s="1"/>
  <c r="DC171" i="3"/>
  <c r="DC182" i="3" s="1"/>
  <c r="X86" i="9" s="1"/>
  <c r="CV171" i="3"/>
  <c r="CV182" i="3" s="1"/>
  <c r="Q86" i="9" s="1"/>
  <c r="DL171" i="3"/>
  <c r="DL182" i="3" s="1"/>
  <c r="AG86" i="9" s="1"/>
  <c r="DJ171" i="3"/>
  <c r="DJ182" i="3" s="1"/>
  <c r="AE86" i="9" s="1"/>
  <c r="DV171" i="3"/>
  <c r="DV182" i="3" s="1"/>
  <c r="AQ86" i="9" s="1"/>
  <c r="DQ171" i="3"/>
  <c r="DQ182" i="3" s="1"/>
  <c r="AL86" i="9" s="1"/>
  <c r="DM171" i="3"/>
  <c r="DM182" i="3" s="1"/>
  <c r="AH86" i="9" s="1"/>
  <c r="CQ149" i="3"/>
  <c r="CU171" i="3"/>
  <c r="CU182" i="3" s="1"/>
  <c r="P86" i="9" s="1"/>
  <c r="CZ171" i="3"/>
  <c r="CZ182" i="3" s="1"/>
  <c r="U86" i="9" s="1"/>
  <c r="DP171" i="3"/>
  <c r="DP182" i="3" s="1"/>
  <c r="AK86" i="9" s="1"/>
  <c r="DN171" i="3"/>
  <c r="DN182" i="3" s="1"/>
  <c r="AI86" i="9" s="1"/>
  <c r="CO171" i="3"/>
  <c r="CO182" i="3" s="1"/>
  <c r="L86" i="9" s="1"/>
  <c r="DA171" i="3"/>
  <c r="DA182" i="3" s="1"/>
  <c r="V86" i="9" s="1"/>
  <c r="DI171" i="3"/>
  <c r="DI182" i="3" s="1"/>
  <c r="AD86" i="9" s="1"/>
  <c r="DQ158" i="3"/>
  <c r="DT171" i="3"/>
  <c r="DT182" i="3" s="1"/>
  <c r="AO86" i="9" s="1"/>
  <c r="CN171" i="3"/>
  <c r="CN182" i="3" s="1"/>
  <c r="K86" i="9" s="1"/>
  <c r="DD171" i="3"/>
  <c r="DD182" i="3" s="1"/>
  <c r="Y86" i="9" s="1"/>
  <c r="DU171" i="3"/>
  <c r="DU182" i="3" s="1"/>
  <c r="AP86" i="9" s="1"/>
  <c r="DB171" i="3"/>
  <c r="DB182" i="3" s="1"/>
  <c r="W86" i="9" s="1"/>
  <c r="DS171" i="3"/>
  <c r="DS182" i="3" s="1"/>
  <c r="AN86" i="9" s="1"/>
  <c r="CY171" i="3"/>
  <c r="CY182" i="3" s="1"/>
  <c r="T86" i="9" s="1"/>
  <c r="CS171" i="3"/>
  <c r="CS182" i="3" s="1"/>
  <c r="N86" i="9" s="1"/>
  <c r="I86" i="9"/>
  <c r="G86" i="9" s="1"/>
  <c r="CG26" i="9"/>
  <c r="CD27" i="9"/>
  <c r="BJ169" i="3"/>
  <c r="DF162" i="3"/>
  <c r="BL169" i="3"/>
  <c r="DF149" i="3"/>
  <c r="DP158" i="3"/>
  <c r="BD169" i="3"/>
  <c r="DH158" i="3"/>
  <c r="DU158" i="3"/>
  <c r="DJ158" i="3"/>
  <c r="CR149" i="3"/>
  <c r="BR169" i="3"/>
  <c r="DJ149" i="3"/>
  <c r="DT162" i="3"/>
  <c r="DT169" i="3" s="1"/>
  <c r="AO85" i="9" s="1"/>
  <c r="CH169" i="3"/>
  <c r="BT169" i="3"/>
  <c r="CJ169" i="3"/>
  <c r="BB169" i="3"/>
  <c r="DL162" i="3"/>
  <c r="DL169" i="3" s="1"/>
  <c r="AG85" i="9" s="1"/>
  <c r="DN162" i="3"/>
  <c r="DN169" i="3" s="1"/>
  <c r="AI85" i="9" s="1"/>
  <c r="CX162" i="3"/>
  <c r="CX169" i="3" s="1"/>
  <c r="S85" i="9" s="1"/>
  <c r="BZ169" i="3"/>
  <c r="DR158" i="3"/>
  <c r="DV162" i="3"/>
  <c r="DV169" i="3" s="1"/>
  <c r="AQ85" i="9" s="1"/>
  <c r="CB169" i="3"/>
  <c r="DD149" i="3"/>
  <c r="CP162" i="3"/>
  <c r="CP169" i="3" s="1"/>
  <c r="DN158" i="3"/>
  <c r="DF167" i="3"/>
  <c r="DB158" i="3"/>
  <c r="CG25" i="9"/>
  <c r="CF25" i="9"/>
  <c r="CP149" i="3"/>
  <c r="DV149" i="3"/>
  <c r="CT149" i="3"/>
  <c r="CZ158" i="3"/>
  <c r="CP158" i="3"/>
  <c r="DA158" i="3"/>
  <c r="DO158" i="3"/>
  <c r="CO158" i="3"/>
  <c r="DE158" i="3"/>
  <c r="DD162" i="3"/>
  <c r="DD169" i="3" s="1"/>
  <c r="Y85" i="9" s="1"/>
  <c r="L721" i="6"/>
  <c r="N721" i="6"/>
  <c r="M721" i="6"/>
  <c r="K721" i="6"/>
  <c r="DK158" i="3"/>
  <c r="DS158" i="3"/>
  <c r="CN158" i="3"/>
  <c r="DD158" i="3"/>
  <c r="DT158" i="3"/>
  <c r="CT158" i="3"/>
  <c r="CV158" i="3"/>
  <c r="DL158" i="3"/>
  <c r="CS158" i="3"/>
  <c r="DI158" i="3"/>
  <c r="DV158" i="3"/>
  <c r="DC158" i="3"/>
  <c r="CY158" i="3"/>
  <c r="CU158" i="3"/>
  <c r="CW158" i="3"/>
  <c r="DM158" i="3"/>
  <c r="DG158" i="3"/>
  <c r="CQ158" i="3"/>
  <c r="K715" i="6"/>
  <c r="N715" i="6"/>
  <c r="M715" i="6"/>
  <c r="L715" i="6"/>
  <c r="O697" i="6"/>
  <c r="N697" i="6"/>
  <c r="L697" i="6"/>
  <c r="K697" i="6"/>
  <c r="CN162" i="3"/>
  <c r="CN169" i="3" s="1"/>
  <c r="K85" i="9" s="1"/>
  <c r="CV162" i="3"/>
  <c r="CV169" i="3" s="1"/>
  <c r="Q85" i="9" s="1"/>
  <c r="L685" i="6"/>
  <c r="N685" i="6"/>
  <c r="K685" i="6"/>
  <c r="O685" i="6"/>
  <c r="N679" i="6"/>
  <c r="M679" i="6"/>
  <c r="K679" i="6"/>
  <c r="DH149" i="3"/>
  <c r="CX149" i="3"/>
  <c r="DN149" i="3"/>
  <c r="DR149" i="3"/>
  <c r="CY149" i="3"/>
  <c r="DL149" i="3"/>
  <c r="DO149" i="3"/>
  <c r="DB149" i="3"/>
  <c r="CZ149" i="3"/>
  <c r="CO149" i="3"/>
  <c r="DE149" i="3"/>
  <c r="DU149" i="3"/>
  <c r="DS149" i="3"/>
  <c r="CS149" i="3"/>
  <c r="DI149" i="3"/>
  <c r="CU149" i="3"/>
  <c r="CN149" i="3"/>
  <c r="DC149" i="3"/>
  <c r="DP149" i="3"/>
  <c r="CW149" i="3"/>
  <c r="DM149" i="3"/>
  <c r="DT149" i="3"/>
  <c r="DK149" i="3"/>
  <c r="DA149" i="3"/>
  <c r="DQ149" i="3"/>
  <c r="CV149" i="3"/>
  <c r="N661" i="6"/>
  <c r="M661" i="6"/>
  <c r="N643" i="6"/>
  <c r="O643" i="6"/>
  <c r="K643" i="6"/>
  <c r="CI169" i="3"/>
  <c r="DU162" i="3"/>
  <c r="DU169" i="3" s="1"/>
  <c r="AP85" i="9" s="1"/>
  <c r="BC169" i="3"/>
  <c r="CO162" i="3"/>
  <c r="CO169" i="3" s="1"/>
  <c r="L85" i="9" s="1"/>
  <c r="CC169" i="3"/>
  <c r="DO162" i="3"/>
  <c r="DO169" i="3" s="1"/>
  <c r="AJ85" i="9" s="1"/>
  <c r="BM169" i="3"/>
  <c r="CY162" i="3"/>
  <c r="CY169" i="3" s="1"/>
  <c r="T85" i="9" s="1"/>
  <c r="CE169" i="3"/>
  <c r="DQ162" i="3"/>
  <c r="DQ169" i="3" s="1"/>
  <c r="AL85" i="9" s="1"/>
  <c r="BO169" i="3"/>
  <c r="DA162" i="3"/>
  <c r="DA169" i="3" s="1"/>
  <c r="V85" i="9" s="1"/>
  <c r="BP169" i="3"/>
  <c r="DB162" i="3"/>
  <c r="DB169" i="3" s="1"/>
  <c r="W85" i="9" s="1"/>
  <c r="BN169" i="3"/>
  <c r="CZ162" i="3"/>
  <c r="CZ169" i="3" s="1"/>
  <c r="U85" i="9" s="1"/>
  <c r="BY169" i="3"/>
  <c r="DK162" i="3"/>
  <c r="DK169" i="3" s="1"/>
  <c r="AF85" i="9" s="1"/>
  <c r="BI169" i="3"/>
  <c r="CU162" i="3"/>
  <c r="CU169" i="3" s="1"/>
  <c r="P85" i="9" s="1"/>
  <c r="CA169" i="3"/>
  <c r="DM162" i="3"/>
  <c r="DM169" i="3" s="1"/>
  <c r="AH85" i="9" s="1"/>
  <c r="BK169" i="3"/>
  <c r="CW162" i="3"/>
  <c r="CW169" i="3" s="1"/>
  <c r="R85" i="9" s="1"/>
  <c r="BH169" i="3"/>
  <c r="CT162" i="3"/>
  <c r="CT169" i="3" s="1"/>
  <c r="O85" i="9" s="1"/>
  <c r="BF169" i="3"/>
  <c r="CR162" i="3"/>
  <c r="CR169" i="3" s="1"/>
  <c r="M85" i="9" s="1"/>
  <c r="CG169" i="3"/>
  <c r="DS162" i="3"/>
  <c r="DS169" i="3" s="1"/>
  <c r="AN85" i="9" s="1"/>
  <c r="BQ169" i="3"/>
  <c r="DC162" i="3"/>
  <c r="DC169" i="3" s="1"/>
  <c r="X85" i="9" s="1"/>
  <c r="BS169" i="3"/>
  <c r="DE162" i="3"/>
  <c r="DE169" i="3" s="1"/>
  <c r="Z85" i="9" s="1"/>
  <c r="BX169" i="3"/>
  <c r="DJ162" i="3"/>
  <c r="DJ169" i="3" s="1"/>
  <c r="AE85" i="9" s="1"/>
  <c r="BV169" i="3"/>
  <c r="DH162" i="3"/>
  <c r="DH169" i="3" s="1"/>
  <c r="AC85" i="9" s="1"/>
  <c r="BU169" i="3"/>
  <c r="DG162" i="3"/>
  <c r="DG169" i="3" s="1"/>
  <c r="AB85" i="9" s="1"/>
  <c r="BE169" i="3"/>
  <c r="CQ162" i="3"/>
  <c r="CQ169" i="3" s="1"/>
  <c r="BW169" i="3"/>
  <c r="DI162" i="3"/>
  <c r="DI169" i="3" s="1"/>
  <c r="AD85" i="9" s="1"/>
  <c r="BG169" i="3"/>
  <c r="CS162" i="3"/>
  <c r="CS169" i="3" s="1"/>
  <c r="N85" i="9" s="1"/>
  <c r="CF169" i="3"/>
  <c r="DR162" i="3"/>
  <c r="DR169" i="3" s="1"/>
  <c r="AM85" i="9" s="1"/>
  <c r="CD169" i="3"/>
  <c r="DP162" i="3"/>
  <c r="DP169" i="3" s="1"/>
  <c r="AK85" i="9" s="1"/>
  <c r="BH160" i="3"/>
  <c r="CT153" i="3"/>
  <c r="BV160" i="3"/>
  <c r="DH153" i="3"/>
  <c r="BY160" i="3"/>
  <c r="DK153" i="3"/>
  <c r="DU153" i="3"/>
  <c r="CI160" i="3"/>
  <c r="BC160" i="3"/>
  <c r="CO153" i="3"/>
  <c r="CC160" i="3"/>
  <c r="DO153" i="3"/>
  <c r="DV153" i="3"/>
  <c r="CJ160" i="3"/>
  <c r="DF153" i="3"/>
  <c r="DF160" i="3" s="1"/>
  <c r="BT160" i="3"/>
  <c r="CP153" i="3"/>
  <c r="BD160" i="3"/>
  <c r="BN160" i="3"/>
  <c r="CZ153" i="3"/>
  <c r="BQ160" i="3"/>
  <c r="DC153" i="3"/>
  <c r="CE160" i="3"/>
  <c r="DQ153" i="3"/>
  <c r="DA153" i="3"/>
  <c r="BO160" i="3"/>
  <c r="BR160" i="3"/>
  <c r="DD153" i="3"/>
  <c r="BU160" i="3"/>
  <c r="DG153" i="3"/>
  <c r="CF160" i="3"/>
  <c r="DR153" i="3"/>
  <c r="BP160" i="3"/>
  <c r="DB153" i="3"/>
  <c r="CH160" i="3"/>
  <c r="DT153" i="3"/>
  <c r="BF160" i="3"/>
  <c r="CR153" i="3"/>
  <c r="BI160" i="3"/>
  <c r="CU153" i="3"/>
  <c r="CA160" i="3"/>
  <c r="DM153" i="3"/>
  <c r="BK160" i="3"/>
  <c r="CW153" i="3"/>
  <c r="BJ160" i="3"/>
  <c r="CV153" i="3"/>
  <c r="BM160" i="3"/>
  <c r="CY153" i="3"/>
  <c r="BX160" i="3"/>
  <c r="DJ153" i="3"/>
  <c r="DE153" i="3"/>
  <c r="BS160" i="3"/>
  <c r="BZ160" i="3"/>
  <c r="DL153" i="3"/>
  <c r="DN153" i="3"/>
  <c r="CB160" i="3"/>
  <c r="CX153" i="3"/>
  <c r="BL160" i="3"/>
  <c r="CD160" i="3"/>
  <c r="DP153" i="3"/>
  <c r="CG160" i="3"/>
  <c r="DS153" i="3"/>
  <c r="DI153" i="3"/>
  <c r="BW160" i="3"/>
  <c r="CS153" i="3"/>
  <c r="BG160" i="3"/>
  <c r="BB160" i="3"/>
  <c r="CN153" i="3"/>
  <c r="BE160" i="3"/>
  <c r="CQ153" i="3"/>
  <c r="CP144" i="3"/>
  <c r="BD151" i="3"/>
  <c r="BQ151" i="3"/>
  <c r="DC144" i="3"/>
  <c r="BU151" i="3"/>
  <c r="DG144" i="3"/>
  <c r="BW151" i="3"/>
  <c r="DI144" i="3"/>
  <c r="BZ151" i="3"/>
  <c r="DL144" i="3"/>
  <c r="BX151" i="3"/>
  <c r="DJ144" i="3"/>
  <c r="BG151" i="3"/>
  <c r="CS144" i="3"/>
  <c r="BP151" i="3"/>
  <c r="DB144" i="3"/>
  <c r="BY151" i="3"/>
  <c r="DK144" i="3"/>
  <c r="BM151" i="3"/>
  <c r="CY144" i="3"/>
  <c r="CX144" i="3"/>
  <c r="BL151" i="3"/>
  <c r="BN151" i="3"/>
  <c r="CZ144" i="3"/>
  <c r="CD151" i="3"/>
  <c r="DP144" i="3"/>
  <c r="CE151" i="3"/>
  <c r="DQ144" i="3"/>
  <c r="BH151" i="3"/>
  <c r="CT144" i="3"/>
  <c r="CF151" i="3"/>
  <c r="DR144" i="3"/>
  <c r="BK151" i="3"/>
  <c r="CW144" i="3"/>
  <c r="BT151" i="3"/>
  <c r="DF144" i="3"/>
  <c r="CI151" i="3"/>
  <c r="DU144" i="3"/>
  <c r="BC151" i="3"/>
  <c r="CO144" i="3"/>
  <c r="BB151" i="3"/>
  <c r="CN144" i="3"/>
  <c r="BR151" i="3"/>
  <c r="DD144" i="3"/>
  <c r="CH151" i="3"/>
  <c r="DT144" i="3"/>
  <c r="DV144" i="3"/>
  <c r="CJ151" i="3"/>
  <c r="BS151" i="3"/>
  <c r="DE144" i="3"/>
  <c r="BJ151" i="3"/>
  <c r="CV144" i="3"/>
  <c r="BO151" i="3"/>
  <c r="DA144" i="3"/>
  <c r="DN144" i="3"/>
  <c r="CB151" i="3"/>
  <c r="CA151" i="3"/>
  <c r="DM144" i="3"/>
  <c r="BE151" i="3"/>
  <c r="CQ144" i="3"/>
  <c r="BI151" i="3"/>
  <c r="CU144" i="3"/>
  <c r="CC151" i="3"/>
  <c r="DO144" i="3"/>
  <c r="CG151" i="3"/>
  <c r="DS144" i="3"/>
  <c r="BF151" i="3"/>
  <c r="CR144" i="3"/>
  <c r="BV151" i="3"/>
  <c r="DH144" i="3"/>
  <c r="M607" i="6"/>
  <c r="K607" i="6"/>
  <c r="N607" i="6"/>
  <c r="H500" i="6"/>
  <c r="I500" i="6" s="1"/>
  <c r="K499" i="6" s="1"/>
  <c r="AZ142" i="3"/>
  <c r="AY142" i="3"/>
  <c r="AV142" i="3"/>
  <c r="AU142" i="3"/>
  <c r="AT142" i="3"/>
  <c r="AS142" i="3"/>
  <c r="AR142" i="3"/>
  <c r="AQ142" i="3"/>
  <c r="AP142" i="3"/>
  <c r="AO142" i="3"/>
  <c r="AN142" i="3"/>
  <c r="AM142" i="3"/>
  <c r="AL142" i="3"/>
  <c r="AK142" i="3"/>
  <c r="AJ142" i="3"/>
  <c r="AI142" i="3"/>
  <c r="AH142" i="3"/>
  <c r="AG142" i="3"/>
  <c r="AF142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E142" i="3"/>
  <c r="D142" i="3"/>
  <c r="CJ140" i="3"/>
  <c r="CI140" i="3"/>
  <c r="CH140" i="3"/>
  <c r="CG140" i="3"/>
  <c r="CF140" i="3"/>
  <c r="CE140" i="3"/>
  <c r="CD140" i="3"/>
  <c r="CC140" i="3"/>
  <c r="CB140" i="3"/>
  <c r="CA140" i="3"/>
  <c r="BZ140" i="3"/>
  <c r="BY140" i="3"/>
  <c r="BX140" i="3"/>
  <c r="BW140" i="3"/>
  <c r="BV140" i="3"/>
  <c r="BU140" i="3"/>
  <c r="BT140" i="3"/>
  <c r="BS140" i="3"/>
  <c r="BR140" i="3"/>
  <c r="BQ140" i="3"/>
  <c r="BP140" i="3"/>
  <c r="BO140" i="3"/>
  <c r="BN140" i="3"/>
  <c r="BM140" i="3"/>
  <c r="BL140" i="3"/>
  <c r="BK140" i="3"/>
  <c r="BJ140" i="3"/>
  <c r="BI140" i="3"/>
  <c r="BH140" i="3"/>
  <c r="BG140" i="3"/>
  <c r="BF140" i="3"/>
  <c r="BE140" i="3"/>
  <c r="BD140" i="3"/>
  <c r="BC140" i="3"/>
  <c r="BB140" i="3"/>
  <c r="CJ137" i="3"/>
  <c r="CI137" i="3"/>
  <c r="CH137" i="3"/>
  <c r="CG137" i="3"/>
  <c r="CF137" i="3"/>
  <c r="CE137" i="3"/>
  <c r="CD137" i="3"/>
  <c r="CC137" i="3"/>
  <c r="CB137" i="3"/>
  <c r="CA137" i="3"/>
  <c r="BZ137" i="3"/>
  <c r="BY137" i="3"/>
  <c r="BX137" i="3"/>
  <c r="BW137" i="3"/>
  <c r="BV137" i="3"/>
  <c r="BU137" i="3"/>
  <c r="BT137" i="3"/>
  <c r="BS137" i="3"/>
  <c r="BR137" i="3"/>
  <c r="BQ137" i="3"/>
  <c r="BP137" i="3"/>
  <c r="BO137" i="3"/>
  <c r="BN137" i="3"/>
  <c r="BM137" i="3"/>
  <c r="BL137" i="3"/>
  <c r="BK137" i="3"/>
  <c r="BJ137" i="3"/>
  <c r="BI137" i="3"/>
  <c r="BH137" i="3"/>
  <c r="BG137" i="3"/>
  <c r="BF137" i="3"/>
  <c r="BE137" i="3"/>
  <c r="BD137" i="3"/>
  <c r="BC137" i="3"/>
  <c r="BB137" i="3"/>
  <c r="AZ133" i="3"/>
  <c r="CA81" i="9" s="1"/>
  <c r="CA23" i="9" s="1"/>
  <c r="AY133" i="3"/>
  <c r="BZ81" i="9" s="1"/>
  <c r="BZ23" i="9" s="1"/>
  <c r="AV133" i="3"/>
  <c r="BY81" i="9" s="1"/>
  <c r="BY23" i="9" s="1"/>
  <c r="AU133" i="3"/>
  <c r="BX81" i="9" s="1"/>
  <c r="BX23" i="9" s="1"/>
  <c r="AT133" i="3"/>
  <c r="BW81" i="9" s="1"/>
  <c r="BW23" i="9" s="1"/>
  <c r="AS133" i="3"/>
  <c r="BV81" i="9" s="1"/>
  <c r="BV23" i="9" s="1"/>
  <c r="AR133" i="3"/>
  <c r="BU81" i="9" s="1"/>
  <c r="BU23" i="9" s="1"/>
  <c r="AQ133" i="3"/>
  <c r="BT81" i="9" s="1"/>
  <c r="BT23" i="9" s="1"/>
  <c r="AP133" i="3"/>
  <c r="BS81" i="9" s="1"/>
  <c r="BS23" i="9" s="1"/>
  <c r="AO133" i="3"/>
  <c r="BR81" i="9" s="1"/>
  <c r="BR23" i="9" s="1"/>
  <c r="AN133" i="3"/>
  <c r="BQ81" i="9" s="1"/>
  <c r="BQ23" i="9" s="1"/>
  <c r="AM133" i="3"/>
  <c r="BP81" i="9" s="1"/>
  <c r="BP23" i="9" s="1"/>
  <c r="AL133" i="3"/>
  <c r="BO81" i="9" s="1"/>
  <c r="BO23" i="9" s="1"/>
  <c r="AK133" i="3"/>
  <c r="BN81" i="9" s="1"/>
  <c r="BN23" i="9" s="1"/>
  <c r="AJ133" i="3"/>
  <c r="BM81" i="9" s="1"/>
  <c r="BM23" i="9" s="1"/>
  <c r="AI133" i="3"/>
  <c r="BL81" i="9" s="1"/>
  <c r="BL23" i="9" s="1"/>
  <c r="AH133" i="3"/>
  <c r="BK81" i="9" s="1"/>
  <c r="BK23" i="9" s="1"/>
  <c r="AG133" i="3"/>
  <c r="BJ81" i="9" s="1"/>
  <c r="BJ23" i="9" s="1"/>
  <c r="AF133" i="3"/>
  <c r="BI81" i="9" s="1"/>
  <c r="BI23" i="9" s="1"/>
  <c r="AE133" i="3"/>
  <c r="BH81" i="9" s="1"/>
  <c r="BH23" i="9" s="1"/>
  <c r="AD133" i="3"/>
  <c r="BG81" i="9" s="1"/>
  <c r="BG23" i="9" s="1"/>
  <c r="AC133" i="3"/>
  <c r="BF81" i="9" s="1"/>
  <c r="BF23" i="9" s="1"/>
  <c r="AB133" i="3"/>
  <c r="BE81" i="9" s="1"/>
  <c r="BE23" i="9" s="1"/>
  <c r="AA133" i="3"/>
  <c r="BD81" i="9" s="1"/>
  <c r="BD23" i="9" s="1"/>
  <c r="Z133" i="3"/>
  <c r="BC81" i="9" s="1"/>
  <c r="BC23" i="9" s="1"/>
  <c r="Y133" i="3"/>
  <c r="BB81" i="9" s="1"/>
  <c r="BB23" i="9" s="1"/>
  <c r="X133" i="3"/>
  <c r="BA81" i="9" s="1"/>
  <c r="BA23" i="9" s="1"/>
  <c r="W133" i="3"/>
  <c r="AZ81" i="9" s="1"/>
  <c r="AZ23" i="9" s="1"/>
  <c r="V133" i="3"/>
  <c r="AY81" i="9" s="1"/>
  <c r="AY23" i="9" s="1"/>
  <c r="U133" i="3"/>
  <c r="AX81" i="9" s="1"/>
  <c r="AX23" i="9" s="1"/>
  <c r="T133" i="3"/>
  <c r="AW81" i="9" s="1"/>
  <c r="AW23" i="9" s="1"/>
  <c r="S133" i="3"/>
  <c r="AV81" i="9" s="1"/>
  <c r="AV23" i="9" s="1"/>
  <c r="R133" i="3"/>
  <c r="AU81" i="9" s="1"/>
  <c r="AU23" i="9" s="1"/>
  <c r="Q133" i="3"/>
  <c r="AT81" i="9" s="1"/>
  <c r="AT23" i="9" s="1"/>
  <c r="P133" i="3"/>
  <c r="AS81" i="9" s="1"/>
  <c r="AS23" i="9" s="1"/>
  <c r="E133" i="3"/>
  <c r="I81" i="9" s="1"/>
  <c r="D133" i="3"/>
  <c r="C81" i="9" s="1"/>
  <c r="DE133" i="3"/>
  <c r="Z81" i="9" s="1"/>
  <c r="CW133" i="3"/>
  <c r="R81" i="9" s="1"/>
  <c r="CO133" i="3"/>
  <c r="L81" i="9" s="1"/>
  <c r="CJ133" i="3"/>
  <c r="DT133" i="3"/>
  <c r="AO81" i="9" s="1"/>
  <c r="CF133" i="3"/>
  <c r="DP133" i="3"/>
  <c r="AK81" i="9" s="1"/>
  <c r="CB133" i="3"/>
  <c r="DL133" i="3"/>
  <c r="AG81" i="9" s="1"/>
  <c r="BX133" i="3"/>
  <c r="BW133" i="3"/>
  <c r="DH133" i="3"/>
  <c r="AC81" i="9" s="1"/>
  <c r="BT133" i="3"/>
  <c r="BS133" i="3"/>
  <c r="DD133" i="3"/>
  <c r="Y81" i="9" s="1"/>
  <c r="BP133" i="3"/>
  <c r="BO133" i="3"/>
  <c r="CZ133" i="3"/>
  <c r="U81" i="9" s="1"/>
  <c r="BL133" i="3"/>
  <c r="BK133" i="3"/>
  <c r="CV133" i="3"/>
  <c r="Q81" i="9" s="1"/>
  <c r="BH133" i="3"/>
  <c r="BG133" i="3"/>
  <c r="CR133" i="3"/>
  <c r="M81" i="9" s="1"/>
  <c r="BD133" i="3"/>
  <c r="BC133" i="3"/>
  <c r="CN133" i="3"/>
  <c r="K81" i="9" s="1"/>
  <c r="AZ124" i="3"/>
  <c r="CA80" i="9" s="1"/>
  <c r="CA22" i="9" s="1"/>
  <c r="AY124" i="3"/>
  <c r="BZ80" i="9" s="1"/>
  <c r="BZ22" i="9" s="1"/>
  <c r="AV124" i="3"/>
  <c r="BY80" i="9" s="1"/>
  <c r="BY22" i="9" s="1"/>
  <c r="AU124" i="3"/>
  <c r="BX80" i="9" s="1"/>
  <c r="BX22" i="9" s="1"/>
  <c r="AT124" i="3"/>
  <c r="BW80" i="9" s="1"/>
  <c r="BW22" i="9" s="1"/>
  <c r="AS124" i="3"/>
  <c r="BV80" i="9" s="1"/>
  <c r="BV22" i="9" s="1"/>
  <c r="AR124" i="3"/>
  <c r="BU80" i="9" s="1"/>
  <c r="BU22" i="9" s="1"/>
  <c r="AQ124" i="3"/>
  <c r="BT80" i="9" s="1"/>
  <c r="BT22" i="9" s="1"/>
  <c r="AP124" i="3"/>
  <c r="BS80" i="9" s="1"/>
  <c r="BS22" i="9" s="1"/>
  <c r="AO124" i="3"/>
  <c r="BR80" i="9" s="1"/>
  <c r="BR22" i="9" s="1"/>
  <c r="AN124" i="3"/>
  <c r="BQ80" i="9" s="1"/>
  <c r="BQ22" i="9" s="1"/>
  <c r="AM124" i="3"/>
  <c r="BP80" i="9" s="1"/>
  <c r="BP22" i="9" s="1"/>
  <c r="AL124" i="3"/>
  <c r="BO80" i="9" s="1"/>
  <c r="BO22" i="9" s="1"/>
  <c r="AK124" i="3"/>
  <c r="BN80" i="9" s="1"/>
  <c r="BN22" i="9" s="1"/>
  <c r="AJ124" i="3"/>
  <c r="BM80" i="9" s="1"/>
  <c r="BM22" i="9" s="1"/>
  <c r="AI124" i="3"/>
  <c r="BL80" i="9" s="1"/>
  <c r="BL22" i="9" s="1"/>
  <c r="AH124" i="3"/>
  <c r="BK80" i="9" s="1"/>
  <c r="BK22" i="9" s="1"/>
  <c r="AG124" i="3"/>
  <c r="BJ80" i="9" s="1"/>
  <c r="BJ22" i="9" s="1"/>
  <c r="AF124" i="3"/>
  <c r="BI80" i="9" s="1"/>
  <c r="BI22" i="9" s="1"/>
  <c r="AE124" i="3"/>
  <c r="BH80" i="9" s="1"/>
  <c r="BH22" i="9" s="1"/>
  <c r="AD124" i="3"/>
  <c r="BG80" i="9" s="1"/>
  <c r="BG22" i="9" s="1"/>
  <c r="AC124" i="3"/>
  <c r="BF80" i="9" s="1"/>
  <c r="BF22" i="9" s="1"/>
  <c r="AB124" i="3"/>
  <c r="BE80" i="9" s="1"/>
  <c r="BE22" i="9" s="1"/>
  <c r="AA124" i="3"/>
  <c r="BD80" i="9" s="1"/>
  <c r="BD22" i="9" s="1"/>
  <c r="Z124" i="3"/>
  <c r="BC80" i="9" s="1"/>
  <c r="BC22" i="9" s="1"/>
  <c r="Y124" i="3"/>
  <c r="BB80" i="9" s="1"/>
  <c r="BB22" i="9" s="1"/>
  <c r="X124" i="3"/>
  <c r="BA80" i="9" s="1"/>
  <c r="BA22" i="9" s="1"/>
  <c r="W124" i="3"/>
  <c r="AZ80" i="9" s="1"/>
  <c r="AZ22" i="9" s="1"/>
  <c r="V124" i="3"/>
  <c r="AY80" i="9" s="1"/>
  <c r="AY22" i="9" s="1"/>
  <c r="U124" i="3"/>
  <c r="AX80" i="9" s="1"/>
  <c r="AX22" i="9" s="1"/>
  <c r="T124" i="3"/>
  <c r="AW80" i="9" s="1"/>
  <c r="AW22" i="9" s="1"/>
  <c r="S124" i="3"/>
  <c r="AV80" i="9" s="1"/>
  <c r="AV22" i="9" s="1"/>
  <c r="R124" i="3"/>
  <c r="AU80" i="9" s="1"/>
  <c r="AU22" i="9" s="1"/>
  <c r="Q124" i="3"/>
  <c r="AT80" i="9" s="1"/>
  <c r="AT22" i="9" s="1"/>
  <c r="P124" i="3"/>
  <c r="AS80" i="9" s="1"/>
  <c r="AS22" i="9" s="1"/>
  <c r="E124" i="3"/>
  <c r="D80" i="9" s="1"/>
  <c r="I80" i="9" s="1"/>
  <c r="D124" i="3"/>
  <c r="C80" i="9" s="1"/>
  <c r="C22" i="9" s="1"/>
  <c r="CD124" i="3"/>
  <c r="BZ124" i="3"/>
  <c r="DG124" i="3"/>
  <c r="AB80" i="9" s="1"/>
  <c r="BN124" i="3"/>
  <c r="BJ124" i="3"/>
  <c r="BI124" i="3"/>
  <c r="BE124" i="3"/>
  <c r="M547" i="6" l="1"/>
  <c r="H162" i="2"/>
  <c r="O535" i="6"/>
  <c r="N511" i="6"/>
  <c r="M505" i="6"/>
  <c r="O517" i="6"/>
  <c r="G81" i="9"/>
  <c r="D23" i="9"/>
  <c r="D16" i="14" s="1"/>
  <c r="C23" i="9"/>
  <c r="D22" i="9"/>
  <c r="G80" i="9"/>
  <c r="O553" i="6"/>
  <c r="M529" i="6"/>
  <c r="N529" i="6"/>
  <c r="M517" i="6"/>
  <c r="O529" i="6"/>
  <c r="L529" i="6"/>
  <c r="N535" i="6"/>
  <c r="O505" i="6"/>
  <c r="M499" i="6"/>
  <c r="N523" i="6"/>
  <c r="K751" i="6"/>
  <c r="L751" i="6"/>
  <c r="O751" i="6"/>
  <c r="M757" i="6"/>
  <c r="M751" i="6"/>
  <c r="K757" i="6"/>
  <c r="CH25" i="9"/>
  <c r="L547" i="6"/>
  <c r="N517" i="6"/>
  <c r="M535" i="6"/>
  <c r="L517" i="6"/>
  <c r="N505" i="6"/>
  <c r="L757" i="6"/>
  <c r="O757" i="6"/>
  <c r="O499" i="6"/>
  <c r="M553" i="6"/>
  <c r="L505" i="6"/>
  <c r="O523" i="6"/>
  <c r="K517" i="6"/>
  <c r="K541" i="6"/>
  <c r="L535" i="6"/>
  <c r="K553" i="6"/>
  <c r="H172" i="2"/>
  <c r="K523" i="6"/>
  <c r="K505" i="6"/>
  <c r="M523" i="6"/>
  <c r="N541" i="6"/>
  <c r="O547" i="6"/>
  <c r="M541" i="6"/>
  <c r="L553" i="6"/>
  <c r="H182" i="2"/>
  <c r="N547" i="6"/>
  <c r="L511" i="6"/>
  <c r="K511" i="6"/>
  <c r="K547" i="6"/>
  <c r="DR160" i="3"/>
  <c r="DA160" i="3"/>
  <c r="DF151" i="3"/>
  <c r="AA83" i="9" s="1"/>
  <c r="F57" i="9"/>
  <c r="F28" i="9" s="1"/>
  <c r="I223" i="2"/>
  <c r="O511" i="6"/>
  <c r="M511" i="6"/>
  <c r="O541" i="6"/>
  <c r="N553" i="6"/>
  <c r="L499" i="6"/>
  <c r="CX160" i="3"/>
  <c r="CR160" i="3"/>
  <c r="CQ151" i="3"/>
  <c r="N83" i="9" s="1"/>
  <c r="DG151" i="3"/>
  <c r="AB83" i="9" s="1"/>
  <c r="DU160" i="3"/>
  <c r="DE151" i="3"/>
  <c r="Z83" i="9" s="1"/>
  <c r="DP151" i="3"/>
  <c r="AK83" i="9" s="1"/>
  <c r="CT151" i="3"/>
  <c r="DK151" i="3"/>
  <c r="AF83" i="9" s="1"/>
  <c r="DH160" i="3"/>
  <c r="DQ160" i="3"/>
  <c r="CR151" i="3"/>
  <c r="O83" i="9" s="1"/>
  <c r="DF169" i="3"/>
  <c r="AA85" i="9" s="1"/>
  <c r="CC26" i="9"/>
  <c r="CE26" i="9" s="1"/>
  <c r="CF26" i="9"/>
  <c r="CH26" i="9" s="1"/>
  <c r="CS160" i="3"/>
  <c r="DD151" i="3"/>
  <c r="Y83" i="9" s="1"/>
  <c r="DP160" i="3"/>
  <c r="DQ151" i="3"/>
  <c r="AL83" i="9" s="1"/>
  <c r="CZ151" i="3"/>
  <c r="U83" i="9" s="1"/>
  <c r="CY151" i="3"/>
  <c r="T83" i="9" s="1"/>
  <c r="DJ151" i="3"/>
  <c r="AE83" i="9" s="1"/>
  <c r="DL160" i="3"/>
  <c r="DJ160" i="3"/>
  <c r="CV160" i="3"/>
  <c r="DB160" i="3"/>
  <c r="DH151" i="3"/>
  <c r="AC83" i="9" s="1"/>
  <c r="DS151" i="3"/>
  <c r="AN83" i="9" s="1"/>
  <c r="DM151" i="3"/>
  <c r="AH83" i="9" s="1"/>
  <c r="DT151" i="3"/>
  <c r="AO83" i="9" s="1"/>
  <c r="CN151" i="3"/>
  <c r="K83" i="9" s="1"/>
  <c r="CS151" i="3"/>
  <c r="P83" i="9" s="1"/>
  <c r="DL151" i="3"/>
  <c r="AG83" i="9" s="1"/>
  <c r="CY160" i="3"/>
  <c r="DT160" i="3"/>
  <c r="DO160" i="3"/>
  <c r="CP160" i="3"/>
  <c r="CX151" i="3"/>
  <c r="S83" i="9" s="1"/>
  <c r="DN160" i="3"/>
  <c r="CC25" i="9"/>
  <c r="CE25" i="9" s="1"/>
  <c r="CU151" i="3"/>
  <c r="DA151" i="3"/>
  <c r="V83" i="9" s="1"/>
  <c r="DU151" i="3"/>
  <c r="AP83" i="9" s="1"/>
  <c r="CW151" i="3"/>
  <c r="R83" i="9" s="1"/>
  <c r="CP151" i="3"/>
  <c r="M83" i="9" s="1"/>
  <c r="DR151" i="3"/>
  <c r="AM83" i="9" s="1"/>
  <c r="DB151" i="3"/>
  <c r="W83" i="9" s="1"/>
  <c r="DN151" i="3"/>
  <c r="AI83" i="9" s="1"/>
  <c r="DV151" i="3"/>
  <c r="AQ83" i="9" s="1"/>
  <c r="DO151" i="3"/>
  <c r="AJ83" i="9" s="1"/>
  <c r="CV151" i="3"/>
  <c r="Q83" i="9" s="1"/>
  <c r="CO151" i="3"/>
  <c r="L83" i="9" s="1"/>
  <c r="DI151" i="3"/>
  <c r="AD83" i="9" s="1"/>
  <c r="DC151" i="3"/>
  <c r="X83" i="9" s="1"/>
  <c r="DV160" i="3"/>
  <c r="CN160" i="3"/>
  <c r="CW160" i="3"/>
  <c r="DD160" i="3"/>
  <c r="CZ160" i="3"/>
  <c r="DE160" i="3"/>
  <c r="CU160" i="3"/>
  <c r="CQ160" i="3"/>
  <c r="DS160" i="3"/>
  <c r="DM160" i="3"/>
  <c r="DG160" i="3"/>
  <c r="DC160" i="3"/>
  <c r="CO160" i="3"/>
  <c r="DK160" i="3"/>
  <c r="CT160" i="3"/>
  <c r="DI160" i="3"/>
  <c r="CG24" i="9"/>
  <c r="N142" i="3"/>
  <c r="H82" i="9" s="1"/>
  <c r="DA133" i="3"/>
  <c r="V81" i="9" s="1"/>
  <c r="CS133" i="3"/>
  <c r="N81" i="9" s="1"/>
  <c r="DI133" i="3"/>
  <c r="AD81" i="9" s="1"/>
  <c r="N499" i="6"/>
  <c r="CG133" i="3"/>
  <c r="DS133" i="3"/>
  <c r="AN81" i="9" s="1"/>
  <c r="BB133" i="3"/>
  <c r="BJ133" i="3"/>
  <c r="BR133" i="3"/>
  <c r="BZ133" i="3"/>
  <c r="CH133" i="3"/>
  <c r="CP133" i="3"/>
  <c r="CT133" i="3"/>
  <c r="O81" i="9" s="1"/>
  <c r="CX133" i="3"/>
  <c r="S81" i="9" s="1"/>
  <c r="DB133" i="3"/>
  <c r="W81" i="9" s="1"/>
  <c r="DF133" i="3"/>
  <c r="AA81" i="9" s="1"/>
  <c r="DJ133" i="3"/>
  <c r="AE81" i="9" s="1"/>
  <c r="DN133" i="3"/>
  <c r="AI81" i="9" s="1"/>
  <c r="DR133" i="3"/>
  <c r="AM81" i="9" s="1"/>
  <c r="DV133" i="3"/>
  <c r="AQ81" i="9" s="1"/>
  <c r="BF133" i="3"/>
  <c r="BN133" i="3"/>
  <c r="BV133" i="3"/>
  <c r="CD133" i="3"/>
  <c r="BP124" i="3"/>
  <c r="DB124" i="3"/>
  <c r="W80" i="9" s="1"/>
  <c r="CF124" i="3"/>
  <c r="DR124" i="3"/>
  <c r="AM80" i="9" s="1"/>
  <c r="CU124" i="3"/>
  <c r="P80" i="9" s="1"/>
  <c r="CZ124" i="3"/>
  <c r="U80" i="9" s="1"/>
  <c r="BU124" i="3"/>
  <c r="CQ124" i="3"/>
  <c r="CV124" i="3"/>
  <c r="Q80" i="9" s="1"/>
  <c r="DP124" i="3"/>
  <c r="AK80" i="9" s="1"/>
  <c r="DL124" i="3"/>
  <c r="AG80" i="9" s="1"/>
  <c r="DK124" i="3"/>
  <c r="AF80" i="9" s="1"/>
  <c r="BY124" i="3"/>
  <c r="I162" i="2" l="1"/>
  <c r="AL163" i="2" s="1"/>
  <c r="AJ53" i="9" s="1"/>
  <c r="F53" i="9"/>
  <c r="F24" i="9" s="1"/>
  <c r="F17" i="14" s="1"/>
  <c r="I82" i="9"/>
  <c r="G82" i="9" s="1"/>
  <c r="H142" i="2"/>
  <c r="I142" i="2" s="1"/>
  <c r="I51" i="9" s="1"/>
  <c r="H192" i="2"/>
  <c r="F56" i="9" s="1"/>
  <c r="F27" i="9" s="1"/>
  <c r="AU163" i="2"/>
  <c r="AQ53" i="9" s="1"/>
  <c r="AG163" i="2"/>
  <c r="AE53" i="9" s="1"/>
  <c r="L163" i="2"/>
  <c r="L53" i="9" s="1"/>
  <c r="V163" i="2"/>
  <c r="T53" i="9" s="1"/>
  <c r="T24" i="9" s="1"/>
  <c r="T17" i="14" s="1"/>
  <c r="AT163" i="2"/>
  <c r="AP53" i="9" s="1"/>
  <c r="AJ163" i="2"/>
  <c r="AH53" i="9" s="1"/>
  <c r="Q163" i="2"/>
  <c r="AQ163" i="2"/>
  <c r="AS163" i="2"/>
  <c r="AO53" i="9" s="1"/>
  <c r="I172" i="2"/>
  <c r="Q173" i="2" s="1"/>
  <c r="AO163" i="2"/>
  <c r="AM53" i="9" s="1"/>
  <c r="K163" i="2"/>
  <c r="K53" i="9" s="1"/>
  <c r="AR163" i="2"/>
  <c r="AN53" i="9" s="1"/>
  <c r="AD163" i="2"/>
  <c r="AB53" i="9" s="1"/>
  <c r="X163" i="2"/>
  <c r="V53" i="9" s="1"/>
  <c r="AC163" i="2"/>
  <c r="AA53" i="9" s="1"/>
  <c r="AI163" i="2"/>
  <c r="AG53" i="9" s="1"/>
  <c r="I182" i="2"/>
  <c r="AE183" i="2" s="1"/>
  <c r="Z163" i="2"/>
  <c r="X53" i="9" s="1"/>
  <c r="Y163" i="2"/>
  <c r="W53" i="9" s="1"/>
  <c r="P163" i="2"/>
  <c r="P53" i="9" s="1"/>
  <c r="M163" i="2"/>
  <c r="M53" i="9" s="1"/>
  <c r="AN163" i="2"/>
  <c r="AL53" i="9" s="1"/>
  <c r="S163" i="2"/>
  <c r="Q53" i="9" s="1"/>
  <c r="Q24" i="9" s="1"/>
  <c r="Q17" i="14" s="1"/>
  <c r="AK163" i="2"/>
  <c r="AI53" i="9" s="1"/>
  <c r="AP163" i="2"/>
  <c r="AE224" i="2"/>
  <c r="AC28" i="9" s="1"/>
  <c r="AP224" i="2"/>
  <c r="AQ224" i="2"/>
  <c r="M224" i="2"/>
  <c r="AJ224" i="2"/>
  <c r="AH28" i="9" s="1"/>
  <c r="AG224" i="2"/>
  <c r="AE28" i="9" s="1"/>
  <c r="AN224" i="2"/>
  <c r="AL28" i="9" s="1"/>
  <c r="X224" i="2"/>
  <c r="V28" i="9" s="1"/>
  <c r="Q224" i="2"/>
  <c r="O28" i="9" s="1"/>
  <c r="S224" i="2"/>
  <c r="Q28" i="9" s="1"/>
  <c r="AT224" i="2"/>
  <c r="AP28" i="9" s="1"/>
  <c r="AR224" i="2"/>
  <c r="AN28" i="9" s="1"/>
  <c r="AI224" i="2"/>
  <c r="AG28" i="9" s="1"/>
  <c r="T224" i="2"/>
  <c r="R28" i="9" s="1"/>
  <c r="R224" i="2"/>
  <c r="P28" i="9" s="1"/>
  <c r="V224" i="2"/>
  <c r="T28" i="9" s="1"/>
  <c r="AF224" i="2"/>
  <c r="AD28" i="9" s="1"/>
  <c r="AS224" i="2"/>
  <c r="AO28" i="9" s="1"/>
  <c r="AB224" i="2"/>
  <c r="Z28" i="9" s="1"/>
  <c r="W224" i="2"/>
  <c r="U28" i="9" s="1"/>
  <c r="AM224" i="2"/>
  <c r="AK28" i="9" s="1"/>
  <c r="AC224" i="2"/>
  <c r="AA28" i="9" s="1"/>
  <c r="K224" i="2"/>
  <c r="K28" i="9" s="1"/>
  <c r="AA224" i="2"/>
  <c r="Y28" i="9" s="1"/>
  <c r="O224" i="2"/>
  <c r="M28" i="9" s="1"/>
  <c r="N224" i="2"/>
  <c r="AO224" i="2"/>
  <c r="AM28" i="9" s="1"/>
  <c r="L224" i="2"/>
  <c r="L28" i="9" s="1"/>
  <c r="I57" i="9"/>
  <c r="AL224" i="2"/>
  <c r="AJ28" i="9" s="1"/>
  <c r="P224" i="2"/>
  <c r="N28" i="9" s="1"/>
  <c r="AD224" i="2"/>
  <c r="AB28" i="9" s="1"/>
  <c r="AU224" i="2"/>
  <c r="AQ28" i="9" s="1"/>
  <c r="U224" i="2"/>
  <c r="S28" i="9" s="1"/>
  <c r="AK224" i="2"/>
  <c r="AI28" i="9" s="1"/>
  <c r="AH224" i="2"/>
  <c r="AF28" i="9" s="1"/>
  <c r="Y224" i="2"/>
  <c r="W28" i="9" s="1"/>
  <c r="Z224" i="2"/>
  <c r="X28" i="9" s="1"/>
  <c r="W163" i="2"/>
  <c r="U53" i="9" s="1"/>
  <c r="AB163" i="2"/>
  <c r="Z53" i="9" s="1"/>
  <c r="O163" i="2"/>
  <c r="O53" i="9" s="1"/>
  <c r="U163" i="2"/>
  <c r="S53" i="9" s="1"/>
  <c r="S24" i="9" s="1"/>
  <c r="S17" i="14" s="1"/>
  <c r="R163" i="2"/>
  <c r="AE163" i="2"/>
  <c r="AC53" i="9" s="1"/>
  <c r="T163" i="2"/>
  <c r="R53" i="9" s="1"/>
  <c r="R24" i="9" s="1"/>
  <c r="R17" i="14" s="1"/>
  <c r="N163" i="2"/>
  <c r="N53" i="9" s="1"/>
  <c r="AF163" i="2"/>
  <c r="AD53" i="9" s="1"/>
  <c r="AM163" i="2"/>
  <c r="AK53" i="9" s="1"/>
  <c r="CD26" i="9"/>
  <c r="DV135" i="3"/>
  <c r="DV142" i="3" s="1"/>
  <c r="AQ82" i="9" s="1"/>
  <c r="DO135" i="3"/>
  <c r="DO142" i="3" s="1"/>
  <c r="AJ82" i="9" s="1"/>
  <c r="DR135" i="3"/>
  <c r="DR142" i="3" s="1"/>
  <c r="AM82" i="9" s="1"/>
  <c r="CT135" i="3"/>
  <c r="CT142" i="3" s="1"/>
  <c r="DA135" i="3"/>
  <c r="DA142" i="3" s="1"/>
  <c r="V82" i="9" s="1"/>
  <c r="CY135" i="3"/>
  <c r="CY142" i="3" s="1"/>
  <c r="T82" i="9" s="1"/>
  <c r="CD25" i="9"/>
  <c r="DJ135" i="3"/>
  <c r="DJ142" i="3" s="1"/>
  <c r="AE82" i="9" s="1"/>
  <c r="DS135" i="3"/>
  <c r="DN135" i="3"/>
  <c r="DN142" i="3" s="1"/>
  <c r="AI82" i="9" s="1"/>
  <c r="CO135" i="3"/>
  <c r="CO142" i="3" s="1"/>
  <c r="L82" i="9" s="1"/>
  <c r="DE135" i="3"/>
  <c r="DE142" i="3" s="1"/>
  <c r="Z82" i="9" s="1"/>
  <c r="DU135" i="3"/>
  <c r="DB135" i="3"/>
  <c r="DQ135" i="3"/>
  <c r="DQ142" i="3" s="1"/>
  <c r="AL82" i="9" s="1"/>
  <c r="CX135" i="3"/>
  <c r="CX142" i="3" s="1"/>
  <c r="S82" i="9" s="1"/>
  <c r="CQ135" i="3"/>
  <c r="CQ142" i="3" s="1"/>
  <c r="N82" i="9" s="1"/>
  <c r="DC135" i="3"/>
  <c r="DC142" i="3" s="1"/>
  <c r="X82" i="9" s="1"/>
  <c r="CS135" i="3"/>
  <c r="DG135" i="3"/>
  <c r="DG142" i="3" s="1"/>
  <c r="AB82" i="9" s="1"/>
  <c r="DK135" i="3"/>
  <c r="DK142" i="3" s="1"/>
  <c r="AF82" i="9" s="1"/>
  <c r="CP135" i="3"/>
  <c r="DF135" i="3"/>
  <c r="DF142" i="3" s="1"/>
  <c r="AA82" i="9" s="1"/>
  <c r="CZ135" i="3"/>
  <c r="CZ142" i="3" s="1"/>
  <c r="U82" i="9" s="1"/>
  <c r="DP135" i="3"/>
  <c r="CW135" i="3"/>
  <c r="CW142" i="3" s="1"/>
  <c r="R82" i="9" s="1"/>
  <c r="DM135" i="3"/>
  <c r="DM142" i="3" s="1"/>
  <c r="AH82" i="9" s="1"/>
  <c r="CU135" i="3"/>
  <c r="CU142" i="3" s="1"/>
  <c r="DH135" i="3"/>
  <c r="DH142" i="3" s="1"/>
  <c r="AC82" i="9" s="1"/>
  <c r="DI135" i="3"/>
  <c r="DI142" i="3" s="1"/>
  <c r="AD82" i="9" s="1"/>
  <c r="CF24" i="9"/>
  <c r="CH24" i="9" s="1"/>
  <c r="CC24" i="9"/>
  <c r="BV142" i="3"/>
  <c r="DL135" i="3"/>
  <c r="DL142" i="3" s="1"/>
  <c r="AG82" i="9" s="1"/>
  <c r="BZ142" i="3"/>
  <c r="CD142" i="3"/>
  <c r="CN135" i="3"/>
  <c r="CN142" i="3" s="1"/>
  <c r="K82" i="9" s="1"/>
  <c r="BB142" i="3"/>
  <c r="DD135" i="3"/>
  <c r="DD142" i="3" s="1"/>
  <c r="Y82" i="9" s="1"/>
  <c r="BR142" i="3"/>
  <c r="DT135" i="3"/>
  <c r="DT142" i="3" s="1"/>
  <c r="AO82" i="9" s="1"/>
  <c r="CH142" i="3"/>
  <c r="BN142" i="3"/>
  <c r="CV135" i="3"/>
  <c r="CV142" i="3" s="1"/>
  <c r="Q82" i="9" s="1"/>
  <c r="BJ142" i="3"/>
  <c r="CR135" i="3"/>
  <c r="CR142" i="3" s="1"/>
  <c r="O82" i="9" s="1"/>
  <c r="BF142" i="3"/>
  <c r="CE142" i="3"/>
  <c r="BO142" i="3"/>
  <c r="BU142" i="3"/>
  <c r="BE142" i="3"/>
  <c r="BX142" i="3"/>
  <c r="BH142" i="3"/>
  <c r="CA142" i="3"/>
  <c r="CG142" i="3"/>
  <c r="CJ142" i="3"/>
  <c r="BD142" i="3"/>
  <c r="BW142" i="3"/>
  <c r="BG142" i="3"/>
  <c r="CC142" i="3"/>
  <c r="BM142" i="3"/>
  <c r="CF142" i="3"/>
  <c r="BP142" i="3"/>
  <c r="BK142" i="3"/>
  <c r="BQ142" i="3"/>
  <c r="BT142" i="3"/>
  <c r="CI142" i="3"/>
  <c r="BS142" i="3"/>
  <c r="BC142" i="3"/>
  <c r="BY142" i="3"/>
  <c r="BI142" i="3"/>
  <c r="CB142" i="3"/>
  <c r="BL142" i="3"/>
  <c r="BY133" i="3"/>
  <c r="DK133" i="3"/>
  <c r="AF81" i="9" s="1"/>
  <c r="BI133" i="3"/>
  <c r="CU133" i="3"/>
  <c r="P81" i="9" s="1"/>
  <c r="CE133" i="3"/>
  <c r="DQ133" i="3"/>
  <c r="AL81" i="9" s="1"/>
  <c r="BU133" i="3"/>
  <c r="DG133" i="3"/>
  <c r="AB81" i="9" s="1"/>
  <c r="BE133" i="3"/>
  <c r="CQ133" i="3"/>
  <c r="CA133" i="3"/>
  <c r="DM133" i="3"/>
  <c r="AH81" i="9" s="1"/>
  <c r="BQ133" i="3"/>
  <c r="DC133" i="3"/>
  <c r="X81" i="9" s="1"/>
  <c r="CC133" i="3"/>
  <c r="DO133" i="3"/>
  <c r="AJ81" i="9" s="1"/>
  <c r="BM133" i="3"/>
  <c r="CY133" i="3"/>
  <c r="T81" i="9" s="1"/>
  <c r="CI133" i="3"/>
  <c r="DU133" i="3"/>
  <c r="AP81" i="9" s="1"/>
  <c r="BT124" i="3"/>
  <c r="DF124" i="3"/>
  <c r="AA80" i="9" s="1"/>
  <c r="BX124" i="3"/>
  <c r="DJ124" i="3"/>
  <c r="AE80" i="9" s="1"/>
  <c r="BB124" i="3"/>
  <c r="CN124" i="3"/>
  <c r="K80" i="9" s="1"/>
  <c r="BV124" i="3"/>
  <c r="DH124" i="3"/>
  <c r="AC80" i="9" s="1"/>
  <c r="BC124" i="3"/>
  <c r="CO124" i="3"/>
  <c r="L80" i="9" s="1"/>
  <c r="BS124" i="3"/>
  <c r="DE124" i="3"/>
  <c r="Z80" i="9" s="1"/>
  <c r="CI124" i="3"/>
  <c r="DU124" i="3"/>
  <c r="AP80" i="9" s="1"/>
  <c r="CJ124" i="3"/>
  <c r="DV124" i="3"/>
  <c r="AQ80" i="9" s="1"/>
  <c r="BD124" i="3"/>
  <c r="CP124" i="3"/>
  <c r="BR124" i="3"/>
  <c r="DD124" i="3"/>
  <c r="Y80" i="9" s="1"/>
  <c r="BQ124" i="3"/>
  <c r="DC124" i="3"/>
  <c r="X80" i="9" s="1"/>
  <c r="BG124" i="3"/>
  <c r="CS124" i="3"/>
  <c r="N80" i="9" s="1"/>
  <c r="BW124" i="3"/>
  <c r="DI124" i="3"/>
  <c r="AD80" i="9" s="1"/>
  <c r="CH124" i="3"/>
  <c r="DT124" i="3"/>
  <c r="AO80" i="9" s="1"/>
  <c r="CY124" i="3"/>
  <c r="T80" i="9" s="1"/>
  <c r="BM124" i="3"/>
  <c r="DS124" i="3"/>
  <c r="AN80" i="9" s="1"/>
  <c r="CG124" i="3"/>
  <c r="BL124" i="3"/>
  <c r="CX124" i="3"/>
  <c r="S80" i="9" s="1"/>
  <c r="BK124" i="3"/>
  <c r="CW124" i="3"/>
  <c r="R80" i="9" s="1"/>
  <c r="CA124" i="3"/>
  <c r="DM124" i="3"/>
  <c r="AH80" i="9" s="1"/>
  <c r="DO124" i="3"/>
  <c r="AJ80" i="9" s="1"/>
  <c r="CC124" i="3"/>
  <c r="BH124" i="3"/>
  <c r="CT124" i="3"/>
  <c r="O80" i="9" s="1"/>
  <c r="CB124" i="3"/>
  <c r="DN124" i="3"/>
  <c r="AI80" i="9" s="1"/>
  <c r="BF124" i="3"/>
  <c r="CR124" i="3"/>
  <c r="M80" i="9" s="1"/>
  <c r="BO124" i="3"/>
  <c r="DA124" i="3"/>
  <c r="V80" i="9" s="1"/>
  <c r="CE124" i="3"/>
  <c r="DQ124" i="3"/>
  <c r="AL80" i="9" s="1"/>
  <c r="AA163" i="2" l="1"/>
  <c r="Y53" i="9" s="1"/>
  <c r="AH163" i="2"/>
  <c r="AF53" i="9" s="1"/>
  <c r="I53" i="9"/>
  <c r="F51" i="9"/>
  <c r="F22" i="9" s="1"/>
  <c r="G51" i="9"/>
  <c r="G22" i="9" s="1"/>
  <c r="G15" i="14" s="1"/>
  <c r="I15" i="14" s="1"/>
  <c r="H51" i="9"/>
  <c r="H22" i="9" s="1"/>
  <c r="H15" i="14" s="1"/>
  <c r="Q143" i="2"/>
  <c r="O51" i="9" s="1"/>
  <c r="O22" i="9" s="1"/>
  <c r="AK143" i="2"/>
  <c r="AI51" i="9" s="1"/>
  <c r="AI22" i="9" s="1"/>
  <c r="W143" i="2"/>
  <c r="U51" i="9" s="1"/>
  <c r="U22" i="9" s="1"/>
  <c r="U15" i="14" s="1"/>
  <c r="AM143" i="2"/>
  <c r="AK51" i="9" s="1"/>
  <c r="AK22" i="9" s="1"/>
  <c r="AH143" i="2"/>
  <c r="AF51" i="9" s="1"/>
  <c r="AF22" i="9" s="1"/>
  <c r="U143" i="2"/>
  <c r="S51" i="9" s="1"/>
  <c r="S22" i="9" s="1"/>
  <c r="S15" i="14" s="1"/>
  <c r="V143" i="2"/>
  <c r="T51" i="9" s="1"/>
  <c r="T22" i="9" s="1"/>
  <c r="T15" i="14" s="1"/>
  <c r="AG143" i="2"/>
  <c r="AE51" i="9" s="1"/>
  <c r="AE22" i="9" s="1"/>
  <c r="AN143" i="2"/>
  <c r="AL51" i="9" s="1"/>
  <c r="AL22" i="9" s="1"/>
  <c r="AF143" i="2"/>
  <c r="AD51" i="9" s="1"/>
  <c r="AD22" i="9" s="1"/>
  <c r="O143" i="2"/>
  <c r="M51" i="9" s="1"/>
  <c r="M22" i="9" s="1"/>
  <c r="AB143" i="2"/>
  <c r="Z51" i="9" s="1"/>
  <c r="Z22" i="9" s="1"/>
  <c r="Z15" i="14" s="1"/>
  <c r="P143" i="2"/>
  <c r="N51" i="9" s="1"/>
  <c r="N22" i="9" s="1"/>
  <c r="AE143" i="2"/>
  <c r="AC51" i="9" s="1"/>
  <c r="AC22" i="9" s="1"/>
  <c r="S143" i="2"/>
  <c r="Q51" i="9" s="1"/>
  <c r="Q22" i="9" s="1"/>
  <c r="Q15" i="14" s="1"/>
  <c r="AJ143" i="2"/>
  <c r="AH51" i="9" s="1"/>
  <c r="AH22" i="9" s="1"/>
  <c r="AO143" i="2"/>
  <c r="AM51" i="9" s="1"/>
  <c r="AM22" i="9" s="1"/>
  <c r="X143" i="2"/>
  <c r="V51" i="9" s="1"/>
  <c r="V22" i="9" s="1"/>
  <c r="V15" i="14" s="1"/>
  <c r="AT143" i="2"/>
  <c r="AP51" i="9" s="1"/>
  <c r="AP22" i="9" s="1"/>
  <c r="K143" i="2"/>
  <c r="K51" i="9" s="1"/>
  <c r="K22" i="9" s="1"/>
  <c r="AL143" i="2"/>
  <c r="AJ51" i="9" s="1"/>
  <c r="AJ22" i="9" s="1"/>
  <c r="AC143" i="2"/>
  <c r="AA51" i="9" s="1"/>
  <c r="AA22" i="9" s="1"/>
  <c r="R143" i="2"/>
  <c r="P51" i="9" s="1"/>
  <c r="P22" i="9" s="1"/>
  <c r="Y143" i="2"/>
  <c r="W51" i="9" s="1"/>
  <c r="W22" i="9" s="1"/>
  <c r="W15" i="14" s="1"/>
  <c r="N143" i="2"/>
  <c r="AD143" i="2"/>
  <c r="AB51" i="9" s="1"/>
  <c r="AB22" i="9" s="1"/>
  <c r="AI143" i="2"/>
  <c r="AG51" i="9" s="1"/>
  <c r="AG22" i="9" s="1"/>
  <c r="AS143" i="2"/>
  <c r="AO51" i="9" s="1"/>
  <c r="AO22" i="9" s="1"/>
  <c r="AU143" i="2"/>
  <c r="AQ51" i="9" s="1"/>
  <c r="AQ22" i="9" s="1"/>
  <c r="L143" i="2"/>
  <c r="L51" i="9" s="1"/>
  <c r="L22" i="9" s="1"/>
  <c r="AA143" i="2"/>
  <c r="Y51" i="9" s="1"/>
  <c r="Y22" i="9" s="1"/>
  <c r="Y15" i="14" s="1"/>
  <c r="AQ143" i="2"/>
  <c r="M143" i="2"/>
  <c r="T143" i="2"/>
  <c r="R51" i="9" s="1"/>
  <c r="R22" i="9" s="1"/>
  <c r="R15" i="14" s="1"/>
  <c r="Z143" i="2"/>
  <c r="X51" i="9" s="1"/>
  <c r="X22" i="9" s="1"/>
  <c r="X15" i="14" s="1"/>
  <c r="AP143" i="2"/>
  <c r="AR143" i="2"/>
  <c r="AN51" i="9" s="1"/>
  <c r="AN22" i="9" s="1"/>
  <c r="I192" i="2"/>
  <c r="T183" i="2"/>
  <c r="O183" i="2"/>
  <c r="AT173" i="2"/>
  <c r="AG173" i="2"/>
  <c r="U173" i="2"/>
  <c r="AH173" i="2"/>
  <c r="AU173" i="2"/>
  <c r="AE173" i="2"/>
  <c r="Y173" i="2"/>
  <c r="AJ173" i="2"/>
  <c r="V173" i="2"/>
  <c r="R173" i="2"/>
  <c r="Z173" i="2"/>
  <c r="X173" i="2"/>
  <c r="S173" i="2"/>
  <c r="AD173" i="2"/>
  <c r="K173" i="2"/>
  <c r="X183" i="2"/>
  <c r="AU183" i="2"/>
  <c r="AT183" i="2"/>
  <c r="AN183" i="2"/>
  <c r="AR173" i="2"/>
  <c r="AA173" i="2"/>
  <c r="W173" i="2"/>
  <c r="AO173" i="2"/>
  <c r="AL173" i="2"/>
  <c r="AS183" i="2"/>
  <c r="AL183" i="2"/>
  <c r="M173" i="2"/>
  <c r="O173" i="2"/>
  <c r="N173" i="2"/>
  <c r="P173" i="2"/>
  <c r="AK173" i="2"/>
  <c r="L173" i="2"/>
  <c r="AF173" i="2"/>
  <c r="AM173" i="2"/>
  <c r="AS173" i="2"/>
  <c r="AI173" i="2"/>
  <c r="AB173" i="2"/>
  <c r="T173" i="2"/>
  <c r="AC173" i="2"/>
  <c r="AN173" i="2"/>
  <c r="U183" i="2"/>
  <c r="M183" i="2"/>
  <c r="L183" i="2"/>
  <c r="K183" i="2"/>
  <c r="K55" i="9" s="1"/>
  <c r="AB183" i="2"/>
  <c r="Q183" i="2"/>
  <c r="AR183" i="2"/>
  <c r="AJ183" i="2"/>
  <c r="AF183" i="2"/>
  <c r="Z183" i="2"/>
  <c r="AG183" i="2"/>
  <c r="AC183" i="2"/>
  <c r="AK183" i="2"/>
  <c r="P183" i="2"/>
  <c r="R183" i="2"/>
  <c r="AM183" i="2"/>
  <c r="W183" i="2"/>
  <c r="AD183" i="2"/>
  <c r="AA183" i="2"/>
  <c r="AH183" i="2"/>
  <c r="V183" i="2"/>
  <c r="N183" i="2"/>
  <c r="Y183" i="2"/>
  <c r="AI183" i="2"/>
  <c r="AO183" i="2"/>
  <c r="S183" i="2"/>
  <c r="G57" i="9"/>
  <c r="G28" i="9" s="1"/>
  <c r="I28" i="9" s="1"/>
  <c r="H57" i="9"/>
  <c r="H28" i="9" s="1"/>
  <c r="CE24" i="9"/>
  <c r="CD24" i="9"/>
  <c r="DU142" i="3"/>
  <c r="AP82" i="9" s="1"/>
  <c r="CS142" i="3"/>
  <c r="P82" i="9" s="1"/>
  <c r="CP142" i="3"/>
  <c r="M82" i="9" s="1"/>
  <c r="DS142" i="3"/>
  <c r="AN82" i="9" s="1"/>
  <c r="DP142" i="3"/>
  <c r="AK82" i="9" s="1"/>
  <c r="DB142" i="3"/>
  <c r="W82" i="9" s="1"/>
  <c r="G53" i="9" l="1"/>
  <c r="G24" i="9" s="1"/>
  <c r="H53" i="9"/>
  <c r="H24" i="9" s="1"/>
  <c r="H17" i="14" s="1"/>
  <c r="I22" i="9"/>
  <c r="Q193" i="2"/>
  <c r="O56" i="9" s="1"/>
  <c r="O27" i="9" s="1"/>
  <c r="AD193" i="2"/>
  <c r="AB56" i="9" s="1"/>
  <c r="AB27" i="9" s="1"/>
  <c r="AM193" i="2"/>
  <c r="AK56" i="9" s="1"/>
  <c r="AK27" i="9" s="1"/>
  <c r="AG193" i="2"/>
  <c r="AE56" i="9" s="1"/>
  <c r="AE27" i="9" s="1"/>
  <c r="L193" i="2"/>
  <c r="L56" i="9" s="1"/>
  <c r="L27" i="9" s="1"/>
  <c r="AI193" i="2"/>
  <c r="AG56" i="9" s="1"/>
  <c r="AG27" i="9" s="1"/>
  <c r="AS193" i="2"/>
  <c r="AO56" i="9" s="1"/>
  <c r="AO27" i="9" s="1"/>
  <c r="AK193" i="2"/>
  <c r="AI56" i="9" s="1"/>
  <c r="AI27" i="9" s="1"/>
  <c r="I56" i="9"/>
  <c r="AE193" i="2"/>
  <c r="AC56" i="9" s="1"/>
  <c r="AC27" i="9" s="1"/>
  <c r="AU193" i="2"/>
  <c r="AQ56" i="9" s="1"/>
  <c r="AQ27" i="9" s="1"/>
  <c r="AF193" i="2"/>
  <c r="AD56" i="9" s="1"/>
  <c r="AD27" i="9" s="1"/>
  <c r="N193" i="2"/>
  <c r="P193" i="2"/>
  <c r="N56" i="9" s="1"/>
  <c r="N27" i="9" s="1"/>
  <c r="O193" i="2"/>
  <c r="M56" i="9" s="1"/>
  <c r="M27" i="9" s="1"/>
  <c r="AT193" i="2"/>
  <c r="AP56" i="9" s="1"/>
  <c r="AP27" i="9" s="1"/>
  <c r="S193" i="2"/>
  <c r="Q56" i="9" s="1"/>
  <c r="Q27" i="9" s="1"/>
  <c r="AJ193" i="2"/>
  <c r="AH56" i="9" s="1"/>
  <c r="AH27" i="9" s="1"/>
  <c r="X193" i="2"/>
  <c r="V56" i="9" s="1"/>
  <c r="V27" i="9" s="1"/>
  <c r="AH193" i="2"/>
  <c r="AF56" i="9" s="1"/>
  <c r="AF27" i="9" s="1"/>
  <c r="AC193" i="2"/>
  <c r="AA56" i="9" s="1"/>
  <c r="AA27" i="9" s="1"/>
  <c r="T193" i="2"/>
  <c r="R56" i="9" s="1"/>
  <c r="R27" i="9" s="1"/>
  <c r="AR193" i="2"/>
  <c r="AN56" i="9" s="1"/>
  <c r="AN27" i="9" s="1"/>
  <c r="W193" i="2"/>
  <c r="U56" i="9" s="1"/>
  <c r="U27" i="9" s="1"/>
  <c r="AB193" i="2"/>
  <c r="Z56" i="9" s="1"/>
  <c r="Z27" i="9" s="1"/>
  <c r="AN193" i="2"/>
  <c r="AL56" i="9" s="1"/>
  <c r="AL27" i="9" s="1"/>
  <c r="AO193" i="2"/>
  <c r="AM56" i="9" s="1"/>
  <c r="AM27" i="9" s="1"/>
  <c r="M193" i="2"/>
  <c r="Y193" i="2"/>
  <c r="W56" i="9" s="1"/>
  <c r="W27" i="9" s="1"/>
  <c r="R193" i="2"/>
  <c r="P56" i="9" s="1"/>
  <c r="P27" i="9" s="1"/>
  <c r="Z193" i="2"/>
  <c r="X56" i="9" s="1"/>
  <c r="X27" i="9" s="1"/>
  <c r="AL193" i="2"/>
  <c r="AJ56" i="9" s="1"/>
  <c r="AJ27" i="9" s="1"/>
  <c r="V193" i="2"/>
  <c r="T56" i="9" s="1"/>
  <c r="T27" i="9" s="1"/>
  <c r="K193" i="2"/>
  <c r="K56" i="9" s="1"/>
  <c r="K27" i="9" s="1"/>
  <c r="U193" i="2"/>
  <c r="S56" i="9" s="1"/>
  <c r="S27" i="9" s="1"/>
  <c r="AA193" i="2"/>
  <c r="Y56" i="9" s="1"/>
  <c r="Y27" i="9" s="1"/>
  <c r="H493" i="6"/>
  <c r="H492" i="6"/>
  <c r="H491" i="6"/>
  <c r="H490" i="6"/>
  <c r="H487" i="6"/>
  <c r="H486" i="6"/>
  <c r="H485" i="6"/>
  <c r="H484" i="6"/>
  <c r="H481" i="6"/>
  <c r="H480" i="6"/>
  <c r="H479" i="6"/>
  <c r="H478" i="6"/>
  <c r="H475" i="6"/>
  <c r="H474" i="6"/>
  <c r="H473" i="6"/>
  <c r="H472" i="6"/>
  <c r="H469" i="6"/>
  <c r="H468" i="6"/>
  <c r="H467" i="6"/>
  <c r="H466" i="6"/>
  <c r="H463" i="6"/>
  <c r="H462" i="6"/>
  <c r="H461" i="6"/>
  <c r="H460" i="6"/>
  <c r="H457" i="6"/>
  <c r="H456" i="6"/>
  <c r="H455" i="6"/>
  <c r="H454" i="6"/>
  <c r="H451" i="6"/>
  <c r="H450" i="6"/>
  <c r="H449" i="6"/>
  <c r="H448" i="6"/>
  <c r="H445" i="6"/>
  <c r="H444" i="6"/>
  <c r="H443" i="6"/>
  <c r="H442" i="6"/>
  <c r="H439" i="6"/>
  <c r="H438" i="6"/>
  <c r="H437" i="6"/>
  <c r="H436" i="6"/>
  <c r="H433" i="6"/>
  <c r="H432" i="6"/>
  <c r="H431" i="6"/>
  <c r="H430" i="6"/>
  <c r="I24" i="9" l="1"/>
  <c r="G17" i="14"/>
  <c r="I17" i="14" s="1"/>
  <c r="H56" i="9"/>
  <c r="H27" i="9" s="1"/>
  <c r="G56" i="9"/>
  <c r="G27" i="9" s="1"/>
  <c r="I27" i="9" s="1"/>
  <c r="H434" i="6"/>
  <c r="I434" i="6" s="1"/>
  <c r="H488" i="6"/>
  <c r="I488" i="6" s="1"/>
  <c r="H446" i="6"/>
  <c r="I446" i="6" s="1"/>
  <c r="L445" i="6" s="1"/>
  <c r="H482" i="6"/>
  <c r="I482" i="6" s="1"/>
  <c r="H494" i="6"/>
  <c r="I494" i="6" s="1"/>
  <c r="H476" i="6"/>
  <c r="I476" i="6" s="1"/>
  <c r="H470" i="6"/>
  <c r="I470" i="6" s="1"/>
  <c r="H464" i="6"/>
  <c r="I464" i="6" s="1"/>
  <c r="H458" i="6"/>
  <c r="I458" i="6" s="1"/>
  <c r="H452" i="6"/>
  <c r="I452" i="6" s="1"/>
  <c r="M451" i="6" s="1"/>
  <c r="H440" i="6"/>
  <c r="I440" i="6" s="1"/>
  <c r="L487" i="6" l="1"/>
  <c r="H146" i="2"/>
  <c r="H152" i="2" s="1"/>
  <c r="M481" i="6"/>
  <c r="H126" i="2"/>
  <c r="N433" i="6"/>
  <c r="M433" i="6"/>
  <c r="K433" i="6"/>
  <c r="O445" i="6"/>
  <c r="K481" i="6"/>
  <c r="N487" i="6"/>
  <c r="K487" i="6"/>
  <c r="M487" i="6"/>
  <c r="O487" i="6"/>
  <c r="L433" i="6"/>
  <c r="O433" i="6"/>
  <c r="M445" i="6"/>
  <c r="O481" i="6"/>
  <c r="N445" i="6"/>
  <c r="L481" i="6"/>
  <c r="K445" i="6"/>
  <c r="N481" i="6"/>
  <c r="O451" i="6"/>
  <c r="L463" i="6"/>
  <c r="L475" i="6"/>
  <c r="N493" i="6"/>
  <c r="H128" i="2"/>
  <c r="L451" i="6"/>
  <c r="M439" i="6"/>
  <c r="O469" i="6"/>
  <c r="K493" i="6"/>
  <c r="O493" i="6"/>
  <c r="L493" i="6"/>
  <c r="M493" i="6"/>
  <c r="N475" i="6"/>
  <c r="K475" i="6"/>
  <c r="O475" i="6"/>
  <c r="M475" i="6"/>
  <c r="M469" i="6"/>
  <c r="N469" i="6"/>
  <c r="K469" i="6"/>
  <c r="L469" i="6"/>
  <c r="N463" i="6"/>
  <c r="K463" i="6"/>
  <c r="O463" i="6"/>
  <c r="M463" i="6"/>
  <c r="N451" i="6"/>
  <c r="K451" i="6"/>
  <c r="N439" i="6"/>
  <c r="K439" i="6"/>
  <c r="L439" i="6"/>
  <c r="O439" i="6"/>
  <c r="F52" i="9" l="1"/>
  <c r="F23" i="9" s="1"/>
  <c r="I152" i="2"/>
  <c r="H276" i="6"/>
  <c r="G274" i="6"/>
  <c r="G275" i="6" s="1"/>
  <c r="G276" i="6" s="1"/>
  <c r="H408" i="6"/>
  <c r="H407" i="6"/>
  <c r="H406" i="6"/>
  <c r="H414" i="6"/>
  <c r="H413" i="6"/>
  <c r="H412" i="6"/>
  <c r="H420" i="6"/>
  <c r="H419" i="6"/>
  <c r="H418" i="6"/>
  <c r="H426" i="6"/>
  <c r="H425" i="6"/>
  <c r="H424" i="6"/>
  <c r="H427" i="6"/>
  <c r="H402" i="6"/>
  <c r="H401" i="6"/>
  <c r="H400" i="6"/>
  <c r="H394" i="6"/>
  <c r="H390" i="6"/>
  <c r="H389" i="6"/>
  <c r="H388" i="6"/>
  <c r="H384" i="6"/>
  <c r="H383" i="6"/>
  <c r="H382" i="6"/>
  <c r="H378" i="6"/>
  <c r="H377" i="6"/>
  <c r="H376" i="6"/>
  <c r="H372" i="6"/>
  <c r="H371" i="6"/>
  <c r="H370" i="6"/>
  <c r="H366" i="6"/>
  <c r="H365" i="6"/>
  <c r="H364" i="6"/>
  <c r="H360" i="6"/>
  <c r="H359" i="6"/>
  <c r="H358" i="6"/>
  <c r="H354" i="6"/>
  <c r="H353" i="6"/>
  <c r="H352" i="6"/>
  <c r="H348" i="6"/>
  <c r="H347" i="6"/>
  <c r="H346" i="6"/>
  <c r="H342" i="6"/>
  <c r="H341" i="6"/>
  <c r="H340" i="6"/>
  <c r="H336" i="6"/>
  <c r="H335" i="6"/>
  <c r="H334" i="6"/>
  <c r="H330" i="6"/>
  <c r="H324" i="6"/>
  <c r="H323" i="6"/>
  <c r="H322" i="6"/>
  <c r="H318" i="6"/>
  <c r="H317" i="6"/>
  <c r="H316" i="6"/>
  <c r="H312" i="6"/>
  <c r="H306" i="6"/>
  <c r="H305" i="6"/>
  <c r="H304" i="6"/>
  <c r="H300" i="6"/>
  <c r="H299" i="6"/>
  <c r="H298" i="6"/>
  <c r="H294" i="6"/>
  <c r="H289" i="6"/>
  <c r="H288" i="6"/>
  <c r="H286" i="6"/>
  <c r="H280" i="6"/>
  <c r="H282" i="6"/>
  <c r="AU132" i="2"/>
  <c r="AT132" i="2"/>
  <c r="AS132" i="2"/>
  <c r="AR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AY50" i="9" s="1"/>
  <c r="P132" i="2"/>
  <c r="O132" i="2"/>
  <c r="AW50" i="9" s="1"/>
  <c r="N132" i="2"/>
  <c r="M132" i="2"/>
  <c r="L132" i="2"/>
  <c r="K132" i="2"/>
  <c r="H132" i="2"/>
  <c r="F50" i="9" s="1"/>
  <c r="F21" i="9" s="1"/>
  <c r="F14" i="14" s="1"/>
  <c r="G132" i="2"/>
  <c r="D50" i="9" s="1"/>
  <c r="F132" i="2"/>
  <c r="C50" i="9" s="1"/>
  <c r="E132" i="2"/>
  <c r="B50" i="9" s="1"/>
  <c r="B21" i="9" s="1"/>
  <c r="B14" i="14" s="1"/>
  <c r="AU122" i="2"/>
  <c r="AT122" i="2"/>
  <c r="AS122" i="2"/>
  <c r="AR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G122" i="2"/>
  <c r="D49" i="9" s="1"/>
  <c r="F122" i="2"/>
  <c r="C49" i="9" s="1"/>
  <c r="E122" i="2"/>
  <c r="B49" i="9" s="1"/>
  <c r="B20" i="9" s="1"/>
  <c r="AU112" i="2"/>
  <c r="AT112" i="2"/>
  <c r="AS112" i="2"/>
  <c r="AR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G112" i="2"/>
  <c r="D48" i="9" s="1"/>
  <c r="F112" i="2"/>
  <c r="C48" i="9" s="1"/>
  <c r="E112" i="2"/>
  <c r="B48" i="9" s="1"/>
  <c r="B19" i="9" s="1"/>
  <c r="AU102" i="2"/>
  <c r="AT102" i="2"/>
  <c r="AS102" i="2"/>
  <c r="AR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G102" i="2"/>
  <c r="D47" i="9" s="1"/>
  <c r="F102" i="2"/>
  <c r="C47" i="9" s="1"/>
  <c r="E102" i="2"/>
  <c r="B47" i="9" s="1"/>
  <c r="B18" i="9" s="1"/>
  <c r="AU92" i="2"/>
  <c r="AT92" i="2"/>
  <c r="AS92" i="2"/>
  <c r="AR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V92" i="2"/>
  <c r="U92" i="2"/>
  <c r="T92" i="2"/>
  <c r="S92" i="2"/>
  <c r="R92" i="2"/>
  <c r="Q92" i="2"/>
  <c r="P92" i="2"/>
  <c r="O92" i="2"/>
  <c r="N92" i="2"/>
  <c r="M92" i="2"/>
  <c r="L92" i="2"/>
  <c r="K92" i="2"/>
  <c r="G92" i="2"/>
  <c r="D46" i="9" s="1"/>
  <c r="F92" i="2"/>
  <c r="C46" i="9" s="1"/>
  <c r="E92" i="2"/>
  <c r="B46" i="9" s="1"/>
  <c r="B17" i="9" s="1"/>
  <c r="H421" i="6"/>
  <c r="H415" i="6"/>
  <c r="H409" i="6"/>
  <c r="H403" i="6"/>
  <c r="H391" i="6"/>
  <c r="H385" i="6"/>
  <c r="H379" i="6"/>
  <c r="H373" i="6"/>
  <c r="H367" i="6"/>
  <c r="H361" i="6"/>
  <c r="H355" i="6"/>
  <c r="H349" i="6"/>
  <c r="H325" i="6"/>
  <c r="H319" i="6"/>
  <c r="H271" i="6"/>
  <c r="H270" i="6"/>
  <c r="H269" i="6"/>
  <c r="H268" i="6"/>
  <c r="I52" i="9" l="1"/>
  <c r="AG153" i="2"/>
  <c r="AE52" i="9" s="1"/>
  <c r="AE23" i="9" s="1"/>
  <c r="AC153" i="2"/>
  <c r="AA52" i="9" s="1"/>
  <c r="AA23" i="9" s="1"/>
  <c r="O153" i="2"/>
  <c r="M52" i="9" s="1"/>
  <c r="M23" i="9" s="1"/>
  <c r="X153" i="2"/>
  <c r="V52" i="9" s="1"/>
  <c r="V23" i="9" s="1"/>
  <c r="V16" i="14" s="1"/>
  <c r="Y153" i="2"/>
  <c r="W52" i="9" s="1"/>
  <c r="W23" i="9" s="1"/>
  <c r="W16" i="14" s="1"/>
  <c r="Q153" i="2"/>
  <c r="O52" i="9" s="1"/>
  <c r="O23" i="9" s="1"/>
  <c r="M153" i="2"/>
  <c r="S153" i="2"/>
  <c r="Q52" i="9" s="1"/>
  <c r="Q23" i="9" s="1"/>
  <c r="Q16" i="14" s="1"/>
  <c r="AB153" i="2"/>
  <c r="Z52" i="9" s="1"/>
  <c r="Z23" i="9" s="1"/>
  <c r="Z16" i="14" s="1"/>
  <c r="AJ153" i="2"/>
  <c r="AH52" i="9" s="1"/>
  <c r="AH23" i="9" s="1"/>
  <c r="P153" i="2"/>
  <c r="N52" i="9" s="1"/>
  <c r="N23" i="9" s="1"/>
  <c r="V153" i="2"/>
  <c r="T52" i="9" s="1"/>
  <c r="T16" i="14" s="1"/>
  <c r="AH153" i="2"/>
  <c r="AF52" i="9" s="1"/>
  <c r="AF23" i="9" s="1"/>
  <c r="AN153" i="2"/>
  <c r="AL52" i="9" s="1"/>
  <c r="AL23" i="9" s="1"/>
  <c r="AQ153" i="2"/>
  <c r="Z153" i="2"/>
  <c r="X52" i="9" s="1"/>
  <c r="X23" i="9" s="1"/>
  <c r="X16" i="14" s="1"/>
  <c r="R153" i="2"/>
  <c r="P52" i="9" s="1"/>
  <c r="P23" i="9" s="1"/>
  <c r="AL153" i="2"/>
  <c r="AJ52" i="9" s="1"/>
  <c r="AJ23" i="9" s="1"/>
  <c r="AR153" i="2"/>
  <c r="AN52" i="9" s="1"/>
  <c r="AN23" i="9" s="1"/>
  <c r="L153" i="2"/>
  <c r="L52" i="9" s="1"/>
  <c r="L23" i="9" s="1"/>
  <c r="AD153" i="2"/>
  <c r="AB52" i="9" s="1"/>
  <c r="AB23" i="9" s="1"/>
  <c r="AM153" i="2"/>
  <c r="AK52" i="9" s="1"/>
  <c r="AK23" i="9" s="1"/>
  <c r="AE153" i="2"/>
  <c r="AC52" i="9" s="1"/>
  <c r="AC23" i="9" s="1"/>
  <c r="N153" i="2"/>
  <c r="AK153" i="2"/>
  <c r="AI52" i="9" s="1"/>
  <c r="AI23" i="9" s="1"/>
  <c r="U153" i="2"/>
  <c r="S52" i="9" s="1"/>
  <c r="S16" i="14" s="1"/>
  <c r="K153" i="2"/>
  <c r="K52" i="9" s="1"/>
  <c r="K23" i="9" s="1"/>
  <c r="AS153" i="2"/>
  <c r="AO52" i="9" s="1"/>
  <c r="AO23" i="9" s="1"/>
  <c r="AA153" i="2"/>
  <c r="Y52" i="9" s="1"/>
  <c r="Y23" i="9" s="1"/>
  <c r="Y16" i="14" s="1"/>
  <c r="AU153" i="2"/>
  <c r="AQ52" i="9" s="1"/>
  <c r="AQ23" i="9" s="1"/>
  <c r="AP153" i="2"/>
  <c r="W153" i="2"/>
  <c r="U52" i="9" s="1"/>
  <c r="U23" i="9" s="1"/>
  <c r="U16" i="14" s="1"/>
  <c r="AI153" i="2"/>
  <c r="AG52" i="9" s="1"/>
  <c r="AG23" i="9" s="1"/>
  <c r="AO153" i="2"/>
  <c r="AM52" i="9" s="1"/>
  <c r="AM23" i="9" s="1"/>
  <c r="AT153" i="2"/>
  <c r="AP52" i="9" s="1"/>
  <c r="AP23" i="9" s="1"/>
  <c r="AF153" i="2"/>
  <c r="AD52" i="9" s="1"/>
  <c r="AD23" i="9" s="1"/>
  <c r="T153" i="2"/>
  <c r="R52" i="9" s="1"/>
  <c r="R23" i="9" s="1"/>
  <c r="R16" i="14" s="1"/>
  <c r="H314" i="6"/>
  <c r="I314" i="6" s="1"/>
  <c r="H320" i="6"/>
  <c r="I320" i="6" s="1"/>
  <c r="M319" i="6" s="1"/>
  <c r="H338" i="6"/>
  <c r="I338" i="6" s="1"/>
  <c r="H368" i="6"/>
  <c r="I368" i="6" s="1"/>
  <c r="H374" i="6"/>
  <c r="I374" i="6" s="1"/>
  <c r="O373" i="6" s="1"/>
  <c r="H272" i="6"/>
  <c r="I272" i="6" s="1"/>
  <c r="O271" i="6" s="1"/>
  <c r="H308" i="6"/>
  <c r="I308" i="6" s="1"/>
  <c r="H356" i="6"/>
  <c r="I356" i="6" s="1"/>
  <c r="H404" i="6"/>
  <c r="I404" i="6" s="1"/>
  <c r="K403" i="6" s="1"/>
  <c r="H428" i="6"/>
  <c r="I428" i="6" s="1"/>
  <c r="H410" i="6"/>
  <c r="I410" i="6" s="1"/>
  <c r="K409" i="6" s="1"/>
  <c r="H302" i="6"/>
  <c r="I302" i="6" s="1"/>
  <c r="H274" i="6"/>
  <c r="H281" i="6"/>
  <c r="H284" i="6" s="1"/>
  <c r="I284" i="6" s="1"/>
  <c r="H275" i="6"/>
  <c r="CC47" i="9"/>
  <c r="CE47" i="9" s="1"/>
  <c r="I132" i="2"/>
  <c r="I50" i="9" s="1"/>
  <c r="G50" i="9" s="1"/>
  <c r="H422" i="6"/>
  <c r="I422" i="6" s="1"/>
  <c r="H416" i="6"/>
  <c r="I416" i="6" s="1"/>
  <c r="H398" i="6"/>
  <c r="I398" i="6" s="1"/>
  <c r="O397" i="6" s="1"/>
  <c r="H392" i="6"/>
  <c r="I392" i="6" s="1"/>
  <c r="H121" i="2" s="1"/>
  <c r="H386" i="6"/>
  <c r="I386" i="6" s="1"/>
  <c r="H120" i="2" s="1"/>
  <c r="H380" i="6"/>
  <c r="I380" i="6" s="1"/>
  <c r="K379" i="6" s="1"/>
  <c r="H362" i="6"/>
  <c r="I362" i="6" s="1"/>
  <c r="O361" i="6" s="1"/>
  <c r="H350" i="6"/>
  <c r="I350" i="6" s="1"/>
  <c r="H111" i="2" s="1"/>
  <c r="H344" i="6"/>
  <c r="I344" i="6" s="1"/>
  <c r="L343" i="6" s="1"/>
  <c r="H332" i="6"/>
  <c r="I332" i="6" s="1"/>
  <c r="H326" i="6"/>
  <c r="I326" i="6" s="1"/>
  <c r="O325" i="6" s="1"/>
  <c r="H296" i="6"/>
  <c r="I296" i="6" s="1"/>
  <c r="O295" i="6" s="1"/>
  <c r="G52" i="9" l="1"/>
  <c r="G23" i="9" s="1"/>
  <c r="H52" i="9"/>
  <c r="H23" i="9" s="1"/>
  <c r="H16" i="14" s="1"/>
  <c r="H122" i="2"/>
  <c r="F49" i="9" s="1"/>
  <c r="F20" i="9" s="1"/>
  <c r="K319" i="6"/>
  <c r="N319" i="6"/>
  <c r="L319" i="6"/>
  <c r="O319" i="6"/>
  <c r="K367" i="6"/>
  <c r="O349" i="6"/>
  <c r="H50" i="9"/>
  <c r="L355" i="6"/>
  <c r="N427" i="6"/>
  <c r="K427" i="6"/>
  <c r="L427" i="6"/>
  <c r="M427" i="6"/>
  <c r="O427" i="6"/>
  <c r="O409" i="6"/>
  <c r="O367" i="6"/>
  <c r="L367" i="6"/>
  <c r="K133" i="2"/>
  <c r="K50" i="9" s="1"/>
  <c r="AQ133" i="2"/>
  <c r="AP133" i="2"/>
  <c r="N313" i="6"/>
  <c r="M367" i="6"/>
  <c r="K355" i="6"/>
  <c r="N367" i="6"/>
  <c r="O355" i="6"/>
  <c r="L409" i="6"/>
  <c r="L403" i="6"/>
  <c r="K313" i="6"/>
  <c r="N409" i="6"/>
  <c r="M409" i="6"/>
  <c r="M307" i="6"/>
  <c r="H85" i="2"/>
  <c r="M373" i="6"/>
  <c r="L373" i="6"/>
  <c r="N373" i="6"/>
  <c r="K373" i="6"/>
  <c r="O343" i="6"/>
  <c r="N337" i="6"/>
  <c r="O337" i="6"/>
  <c r="K337" i="6"/>
  <c r="M337" i="6"/>
  <c r="L337" i="6"/>
  <c r="O331" i="6"/>
  <c r="N331" i="6"/>
  <c r="O313" i="6"/>
  <c r="L313" i="6"/>
  <c r="M313" i="6"/>
  <c r="N307" i="6"/>
  <c r="L307" i="6"/>
  <c r="O307" i="6"/>
  <c r="K307" i="6"/>
  <c r="L301" i="6"/>
  <c r="O301" i="6"/>
  <c r="K271" i="6"/>
  <c r="H278" i="6"/>
  <c r="I278" i="6" s="1"/>
  <c r="M277" i="6" s="1"/>
  <c r="L271" i="6"/>
  <c r="M271" i="6"/>
  <c r="N271" i="6"/>
  <c r="N403" i="6"/>
  <c r="M403" i="6"/>
  <c r="M301" i="6"/>
  <c r="M355" i="6"/>
  <c r="N349" i="6"/>
  <c r="O403" i="6"/>
  <c r="N301" i="6"/>
  <c r="N355" i="6"/>
  <c r="M331" i="6"/>
  <c r="K301" i="6"/>
  <c r="O283" i="6"/>
  <c r="H78" i="2"/>
  <c r="L283" i="6"/>
  <c r="N283" i="6"/>
  <c r="K325" i="6"/>
  <c r="O391" i="6"/>
  <c r="M379" i="6"/>
  <c r="L325" i="6"/>
  <c r="K331" i="6"/>
  <c r="K343" i="6"/>
  <c r="L385" i="6"/>
  <c r="K415" i="6"/>
  <c r="N361" i="6"/>
  <c r="N325" i="6"/>
  <c r="M397" i="6"/>
  <c r="M325" i="6"/>
  <c r="L331" i="6"/>
  <c r="L361" i="6"/>
  <c r="L397" i="6"/>
  <c r="L349" i="6"/>
  <c r="M421" i="6"/>
  <c r="CD47" i="9"/>
  <c r="X133" i="2"/>
  <c r="V50" i="9" s="1"/>
  <c r="R133" i="2"/>
  <c r="P50" i="9" s="1"/>
  <c r="AL133" i="2"/>
  <c r="AJ50" i="9" s="1"/>
  <c r="AC133" i="2"/>
  <c r="AA50" i="9" s="1"/>
  <c r="T133" i="2"/>
  <c r="R50" i="9" s="1"/>
  <c r="Q133" i="2"/>
  <c r="O50" i="9" s="1"/>
  <c r="AM133" i="2"/>
  <c r="AK50" i="9" s="1"/>
  <c r="N133" i="2"/>
  <c r="M133" i="2"/>
  <c r="W133" i="2"/>
  <c r="U50" i="9" s="1"/>
  <c r="AK133" i="2"/>
  <c r="AI50" i="9" s="1"/>
  <c r="AF133" i="2"/>
  <c r="AD50" i="9" s="1"/>
  <c r="AI133" i="2"/>
  <c r="AG50" i="9" s="1"/>
  <c r="AD133" i="2"/>
  <c r="AB50" i="9" s="1"/>
  <c r="AG133" i="2"/>
  <c r="AE50" i="9" s="1"/>
  <c r="AN133" i="2"/>
  <c r="AL50" i="9" s="1"/>
  <c r="AS133" i="2"/>
  <c r="AO50" i="9" s="1"/>
  <c r="S133" i="2"/>
  <c r="Q50" i="9" s="1"/>
  <c r="Z133" i="2"/>
  <c r="X50" i="9" s="1"/>
  <c r="AU133" i="2"/>
  <c r="AQ50" i="9" s="1"/>
  <c r="U133" i="2"/>
  <c r="S50" i="9" s="1"/>
  <c r="AJ133" i="2"/>
  <c r="AH50" i="9" s="1"/>
  <c r="P133" i="2"/>
  <c r="N50" i="9" s="1"/>
  <c r="AA133" i="2"/>
  <c r="Y50" i="9" s="1"/>
  <c r="AR133" i="2"/>
  <c r="AN50" i="9" s="1"/>
  <c r="V133" i="2"/>
  <c r="T50" i="9" s="1"/>
  <c r="AO133" i="2"/>
  <c r="AM50" i="9" s="1"/>
  <c r="Y133" i="2"/>
  <c r="W50" i="9" s="1"/>
  <c r="AT133" i="2"/>
  <c r="AP50" i="9" s="1"/>
  <c r="AB133" i="2"/>
  <c r="Z50" i="9" s="1"/>
  <c r="L133" i="2"/>
  <c r="L50" i="9" s="1"/>
  <c r="AE133" i="2"/>
  <c r="AC50" i="9" s="1"/>
  <c r="O133" i="2"/>
  <c r="M50" i="9" s="1"/>
  <c r="AH133" i="2"/>
  <c r="AF50" i="9" s="1"/>
  <c r="K421" i="6"/>
  <c r="L421" i="6"/>
  <c r="O421" i="6"/>
  <c r="N421" i="6"/>
  <c r="N415" i="6"/>
  <c r="M415" i="6"/>
  <c r="O415" i="6"/>
  <c r="L415" i="6"/>
  <c r="K397" i="6"/>
  <c r="N397" i="6"/>
  <c r="L391" i="6"/>
  <c r="N391" i="6"/>
  <c r="M391" i="6"/>
  <c r="K391" i="6"/>
  <c r="O385" i="6"/>
  <c r="M385" i="6"/>
  <c r="N385" i="6"/>
  <c r="K385" i="6"/>
  <c r="O379" i="6"/>
  <c r="N379" i="6"/>
  <c r="L379" i="6"/>
  <c r="K361" i="6"/>
  <c r="M361" i="6"/>
  <c r="M349" i="6"/>
  <c r="K349" i="6"/>
  <c r="N343" i="6"/>
  <c r="M343" i="6"/>
  <c r="L295" i="6"/>
  <c r="M295" i="6"/>
  <c r="N295" i="6"/>
  <c r="K295" i="6"/>
  <c r="H287" i="6"/>
  <c r="H290" i="6" s="1"/>
  <c r="I290" i="6" s="1"/>
  <c r="H79" i="2" s="1"/>
  <c r="M283" i="6"/>
  <c r="K283" i="6"/>
  <c r="I23" i="9" l="1"/>
  <c r="G16" i="14"/>
  <c r="I16" i="14" s="1"/>
  <c r="I122" i="2"/>
  <c r="N277" i="6"/>
  <c r="O277" i="6"/>
  <c r="L277" i="6"/>
  <c r="K277" i="6"/>
  <c r="H102" i="2"/>
  <c r="I102" i="2" s="1"/>
  <c r="H112" i="2"/>
  <c r="F48" i="9" s="1"/>
  <c r="F19" i="9" s="1"/>
  <c r="H92" i="2"/>
  <c r="O289" i="6"/>
  <c r="L289" i="6"/>
  <c r="M289" i="6"/>
  <c r="N289" i="6"/>
  <c r="K289" i="6"/>
  <c r="H181" i="6"/>
  <c r="AU82" i="2"/>
  <c r="AT82" i="2"/>
  <c r="AS82" i="2"/>
  <c r="AR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G82" i="2"/>
  <c r="D45" i="9" s="1"/>
  <c r="F82" i="2"/>
  <c r="C45" i="9" s="1"/>
  <c r="E82" i="2"/>
  <c r="B45" i="9" s="1"/>
  <c r="B16" i="9" s="1"/>
  <c r="AU72" i="2"/>
  <c r="AT72" i="2"/>
  <c r="AS72" i="2"/>
  <c r="AR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G72" i="2"/>
  <c r="D44" i="9" s="1"/>
  <c r="F72" i="2"/>
  <c r="C44" i="9" s="1"/>
  <c r="E72" i="2"/>
  <c r="B44" i="9" s="1"/>
  <c r="B15" i="9" s="1"/>
  <c r="B8" i="14" s="1"/>
  <c r="B22" i="14" s="1"/>
  <c r="I49" i="9" l="1"/>
  <c r="AD123" i="2"/>
  <c r="AB49" i="9" s="1"/>
  <c r="X123" i="2"/>
  <c r="V49" i="9" s="1"/>
  <c r="R123" i="2"/>
  <c r="P49" i="9" s="1"/>
  <c r="AF123" i="2"/>
  <c r="AD49" i="9" s="1"/>
  <c r="AN123" i="2"/>
  <c r="AL49" i="9" s="1"/>
  <c r="AK123" i="2"/>
  <c r="AI49" i="9" s="1"/>
  <c r="W123" i="2"/>
  <c r="U49" i="9" s="1"/>
  <c r="U123" i="2"/>
  <c r="S49" i="9" s="1"/>
  <c r="AU123" i="2"/>
  <c r="AQ49" i="9" s="1"/>
  <c r="Y123" i="2"/>
  <c r="W49" i="9" s="1"/>
  <c r="AC123" i="2"/>
  <c r="AA49" i="9" s="1"/>
  <c r="S123" i="2"/>
  <c r="Q49" i="9" s="1"/>
  <c r="P123" i="2"/>
  <c r="N49" i="9" s="1"/>
  <c r="AL123" i="2"/>
  <c r="AJ49" i="9" s="1"/>
  <c r="Z123" i="2"/>
  <c r="X49" i="9" s="1"/>
  <c r="AO123" i="2"/>
  <c r="AM49" i="9" s="1"/>
  <c r="K123" i="2"/>
  <c r="K49" i="9" s="1"/>
  <c r="M123" i="2"/>
  <c r="AE123" i="2"/>
  <c r="AC49" i="9" s="1"/>
  <c r="AM123" i="2"/>
  <c r="AK49" i="9" s="1"/>
  <c r="AB123" i="2"/>
  <c r="Z49" i="9" s="1"/>
  <c r="V123" i="2"/>
  <c r="T49" i="9" s="1"/>
  <c r="AT123" i="2"/>
  <c r="AP49" i="9" s="1"/>
  <c r="N123" i="2"/>
  <c r="T123" i="2"/>
  <c r="R49" i="9" s="1"/>
  <c r="Q123" i="2"/>
  <c r="O49" i="9" s="1"/>
  <c r="AP123" i="2"/>
  <c r="AG123" i="2"/>
  <c r="AE49" i="9" s="1"/>
  <c r="AH123" i="2"/>
  <c r="AF49" i="9" s="1"/>
  <c r="L123" i="2"/>
  <c r="L49" i="9" s="1"/>
  <c r="AR123" i="2"/>
  <c r="AN49" i="9" s="1"/>
  <c r="AQ123" i="2"/>
  <c r="AA123" i="2"/>
  <c r="Y49" i="9" s="1"/>
  <c r="AJ123" i="2"/>
  <c r="AH49" i="9" s="1"/>
  <c r="O123" i="2"/>
  <c r="M49" i="9" s="1"/>
  <c r="AI123" i="2"/>
  <c r="AG49" i="9" s="1"/>
  <c r="AS123" i="2"/>
  <c r="AO49" i="9" s="1"/>
  <c r="AQ103" i="2"/>
  <c r="AP103" i="2"/>
  <c r="F47" i="9"/>
  <c r="F18" i="9" s="1"/>
  <c r="F46" i="9"/>
  <c r="F17" i="9" s="1"/>
  <c r="F10" i="14" s="1"/>
  <c r="I92" i="2"/>
  <c r="T103" i="2"/>
  <c r="AT103" i="2"/>
  <c r="AE103" i="2"/>
  <c r="P103" i="2"/>
  <c r="O103" i="2"/>
  <c r="W103" i="2"/>
  <c r="Q103" i="2"/>
  <c r="AL103" i="2"/>
  <c r="AN103" i="2"/>
  <c r="AM103" i="2"/>
  <c r="N103" i="2"/>
  <c r="AH103" i="2"/>
  <c r="Z103" i="2"/>
  <c r="AS103" i="2"/>
  <c r="AF103" i="2"/>
  <c r="R103" i="2"/>
  <c r="X103" i="2"/>
  <c r="AD103" i="2"/>
  <c r="AU103" i="2"/>
  <c r="I47" i="9"/>
  <c r="AG103" i="2"/>
  <c r="AC103" i="2"/>
  <c r="V103" i="2"/>
  <c r="L103" i="2"/>
  <c r="AK103" i="2"/>
  <c r="K103" i="2"/>
  <c r="AI103" i="2"/>
  <c r="AR103" i="2"/>
  <c r="M103" i="2"/>
  <c r="Y103" i="2"/>
  <c r="AB103" i="2"/>
  <c r="AJ103" i="2"/>
  <c r="AO103" i="2"/>
  <c r="AA103" i="2"/>
  <c r="U103" i="2"/>
  <c r="S103" i="2"/>
  <c r="I112" i="2"/>
  <c r="I48" i="9" s="1"/>
  <c r="O116" i="6"/>
  <c r="N116" i="6"/>
  <c r="M116" i="6"/>
  <c r="L116" i="6"/>
  <c r="K116" i="6"/>
  <c r="AZ115" i="3"/>
  <c r="CA79" i="9" s="1"/>
  <c r="CA21" i="9" s="1"/>
  <c r="AY115" i="3"/>
  <c r="BZ79" i="9" s="1"/>
  <c r="BZ21" i="9" s="1"/>
  <c r="AV115" i="3"/>
  <c r="BY79" i="9" s="1"/>
  <c r="BY21" i="9" s="1"/>
  <c r="AU115" i="3"/>
  <c r="BX79" i="9" s="1"/>
  <c r="BX21" i="9" s="1"/>
  <c r="AT115" i="3"/>
  <c r="BW79" i="9" s="1"/>
  <c r="BW21" i="9" s="1"/>
  <c r="AS115" i="3"/>
  <c r="BV79" i="9" s="1"/>
  <c r="BV21" i="9" s="1"/>
  <c r="AR115" i="3"/>
  <c r="BU79" i="9" s="1"/>
  <c r="BU21" i="9" s="1"/>
  <c r="AQ115" i="3"/>
  <c r="BT79" i="9" s="1"/>
  <c r="BT21" i="9" s="1"/>
  <c r="AP115" i="3"/>
  <c r="BS79" i="9" s="1"/>
  <c r="BS21" i="9" s="1"/>
  <c r="AO115" i="3"/>
  <c r="BR79" i="9" s="1"/>
  <c r="BR21" i="9" s="1"/>
  <c r="AN115" i="3"/>
  <c r="BQ79" i="9" s="1"/>
  <c r="BQ21" i="9" s="1"/>
  <c r="AM115" i="3"/>
  <c r="BP79" i="9" s="1"/>
  <c r="BP21" i="9" s="1"/>
  <c r="AL115" i="3"/>
  <c r="BO79" i="9" s="1"/>
  <c r="BO21" i="9" s="1"/>
  <c r="AK115" i="3"/>
  <c r="BN79" i="9" s="1"/>
  <c r="BN21" i="9" s="1"/>
  <c r="AJ115" i="3"/>
  <c r="BM79" i="9" s="1"/>
  <c r="BM21" i="9" s="1"/>
  <c r="AI115" i="3"/>
  <c r="BL79" i="9" s="1"/>
  <c r="BL21" i="9" s="1"/>
  <c r="AH115" i="3"/>
  <c r="BK79" i="9" s="1"/>
  <c r="BK21" i="9" s="1"/>
  <c r="AG115" i="3"/>
  <c r="BJ79" i="9" s="1"/>
  <c r="BJ21" i="9" s="1"/>
  <c r="AF115" i="3"/>
  <c r="BI79" i="9" s="1"/>
  <c r="BI21" i="9" s="1"/>
  <c r="AE115" i="3"/>
  <c r="BH79" i="9" s="1"/>
  <c r="BH21" i="9" s="1"/>
  <c r="AD115" i="3"/>
  <c r="BG79" i="9" s="1"/>
  <c r="BG21" i="9" s="1"/>
  <c r="AC115" i="3"/>
  <c r="BF79" i="9" s="1"/>
  <c r="BF21" i="9" s="1"/>
  <c r="AB115" i="3"/>
  <c r="BE79" i="9" s="1"/>
  <c r="BE21" i="9" s="1"/>
  <c r="AA115" i="3"/>
  <c r="BD79" i="9" s="1"/>
  <c r="BD21" i="9" s="1"/>
  <c r="Z115" i="3"/>
  <c r="BC79" i="9" s="1"/>
  <c r="BC21" i="9" s="1"/>
  <c r="Y115" i="3"/>
  <c r="BB79" i="9" s="1"/>
  <c r="BB21" i="9" s="1"/>
  <c r="X115" i="3"/>
  <c r="BA79" i="9" s="1"/>
  <c r="BA21" i="9" s="1"/>
  <c r="W115" i="3"/>
  <c r="AZ79" i="9" s="1"/>
  <c r="AZ21" i="9" s="1"/>
  <c r="V115" i="3"/>
  <c r="AY79" i="9" s="1"/>
  <c r="AY21" i="9" s="1"/>
  <c r="O14" i="14" s="1"/>
  <c r="U115" i="3"/>
  <c r="AX79" i="9" s="1"/>
  <c r="AX21" i="9" s="1"/>
  <c r="T115" i="3"/>
  <c r="AW79" i="9" s="1"/>
  <c r="AW21" i="9" s="1"/>
  <c r="M14" i="14" s="1"/>
  <c r="S115" i="3"/>
  <c r="AV79" i="9" s="1"/>
  <c r="AV21" i="9" s="1"/>
  <c r="R115" i="3"/>
  <c r="AU79" i="9" s="1"/>
  <c r="AU21" i="9" s="1"/>
  <c r="Q115" i="3"/>
  <c r="AT79" i="9" s="1"/>
  <c r="AT21" i="9" s="1"/>
  <c r="P115" i="3"/>
  <c r="AS79" i="9" s="1"/>
  <c r="AS21" i="9" s="1"/>
  <c r="E115" i="3"/>
  <c r="D79" i="9" s="1"/>
  <c r="D115" i="3"/>
  <c r="C79" i="9" s="1"/>
  <c r="FF112" i="3"/>
  <c r="CJ112" i="3" s="1"/>
  <c r="FE112" i="3"/>
  <c r="CI112" i="3" s="1"/>
  <c r="FD112" i="3"/>
  <c r="CH112" i="3" s="1"/>
  <c r="FC112" i="3"/>
  <c r="CG112" i="3" s="1"/>
  <c r="FB112" i="3"/>
  <c r="CF112" i="3" s="1"/>
  <c r="FA112" i="3"/>
  <c r="CE112" i="3" s="1"/>
  <c r="EZ112" i="3"/>
  <c r="CD112" i="3" s="1"/>
  <c r="EY112" i="3"/>
  <c r="CC112" i="3" s="1"/>
  <c r="EX112" i="3"/>
  <c r="CB112" i="3" s="1"/>
  <c r="EW112" i="3"/>
  <c r="CA112" i="3" s="1"/>
  <c r="EV112" i="3"/>
  <c r="BZ112" i="3" s="1"/>
  <c r="EU112" i="3"/>
  <c r="BY112" i="3" s="1"/>
  <c r="ET112" i="3"/>
  <c r="BX112" i="3" s="1"/>
  <c r="ES112" i="3"/>
  <c r="BW112" i="3" s="1"/>
  <c r="ER112" i="3"/>
  <c r="BV112" i="3" s="1"/>
  <c r="EQ112" i="3"/>
  <c r="BU112" i="3" s="1"/>
  <c r="EP112" i="3"/>
  <c r="BT112" i="3" s="1"/>
  <c r="EO112" i="3"/>
  <c r="BS112" i="3" s="1"/>
  <c r="EN112" i="3"/>
  <c r="BR112" i="3" s="1"/>
  <c r="EM112" i="3"/>
  <c r="BQ112" i="3" s="1"/>
  <c r="EL112" i="3"/>
  <c r="BP112" i="3" s="1"/>
  <c r="EK112" i="3"/>
  <c r="BO112" i="3" s="1"/>
  <c r="EJ112" i="3"/>
  <c r="BN112" i="3" s="1"/>
  <c r="EI112" i="3"/>
  <c r="BM112" i="3" s="1"/>
  <c r="EH112" i="3"/>
  <c r="BL112" i="3" s="1"/>
  <c r="EG112" i="3"/>
  <c r="BK112" i="3" s="1"/>
  <c r="EF112" i="3"/>
  <c r="BJ112" i="3" s="1"/>
  <c r="EE112" i="3"/>
  <c r="BI112" i="3" s="1"/>
  <c r="ED112" i="3"/>
  <c r="BH112" i="3" s="1"/>
  <c r="EC112" i="3"/>
  <c r="BG112" i="3" s="1"/>
  <c r="EB112" i="3"/>
  <c r="BF112" i="3" s="1"/>
  <c r="EA112" i="3"/>
  <c r="BE112" i="3" s="1"/>
  <c r="DZ112" i="3"/>
  <c r="BD112" i="3" s="1"/>
  <c r="DY112" i="3"/>
  <c r="BC112" i="3" s="1"/>
  <c r="DX112" i="3"/>
  <c r="BB112" i="3" s="1"/>
  <c r="AZ106" i="3"/>
  <c r="CA78" i="9" s="1"/>
  <c r="CA20" i="9" s="1"/>
  <c r="AY106" i="3"/>
  <c r="BZ78" i="9" s="1"/>
  <c r="BZ20" i="9" s="1"/>
  <c r="AV106" i="3"/>
  <c r="BY78" i="9" s="1"/>
  <c r="BY20" i="9" s="1"/>
  <c r="AU106" i="3"/>
  <c r="BX78" i="9" s="1"/>
  <c r="BX20" i="9" s="1"/>
  <c r="AT106" i="3"/>
  <c r="BW78" i="9" s="1"/>
  <c r="BW20" i="9" s="1"/>
  <c r="AS106" i="3"/>
  <c r="BV78" i="9" s="1"/>
  <c r="BV20" i="9" s="1"/>
  <c r="AR106" i="3"/>
  <c r="BU78" i="9" s="1"/>
  <c r="BU20" i="9" s="1"/>
  <c r="AQ106" i="3"/>
  <c r="BT78" i="9" s="1"/>
  <c r="BT20" i="9" s="1"/>
  <c r="AP106" i="3"/>
  <c r="BS78" i="9" s="1"/>
  <c r="BS20" i="9" s="1"/>
  <c r="AO106" i="3"/>
  <c r="BR78" i="9" s="1"/>
  <c r="BR20" i="9" s="1"/>
  <c r="AN106" i="3"/>
  <c r="BQ78" i="9" s="1"/>
  <c r="BQ20" i="9" s="1"/>
  <c r="AM106" i="3"/>
  <c r="BP78" i="9" s="1"/>
  <c r="BP20" i="9" s="1"/>
  <c r="AL106" i="3"/>
  <c r="BO78" i="9" s="1"/>
  <c r="BO20" i="9" s="1"/>
  <c r="AK106" i="3"/>
  <c r="BN78" i="9" s="1"/>
  <c r="BN20" i="9" s="1"/>
  <c r="AJ106" i="3"/>
  <c r="BM78" i="9" s="1"/>
  <c r="BM20" i="9" s="1"/>
  <c r="AI106" i="3"/>
  <c r="BL78" i="9" s="1"/>
  <c r="BL20" i="9" s="1"/>
  <c r="AH106" i="3"/>
  <c r="BK78" i="9" s="1"/>
  <c r="BK20" i="9" s="1"/>
  <c r="AG106" i="3"/>
  <c r="BJ78" i="9" s="1"/>
  <c r="BJ20" i="9" s="1"/>
  <c r="AF106" i="3"/>
  <c r="BI78" i="9" s="1"/>
  <c r="BI20" i="9" s="1"/>
  <c r="AE106" i="3"/>
  <c r="BH78" i="9" s="1"/>
  <c r="BH20" i="9" s="1"/>
  <c r="AD106" i="3"/>
  <c r="BG78" i="9" s="1"/>
  <c r="BG20" i="9" s="1"/>
  <c r="AC106" i="3"/>
  <c r="BF78" i="9" s="1"/>
  <c r="BF20" i="9" s="1"/>
  <c r="AB106" i="3"/>
  <c r="BE78" i="9" s="1"/>
  <c r="BE20" i="9" s="1"/>
  <c r="AA106" i="3"/>
  <c r="BD78" i="9" s="1"/>
  <c r="BD20" i="9" s="1"/>
  <c r="Z106" i="3"/>
  <c r="BC78" i="9" s="1"/>
  <c r="BC20" i="9" s="1"/>
  <c r="Y106" i="3"/>
  <c r="BB78" i="9" s="1"/>
  <c r="BB20" i="9" s="1"/>
  <c r="X106" i="3"/>
  <c r="BA78" i="9" s="1"/>
  <c r="BA20" i="9" s="1"/>
  <c r="W106" i="3"/>
  <c r="AZ78" i="9" s="1"/>
  <c r="AZ20" i="9" s="1"/>
  <c r="V106" i="3"/>
  <c r="AY78" i="9" s="1"/>
  <c r="AY20" i="9" s="1"/>
  <c r="O13" i="14" s="1"/>
  <c r="U106" i="3"/>
  <c r="AX78" i="9" s="1"/>
  <c r="AX20" i="9" s="1"/>
  <c r="P13" i="14" s="1"/>
  <c r="T106" i="3"/>
  <c r="AW78" i="9" s="1"/>
  <c r="AW20" i="9" s="1"/>
  <c r="M13" i="14" s="1"/>
  <c r="S106" i="3"/>
  <c r="AV78" i="9" s="1"/>
  <c r="AV20" i="9" s="1"/>
  <c r="N13" i="14" s="1"/>
  <c r="R106" i="3"/>
  <c r="AU78" i="9" s="1"/>
  <c r="AU20" i="9" s="1"/>
  <c r="Q106" i="3"/>
  <c r="AT78" i="9" s="1"/>
  <c r="AT20" i="9" s="1"/>
  <c r="L13" i="14" s="1"/>
  <c r="P106" i="3"/>
  <c r="AS78" i="9" s="1"/>
  <c r="AS20" i="9" s="1"/>
  <c r="K13" i="14" s="1"/>
  <c r="E106" i="3"/>
  <c r="D78" i="9" s="1"/>
  <c r="D106" i="3"/>
  <c r="C78" i="9" s="1"/>
  <c r="FF105" i="3"/>
  <c r="CJ105" i="3" s="1"/>
  <c r="FE105" i="3"/>
  <c r="CI105" i="3" s="1"/>
  <c r="FD105" i="3"/>
  <c r="CH105" i="3" s="1"/>
  <c r="FC105" i="3"/>
  <c r="CG105" i="3" s="1"/>
  <c r="FB105" i="3"/>
  <c r="CF105" i="3" s="1"/>
  <c r="FA105" i="3"/>
  <c r="CE105" i="3" s="1"/>
  <c r="EZ105" i="3"/>
  <c r="CD105" i="3" s="1"/>
  <c r="EY105" i="3"/>
  <c r="CC105" i="3" s="1"/>
  <c r="EX105" i="3"/>
  <c r="CB105" i="3" s="1"/>
  <c r="EW105" i="3"/>
  <c r="CA105" i="3" s="1"/>
  <c r="EV105" i="3"/>
  <c r="BZ105" i="3" s="1"/>
  <c r="EU105" i="3"/>
  <c r="BY105" i="3" s="1"/>
  <c r="ET105" i="3"/>
  <c r="BX105" i="3" s="1"/>
  <c r="ES105" i="3"/>
  <c r="BW105" i="3" s="1"/>
  <c r="ER105" i="3"/>
  <c r="BV105" i="3" s="1"/>
  <c r="EQ105" i="3"/>
  <c r="BU105" i="3" s="1"/>
  <c r="EP105" i="3"/>
  <c r="BT105" i="3" s="1"/>
  <c r="EO105" i="3"/>
  <c r="BS105" i="3" s="1"/>
  <c r="EN105" i="3"/>
  <c r="BR105" i="3" s="1"/>
  <c r="EM105" i="3"/>
  <c r="BQ105" i="3" s="1"/>
  <c r="EL105" i="3"/>
  <c r="BP105" i="3" s="1"/>
  <c r="EK105" i="3"/>
  <c r="BO105" i="3" s="1"/>
  <c r="EJ105" i="3"/>
  <c r="BN105" i="3" s="1"/>
  <c r="EI105" i="3"/>
  <c r="BM105" i="3" s="1"/>
  <c r="EH105" i="3"/>
  <c r="BL105" i="3" s="1"/>
  <c r="EG105" i="3"/>
  <c r="BK105" i="3" s="1"/>
  <c r="EF105" i="3"/>
  <c r="BJ105" i="3" s="1"/>
  <c r="EE105" i="3"/>
  <c r="BI105" i="3" s="1"/>
  <c r="ED105" i="3"/>
  <c r="BH105" i="3" s="1"/>
  <c r="EC105" i="3"/>
  <c r="BG105" i="3" s="1"/>
  <c r="EB105" i="3"/>
  <c r="BF105" i="3" s="1"/>
  <c r="EA105" i="3"/>
  <c r="BE105" i="3" s="1"/>
  <c r="DZ105" i="3"/>
  <c r="BD105" i="3" s="1"/>
  <c r="DY105" i="3"/>
  <c r="BC105" i="3" s="1"/>
  <c r="DX105" i="3"/>
  <c r="BB105" i="3" s="1"/>
  <c r="FF104" i="3"/>
  <c r="CJ104" i="3" s="1"/>
  <c r="FE104" i="3"/>
  <c r="CI104" i="3" s="1"/>
  <c r="FD104" i="3"/>
  <c r="CH104" i="3" s="1"/>
  <c r="FC104" i="3"/>
  <c r="CG104" i="3" s="1"/>
  <c r="FB104" i="3"/>
  <c r="CF104" i="3" s="1"/>
  <c r="FA104" i="3"/>
  <c r="CE104" i="3" s="1"/>
  <c r="EZ104" i="3"/>
  <c r="CD104" i="3" s="1"/>
  <c r="EY104" i="3"/>
  <c r="CC104" i="3" s="1"/>
  <c r="EX104" i="3"/>
  <c r="CB104" i="3" s="1"/>
  <c r="EW104" i="3"/>
  <c r="CA104" i="3" s="1"/>
  <c r="EV104" i="3"/>
  <c r="BZ104" i="3" s="1"/>
  <c r="EU104" i="3"/>
  <c r="BY104" i="3" s="1"/>
  <c r="ET104" i="3"/>
  <c r="BX104" i="3" s="1"/>
  <c r="ES104" i="3"/>
  <c r="BW104" i="3" s="1"/>
  <c r="ER104" i="3"/>
  <c r="BV104" i="3" s="1"/>
  <c r="EQ104" i="3"/>
  <c r="BU104" i="3" s="1"/>
  <c r="EP104" i="3"/>
  <c r="BT104" i="3" s="1"/>
  <c r="EO104" i="3"/>
  <c r="BS104" i="3" s="1"/>
  <c r="EN104" i="3"/>
  <c r="BR104" i="3" s="1"/>
  <c r="EM104" i="3"/>
  <c r="BQ104" i="3" s="1"/>
  <c r="EL104" i="3"/>
  <c r="BP104" i="3" s="1"/>
  <c r="EK104" i="3"/>
  <c r="BO104" i="3" s="1"/>
  <c r="EJ104" i="3"/>
  <c r="BN104" i="3" s="1"/>
  <c r="EI104" i="3"/>
  <c r="BM104" i="3" s="1"/>
  <c r="EH104" i="3"/>
  <c r="BL104" i="3" s="1"/>
  <c r="EG104" i="3"/>
  <c r="BK104" i="3" s="1"/>
  <c r="EF104" i="3"/>
  <c r="BJ104" i="3" s="1"/>
  <c r="EE104" i="3"/>
  <c r="BI104" i="3" s="1"/>
  <c r="ED104" i="3"/>
  <c r="BH104" i="3" s="1"/>
  <c r="EC104" i="3"/>
  <c r="BG104" i="3" s="1"/>
  <c r="EB104" i="3"/>
  <c r="BF104" i="3" s="1"/>
  <c r="EA104" i="3"/>
  <c r="BE104" i="3" s="1"/>
  <c r="DZ104" i="3"/>
  <c r="BD104" i="3" s="1"/>
  <c r="DY104" i="3"/>
  <c r="BC104" i="3" s="1"/>
  <c r="DX104" i="3"/>
  <c r="BB104" i="3" s="1"/>
  <c r="AZ97" i="3"/>
  <c r="CA77" i="9" s="1"/>
  <c r="AY97" i="3"/>
  <c r="BZ77" i="9" s="1"/>
  <c r="AV97" i="3"/>
  <c r="BY77" i="9" s="1"/>
  <c r="AU97" i="3"/>
  <c r="BX77" i="9" s="1"/>
  <c r="AT97" i="3"/>
  <c r="BW77" i="9" s="1"/>
  <c r="AS97" i="3"/>
  <c r="BV77" i="9" s="1"/>
  <c r="AR97" i="3"/>
  <c r="BU77" i="9" s="1"/>
  <c r="AQ97" i="3"/>
  <c r="BT77" i="9" s="1"/>
  <c r="AP97" i="3"/>
  <c r="BS77" i="9" s="1"/>
  <c r="AO97" i="3"/>
  <c r="BR77" i="9" s="1"/>
  <c r="AN97" i="3"/>
  <c r="BQ77" i="9" s="1"/>
  <c r="AM97" i="3"/>
  <c r="BP77" i="9" s="1"/>
  <c r="AL97" i="3"/>
  <c r="BO77" i="9" s="1"/>
  <c r="AK97" i="3"/>
  <c r="BN77" i="9" s="1"/>
  <c r="AJ97" i="3"/>
  <c r="BM77" i="9" s="1"/>
  <c r="AI97" i="3"/>
  <c r="BL77" i="9" s="1"/>
  <c r="AH97" i="3"/>
  <c r="BK77" i="9" s="1"/>
  <c r="AG97" i="3"/>
  <c r="BJ77" i="9" s="1"/>
  <c r="AF97" i="3"/>
  <c r="BI77" i="9" s="1"/>
  <c r="AE97" i="3"/>
  <c r="BH77" i="9" s="1"/>
  <c r="AD97" i="3"/>
  <c r="BG77" i="9" s="1"/>
  <c r="AC97" i="3"/>
  <c r="BF77" i="9" s="1"/>
  <c r="AB97" i="3"/>
  <c r="BE77" i="9" s="1"/>
  <c r="AA97" i="3"/>
  <c r="BD77" i="9" s="1"/>
  <c r="Z97" i="3"/>
  <c r="BC77" i="9" s="1"/>
  <c r="Y97" i="3"/>
  <c r="BB77" i="9" s="1"/>
  <c r="X97" i="3"/>
  <c r="BA77" i="9" s="1"/>
  <c r="W97" i="3"/>
  <c r="AZ77" i="9" s="1"/>
  <c r="AZ19" i="9" s="1"/>
  <c r="V97" i="3"/>
  <c r="AY77" i="9" s="1"/>
  <c r="AY19" i="9" s="1"/>
  <c r="O12" i="14" s="1"/>
  <c r="U97" i="3"/>
  <c r="AX77" i="9" s="1"/>
  <c r="AX19" i="9" s="1"/>
  <c r="P12" i="14" s="1"/>
  <c r="T97" i="3"/>
  <c r="AW77" i="9" s="1"/>
  <c r="AW19" i="9" s="1"/>
  <c r="M12" i="14" s="1"/>
  <c r="S97" i="3"/>
  <c r="AV77" i="9" s="1"/>
  <c r="AV19" i="9" s="1"/>
  <c r="N12" i="14" s="1"/>
  <c r="R97" i="3"/>
  <c r="AU77" i="9" s="1"/>
  <c r="AU19" i="9" s="1"/>
  <c r="Q97" i="3"/>
  <c r="AT77" i="9" s="1"/>
  <c r="AT19" i="9" s="1"/>
  <c r="L12" i="14" s="1"/>
  <c r="P97" i="3"/>
  <c r="AS77" i="9" s="1"/>
  <c r="AS19" i="9" s="1"/>
  <c r="K12" i="14" s="1"/>
  <c r="E97" i="3"/>
  <c r="D77" i="9" s="1"/>
  <c r="D97" i="3"/>
  <c r="C77" i="9" s="1"/>
  <c r="CJ96" i="3"/>
  <c r="CI96" i="3"/>
  <c r="CH96" i="3"/>
  <c r="CG96" i="3"/>
  <c r="CF96" i="3"/>
  <c r="CE96" i="3"/>
  <c r="CD96" i="3"/>
  <c r="CC96" i="3"/>
  <c r="CB96" i="3"/>
  <c r="CA96" i="3"/>
  <c r="BZ96" i="3"/>
  <c r="BY96" i="3"/>
  <c r="BX96" i="3"/>
  <c r="BW96" i="3"/>
  <c r="BV96" i="3"/>
  <c r="BU96" i="3"/>
  <c r="BT96" i="3"/>
  <c r="BS96" i="3"/>
  <c r="BR96" i="3"/>
  <c r="BQ96" i="3"/>
  <c r="BP96" i="3"/>
  <c r="BO96" i="3"/>
  <c r="BN96" i="3"/>
  <c r="BM96" i="3"/>
  <c r="BL96" i="3"/>
  <c r="BK96" i="3"/>
  <c r="BJ96" i="3"/>
  <c r="BI96" i="3"/>
  <c r="BH96" i="3"/>
  <c r="BG96" i="3"/>
  <c r="BF96" i="3"/>
  <c r="BE96" i="3"/>
  <c r="BD96" i="3"/>
  <c r="BC96" i="3"/>
  <c r="BB96" i="3"/>
  <c r="CJ95" i="3"/>
  <c r="CI95" i="3"/>
  <c r="CH95" i="3"/>
  <c r="CG95" i="3"/>
  <c r="CF95" i="3"/>
  <c r="CE95" i="3"/>
  <c r="CD95" i="3"/>
  <c r="CC95" i="3"/>
  <c r="CB95" i="3"/>
  <c r="CA95" i="3"/>
  <c r="BZ95" i="3"/>
  <c r="BY95" i="3"/>
  <c r="BX95" i="3"/>
  <c r="BW95" i="3"/>
  <c r="BV95" i="3"/>
  <c r="BU95" i="3"/>
  <c r="BT95" i="3"/>
  <c r="BS95" i="3"/>
  <c r="BR95" i="3"/>
  <c r="BQ95" i="3"/>
  <c r="BP95" i="3"/>
  <c r="BO95" i="3"/>
  <c r="BN95" i="3"/>
  <c r="BM95" i="3"/>
  <c r="BL95" i="3"/>
  <c r="BK95" i="3"/>
  <c r="BJ95" i="3"/>
  <c r="BI95" i="3"/>
  <c r="BH95" i="3"/>
  <c r="BG95" i="3"/>
  <c r="BF95" i="3"/>
  <c r="BE95" i="3"/>
  <c r="BD95" i="3"/>
  <c r="BC95" i="3"/>
  <c r="BB95" i="3"/>
  <c r="CJ94" i="3"/>
  <c r="CI94" i="3"/>
  <c r="CH94" i="3"/>
  <c r="CG94" i="3"/>
  <c r="CF94" i="3"/>
  <c r="CE94" i="3"/>
  <c r="CD94" i="3"/>
  <c r="CC94" i="3"/>
  <c r="CB94" i="3"/>
  <c r="CA94" i="3"/>
  <c r="BZ94" i="3"/>
  <c r="BY94" i="3"/>
  <c r="BX94" i="3"/>
  <c r="BW94" i="3"/>
  <c r="BV94" i="3"/>
  <c r="BU94" i="3"/>
  <c r="BT94" i="3"/>
  <c r="BS94" i="3"/>
  <c r="BR94" i="3"/>
  <c r="BQ94" i="3"/>
  <c r="BP94" i="3"/>
  <c r="BO94" i="3"/>
  <c r="BN94" i="3"/>
  <c r="BM94" i="3"/>
  <c r="BL94" i="3"/>
  <c r="BK94" i="3"/>
  <c r="BJ94" i="3"/>
  <c r="BI94" i="3"/>
  <c r="BH94" i="3"/>
  <c r="BG94" i="3"/>
  <c r="BF94" i="3"/>
  <c r="BE94" i="3"/>
  <c r="BD94" i="3"/>
  <c r="BC94" i="3"/>
  <c r="BB94" i="3"/>
  <c r="AZ88" i="3"/>
  <c r="CA76" i="9" s="1"/>
  <c r="CA18" i="9" s="1"/>
  <c r="AY88" i="3"/>
  <c r="BZ76" i="9" s="1"/>
  <c r="BZ18" i="9" s="1"/>
  <c r="AV88" i="3"/>
  <c r="BY76" i="9" s="1"/>
  <c r="BY18" i="9" s="1"/>
  <c r="AU88" i="3"/>
  <c r="BX76" i="9" s="1"/>
  <c r="BX18" i="9" s="1"/>
  <c r="AT88" i="3"/>
  <c r="BW76" i="9" s="1"/>
  <c r="BW18" i="9" s="1"/>
  <c r="AS88" i="3"/>
  <c r="BV76" i="9" s="1"/>
  <c r="BV18" i="9" s="1"/>
  <c r="AR88" i="3"/>
  <c r="BU76" i="9" s="1"/>
  <c r="BU18" i="9" s="1"/>
  <c r="AQ88" i="3"/>
  <c r="BT76" i="9" s="1"/>
  <c r="BT18" i="9" s="1"/>
  <c r="AP88" i="3"/>
  <c r="BS76" i="9" s="1"/>
  <c r="BS18" i="9" s="1"/>
  <c r="AO88" i="3"/>
  <c r="BR76" i="9" s="1"/>
  <c r="BR18" i="9" s="1"/>
  <c r="AN88" i="3"/>
  <c r="AM88" i="3"/>
  <c r="BP76" i="9" s="1"/>
  <c r="BP18" i="9" s="1"/>
  <c r="AL88" i="3"/>
  <c r="BO76" i="9" s="1"/>
  <c r="BO18" i="9" s="1"/>
  <c r="AK88" i="3"/>
  <c r="BN76" i="9" s="1"/>
  <c r="BN18" i="9" s="1"/>
  <c r="AJ88" i="3"/>
  <c r="BM76" i="9" s="1"/>
  <c r="BM18" i="9" s="1"/>
  <c r="AI88" i="3"/>
  <c r="BL76" i="9" s="1"/>
  <c r="BL18" i="9" s="1"/>
  <c r="AH88" i="3"/>
  <c r="BK76" i="9" s="1"/>
  <c r="BK18" i="9" s="1"/>
  <c r="AG88" i="3"/>
  <c r="BJ76" i="9" s="1"/>
  <c r="BJ18" i="9" s="1"/>
  <c r="AF88" i="3"/>
  <c r="BI76" i="9" s="1"/>
  <c r="BI18" i="9" s="1"/>
  <c r="AE88" i="3"/>
  <c r="BH76" i="9" s="1"/>
  <c r="BH18" i="9" s="1"/>
  <c r="AD88" i="3"/>
  <c r="BG76" i="9" s="1"/>
  <c r="BG18" i="9" s="1"/>
  <c r="AC88" i="3"/>
  <c r="BF76" i="9" s="1"/>
  <c r="BF18" i="9" s="1"/>
  <c r="AB88" i="3"/>
  <c r="BE76" i="9" s="1"/>
  <c r="BE18" i="9" s="1"/>
  <c r="AA88" i="3"/>
  <c r="BD76" i="9" s="1"/>
  <c r="BD18" i="9" s="1"/>
  <c r="Z88" i="3"/>
  <c r="BC76" i="9" s="1"/>
  <c r="BC18" i="9" s="1"/>
  <c r="Y88" i="3"/>
  <c r="BB76" i="9" s="1"/>
  <c r="BB18" i="9" s="1"/>
  <c r="X88" i="3"/>
  <c r="BA76" i="9" s="1"/>
  <c r="BA18" i="9" s="1"/>
  <c r="W88" i="3"/>
  <c r="AZ76" i="9" s="1"/>
  <c r="AZ18" i="9" s="1"/>
  <c r="V88" i="3"/>
  <c r="AY76" i="9" s="1"/>
  <c r="AY18" i="9" s="1"/>
  <c r="O11" i="14" s="1"/>
  <c r="U88" i="3"/>
  <c r="AX76" i="9" s="1"/>
  <c r="AX18" i="9" s="1"/>
  <c r="P11" i="14" s="1"/>
  <c r="T88" i="3"/>
  <c r="AW76" i="9" s="1"/>
  <c r="AW18" i="9" s="1"/>
  <c r="M11" i="14" s="1"/>
  <c r="S88" i="3"/>
  <c r="AV76" i="9" s="1"/>
  <c r="AV18" i="9" s="1"/>
  <c r="N11" i="14" s="1"/>
  <c r="R88" i="3"/>
  <c r="AU76" i="9" s="1"/>
  <c r="AU18" i="9" s="1"/>
  <c r="Q88" i="3"/>
  <c r="AT76" i="9" s="1"/>
  <c r="AT18" i="9" s="1"/>
  <c r="L11" i="14" s="1"/>
  <c r="P88" i="3"/>
  <c r="AS76" i="9" s="1"/>
  <c r="E88" i="3"/>
  <c r="D76" i="9" s="1"/>
  <c r="D88" i="3"/>
  <c r="C76" i="9" s="1"/>
  <c r="C18" i="9" s="1"/>
  <c r="AZ79" i="3"/>
  <c r="CA75" i="9" s="1"/>
  <c r="CA17" i="9" s="1"/>
  <c r="AY79" i="3"/>
  <c r="BZ75" i="9" s="1"/>
  <c r="BZ17" i="9" s="1"/>
  <c r="AV79" i="3"/>
  <c r="BY75" i="9" s="1"/>
  <c r="BY17" i="9" s="1"/>
  <c r="AU79" i="3"/>
  <c r="BX75" i="9" s="1"/>
  <c r="BX17" i="9" s="1"/>
  <c r="AT79" i="3"/>
  <c r="BW75" i="9" s="1"/>
  <c r="BW17" i="9" s="1"/>
  <c r="AS79" i="3"/>
  <c r="BV75" i="9" s="1"/>
  <c r="BV17" i="9" s="1"/>
  <c r="AR79" i="3"/>
  <c r="BU75" i="9" s="1"/>
  <c r="BU17" i="9" s="1"/>
  <c r="AQ79" i="3"/>
  <c r="BT75" i="9" s="1"/>
  <c r="BT17" i="9" s="1"/>
  <c r="AP79" i="3"/>
  <c r="BS75" i="9" s="1"/>
  <c r="BS17" i="9" s="1"/>
  <c r="AO79" i="3"/>
  <c r="BR75" i="9" s="1"/>
  <c r="BR17" i="9" s="1"/>
  <c r="AN79" i="3"/>
  <c r="BQ75" i="9" s="1"/>
  <c r="BQ17" i="9" s="1"/>
  <c r="AM79" i="3"/>
  <c r="BP75" i="9" s="1"/>
  <c r="BP17" i="9" s="1"/>
  <c r="AL79" i="3"/>
  <c r="BO75" i="9" s="1"/>
  <c r="BO17" i="9" s="1"/>
  <c r="AK79" i="3"/>
  <c r="BN75" i="9" s="1"/>
  <c r="BN17" i="9" s="1"/>
  <c r="AJ79" i="3"/>
  <c r="BM75" i="9" s="1"/>
  <c r="BM17" i="9" s="1"/>
  <c r="AI79" i="3"/>
  <c r="BL75" i="9" s="1"/>
  <c r="BL17" i="9" s="1"/>
  <c r="AH79" i="3"/>
  <c r="BK75" i="9" s="1"/>
  <c r="BK17" i="9" s="1"/>
  <c r="AG79" i="3"/>
  <c r="BJ75" i="9" s="1"/>
  <c r="BJ17" i="9" s="1"/>
  <c r="AF79" i="3"/>
  <c r="BI75" i="9" s="1"/>
  <c r="BI17" i="9" s="1"/>
  <c r="AE79" i="3"/>
  <c r="BH75" i="9" s="1"/>
  <c r="BH17" i="9" s="1"/>
  <c r="AD79" i="3"/>
  <c r="BG75" i="9" s="1"/>
  <c r="BG17" i="9" s="1"/>
  <c r="AC79" i="3"/>
  <c r="BF75" i="9" s="1"/>
  <c r="BF17" i="9" s="1"/>
  <c r="AB79" i="3"/>
  <c r="BE75" i="9" s="1"/>
  <c r="BE17" i="9" s="1"/>
  <c r="AA79" i="3"/>
  <c r="BD75" i="9" s="1"/>
  <c r="BD17" i="9" s="1"/>
  <c r="Z79" i="3"/>
  <c r="BC75" i="9" s="1"/>
  <c r="BC17" i="9" s="1"/>
  <c r="Y79" i="3"/>
  <c r="BB75" i="9" s="1"/>
  <c r="BB17" i="9" s="1"/>
  <c r="X79" i="3"/>
  <c r="BA75" i="9" s="1"/>
  <c r="BA17" i="9" s="1"/>
  <c r="W79" i="3"/>
  <c r="AZ75" i="9" s="1"/>
  <c r="AZ17" i="9" s="1"/>
  <c r="V79" i="3"/>
  <c r="AY75" i="9" s="1"/>
  <c r="AY17" i="9" s="1"/>
  <c r="O10" i="14" s="1"/>
  <c r="U79" i="3"/>
  <c r="AX75" i="9" s="1"/>
  <c r="AX17" i="9" s="1"/>
  <c r="P10" i="14" s="1"/>
  <c r="T79" i="3"/>
  <c r="AW75" i="9" s="1"/>
  <c r="AW17" i="9" s="1"/>
  <c r="M10" i="14" s="1"/>
  <c r="S79" i="3"/>
  <c r="AV75" i="9" s="1"/>
  <c r="AV17" i="9" s="1"/>
  <c r="N10" i="14" s="1"/>
  <c r="R79" i="3"/>
  <c r="AU75" i="9" s="1"/>
  <c r="AU17" i="9" s="1"/>
  <c r="Q79" i="3"/>
  <c r="AT75" i="9" s="1"/>
  <c r="AT17" i="9" s="1"/>
  <c r="L10" i="14" s="1"/>
  <c r="P79" i="3"/>
  <c r="AS75" i="9" s="1"/>
  <c r="AS17" i="9" s="1"/>
  <c r="K10" i="14" s="1"/>
  <c r="E79" i="3"/>
  <c r="D75" i="9" s="1"/>
  <c r="D17" i="9" s="1"/>
  <c r="D10" i="14" s="1"/>
  <c r="D79" i="3"/>
  <c r="C75" i="9" s="1"/>
  <c r="C17" i="9" s="1"/>
  <c r="C10" i="14" s="1"/>
  <c r="AZ70" i="3"/>
  <c r="CA74" i="9" s="1"/>
  <c r="CA16" i="9" s="1"/>
  <c r="AY70" i="3"/>
  <c r="BZ74" i="9" s="1"/>
  <c r="BZ16" i="9" s="1"/>
  <c r="AV70" i="3"/>
  <c r="BY74" i="9" s="1"/>
  <c r="BY16" i="9" s="1"/>
  <c r="AU70" i="3"/>
  <c r="BX74" i="9" s="1"/>
  <c r="BX16" i="9" s="1"/>
  <c r="AT70" i="3"/>
  <c r="BW74" i="9" s="1"/>
  <c r="BW16" i="9" s="1"/>
  <c r="AS70" i="3"/>
  <c r="BV74" i="9" s="1"/>
  <c r="BV16" i="9" s="1"/>
  <c r="AR70" i="3"/>
  <c r="BU74" i="9" s="1"/>
  <c r="BU16" i="9" s="1"/>
  <c r="AQ70" i="3"/>
  <c r="BT74" i="9" s="1"/>
  <c r="BT16" i="9" s="1"/>
  <c r="AP70" i="3"/>
  <c r="BS74" i="9" s="1"/>
  <c r="BS16" i="9" s="1"/>
  <c r="AO70" i="3"/>
  <c r="BR74" i="9" s="1"/>
  <c r="BR16" i="9" s="1"/>
  <c r="AN70" i="3"/>
  <c r="BQ74" i="9" s="1"/>
  <c r="BQ16" i="9" s="1"/>
  <c r="AM70" i="3"/>
  <c r="BP74" i="9" s="1"/>
  <c r="BP16" i="9" s="1"/>
  <c r="AL70" i="3"/>
  <c r="BO74" i="9" s="1"/>
  <c r="BO16" i="9" s="1"/>
  <c r="AK70" i="3"/>
  <c r="BN74" i="9" s="1"/>
  <c r="BN16" i="9" s="1"/>
  <c r="AJ70" i="3"/>
  <c r="BM74" i="9" s="1"/>
  <c r="BM16" i="9" s="1"/>
  <c r="AI70" i="3"/>
  <c r="BL74" i="9" s="1"/>
  <c r="BL16" i="9" s="1"/>
  <c r="AH70" i="3"/>
  <c r="BK74" i="9" s="1"/>
  <c r="BK16" i="9" s="1"/>
  <c r="AG70" i="3"/>
  <c r="BJ74" i="9" s="1"/>
  <c r="BJ16" i="9" s="1"/>
  <c r="AF70" i="3"/>
  <c r="BI74" i="9" s="1"/>
  <c r="BI16" i="9" s="1"/>
  <c r="AE70" i="3"/>
  <c r="BH74" i="9" s="1"/>
  <c r="BH16" i="9" s="1"/>
  <c r="AD70" i="3"/>
  <c r="BG74" i="9" s="1"/>
  <c r="BG16" i="9" s="1"/>
  <c r="AC70" i="3"/>
  <c r="BF74" i="9" s="1"/>
  <c r="BF16" i="9" s="1"/>
  <c r="AB70" i="3"/>
  <c r="BE74" i="9" s="1"/>
  <c r="BE16" i="9" s="1"/>
  <c r="AA70" i="3"/>
  <c r="BD74" i="9" s="1"/>
  <c r="BD16" i="9" s="1"/>
  <c r="Z70" i="3"/>
  <c r="BC74" i="9" s="1"/>
  <c r="BC16" i="9" s="1"/>
  <c r="Y70" i="3"/>
  <c r="BB74" i="9" s="1"/>
  <c r="BB16" i="9" s="1"/>
  <c r="X70" i="3"/>
  <c r="BA74" i="9" s="1"/>
  <c r="BA16" i="9" s="1"/>
  <c r="W70" i="3"/>
  <c r="AZ74" i="9" s="1"/>
  <c r="AZ16" i="9" s="1"/>
  <c r="V70" i="3"/>
  <c r="AY74" i="9" s="1"/>
  <c r="AY16" i="9" s="1"/>
  <c r="O9" i="14" s="1"/>
  <c r="U70" i="3"/>
  <c r="AX74" i="9" s="1"/>
  <c r="AX16" i="9" s="1"/>
  <c r="P9" i="14" s="1"/>
  <c r="T70" i="3"/>
  <c r="AW74" i="9" s="1"/>
  <c r="AW16" i="9" s="1"/>
  <c r="M9" i="14" s="1"/>
  <c r="S70" i="3"/>
  <c r="AV74" i="9" s="1"/>
  <c r="AV16" i="9" s="1"/>
  <c r="N9" i="14" s="1"/>
  <c r="R70" i="3"/>
  <c r="AU74" i="9" s="1"/>
  <c r="AU16" i="9" s="1"/>
  <c r="Q70" i="3"/>
  <c r="AT74" i="9" s="1"/>
  <c r="AT16" i="9" s="1"/>
  <c r="L9" i="14" s="1"/>
  <c r="P70" i="3"/>
  <c r="AS74" i="9" s="1"/>
  <c r="AS16" i="9" s="1"/>
  <c r="K9" i="14" s="1"/>
  <c r="E70" i="3"/>
  <c r="D74" i="9" s="1"/>
  <c r="D70" i="3"/>
  <c r="C74" i="9" s="1"/>
  <c r="AZ61" i="3"/>
  <c r="CA73" i="9" s="1"/>
  <c r="CA15" i="9" s="1"/>
  <c r="AY61" i="3"/>
  <c r="BZ73" i="9" s="1"/>
  <c r="BZ15" i="9" s="1"/>
  <c r="AV61" i="3"/>
  <c r="BY73" i="9" s="1"/>
  <c r="BY15" i="9" s="1"/>
  <c r="AU61" i="3"/>
  <c r="BX73" i="9" s="1"/>
  <c r="BX15" i="9" s="1"/>
  <c r="AT61" i="3"/>
  <c r="BW73" i="9" s="1"/>
  <c r="BW15" i="9" s="1"/>
  <c r="AS61" i="3"/>
  <c r="BV73" i="9" s="1"/>
  <c r="BV15" i="9" s="1"/>
  <c r="AR61" i="3"/>
  <c r="BU73" i="9" s="1"/>
  <c r="BU15" i="9" s="1"/>
  <c r="AQ61" i="3"/>
  <c r="BT73" i="9" s="1"/>
  <c r="BT15" i="9" s="1"/>
  <c r="AP61" i="3"/>
  <c r="BS73" i="9" s="1"/>
  <c r="BS15" i="9" s="1"/>
  <c r="AO61" i="3"/>
  <c r="BR73" i="9" s="1"/>
  <c r="BR15" i="9" s="1"/>
  <c r="AN61" i="3"/>
  <c r="BQ73" i="9" s="1"/>
  <c r="BQ15" i="9" s="1"/>
  <c r="AM61" i="3"/>
  <c r="BP73" i="9" s="1"/>
  <c r="BP15" i="9" s="1"/>
  <c r="AL61" i="3"/>
  <c r="BO73" i="9" s="1"/>
  <c r="BO15" i="9" s="1"/>
  <c r="AK61" i="3"/>
  <c r="BN73" i="9" s="1"/>
  <c r="BN15" i="9" s="1"/>
  <c r="AJ61" i="3"/>
  <c r="BM73" i="9" s="1"/>
  <c r="BM15" i="9" s="1"/>
  <c r="AI61" i="3"/>
  <c r="BL73" i="9" s="1"/>
  <c r="BL15" i="9" s="1"/>
  <c r="AH61" i="3"/>
  <c r="BK73" i="9" s="1"/>
  <c r="BK15" i="9" s="1"/>
  <c r="AG61" i="3"/>
  <c r="BJ73" i="9" s="1"/>
  <c r="BJ15" i="9" s="1"/>
  <c r="AF61" i="3"/>
  <c r="BI73" i="9" s="1"/>
  <c r="BI15" i="9" s="1"/>
  <c r="AE61" i="3"/>
  <c r="BH73" i="9" s="1"/>
  <c r="BH15" i="9" s="1"/>
  <c r="AD61" i="3"/>
  <c r="BG73" i="9" s="1"/>
  <c r="BG15" i="9" s="1"/>
  <c r="AC61" i="3"/>
  <c r="BF73" i="9" s="1"/>
  <c r="BF15" i="9" s="1"/>
  <c r="AB61" i="3"/>
  <c r="BE73" i="9" s="1"/>
  <c r="BE15" i="9" s="1"/>
  <c r="AA61" i="3"/>
  <c r="BD73" i="9" s="1"/>
  <c r="BD15" i="9" s="1"/>
  <c r="Z61" i="3"/>
  <c r="BC73" i="9" s="1"/>
  <c r="BC15" i="9" s="1"/>
  <c r="Y61" i="3"/>
  <c r="BB73" i="9" s="1"/>
  <c r="BB15" i="9" s="1"/>
  <c r="X61" i="3"/>
  <c r="BA73" i="9" s="1"/>
  <c r="BA15" i="9" s="1"/>
  <c r="W61" i="3"/>
  <c r="AZ73" i="9" s="1"/>
  <c r="AZ15" i="9" s="1"/>
  <c r="V61" i="3"/>
  <c r="AY73" i="9" s="1"/>
  <c r="AY15" i="9" s="1"/>
  <c r="O8" i="14" s="1"/>
  <c r="U61" i="3"/>
  <c r="AX73" i="9" s="1"/>
  <c r="AX15" i="9" s="1"/>
  <c r="P8" i="14" s="1"/>
  <c r="T61" i="3"/>
  <c r="AW73" i="9" s="1"/>
  <c r="AW15" i="9" s="1"/>
  <c r="M8" i="14" s="1"/>
  <c r="M22" i="14" s="1"/>
  <c r="S61" i="3"/>
  <c r="AV73" i="9" s="1"/>
  <c r="AV15" i="9" s="1"/>
  <c r="N8" i="14" s="1"/>
  <c r="N22" i="14" s="1"/>
  <c r="R61" i="3"/>
  <c r="AU73" i="9" s="1"/>
  <c r="AU15" i="9" s="1"/>
  <c r="Q61" i="3"/>
  <c r="AT73" i="9" s="1"/>
  <c r="AT15" i="9" s="1"/>
  <c r="L8" i="14" s="1"/>
  <c r="P61" i="3"/>
  <c r="AS73" i="9" s="1"/>
  <c r="E61" i="3"/>
  <c r="D73" i="9" s="1"/>
  <c r="D15" i="9" s="1"/>
  <c r="D8" i="14" s="1"/>
  <c r="D61" i="3"/>
  <c r="C73" i="9" s="1"/>
  <c r="C15" i="9" s="1"/>
  <c r="C8" i="14" s="1"/>
  <c r="H175" i="6"/>
  <c r="H264" i="6"/>
  <c r="H263" i="6"/>
  <c r="H262" i="6"/>
  <c r="H258" i="6"/>
  <c r="H257" i="6"/>
  <c r="H256" i="6"/>
  <c r="H252" i="6"/>
  <c r="H246" i="6"/>
  <c r="H245" i="6"/>
  <c r="H244" i="6"/>
  <c r="H240" i="6"/>
  <c r="H239" i="6"/>
  <c r="H238" i="6"/>
  <c r="H235" i="6"/>
  <c r="H228" i="6"/>
  <c r="H227" i="6"/>
  <c r="H226" i="6"/>
  <c r="H223" i="6"/>
  <c r="H222" i="6"/>
  <c r="H221" i="6"/>
  <c r="H220" i="6"/>
  <c r="I206" i="6"/>
  <c r="H59" i="2" s="1"/>
  <c r="H199" i="6"/>
  <c r="H198" i="6"/>
  <c r="H197" i="6"/>
  <c r="H196" i="6"/>
  <c r="H193" i="6"/>
  <c r="H192" i="6"/>
  <c r="H191" i="6"/>
  <c r="H190" i="6"/>
  <c r="H187" i="6"/>
  <c r="H186" i="6"/>
  <c r="H180" i="6"/>
  <c r="H169" i="6"/>
  <c r="H168" i="6"/>
  <c r="H167" i="6"/>
  <c r="H163" i="6"/>
  <c r="H162" i="6"/>
  <c r="H161" i="6"/>
  <c r="H160" i="6"/>
  <c r="H157" i="6"/>
  <c r="H156" i="6"/>
  <c r="H155" i="6"/>
  <c r="H154" i="6"/>
  <c r="H151" i="6"/>
  <c r="H150" i="6"/>
  <c r="H149" i="6"/>
  <c r="H148" i="6"/>
  <c r="H145" i="6"/>
  <c r="H144" i="6"/>
  <c r="H143" i="6"/>
  <c r="H142" i="6"/>
  <c r="H138" i="6"/>
  <c r="H137" i="6"/>
  <c r="H136" i="6"/>
  <c r="P22" i="14" l="1"/>
  <c r="O22" i="14"/>
  <c r="L22" i="14"/>
  <c r="G49" i="9"/>
  <c r="H49" i="9"/>
  <c r="AS15" i="9"/>
  <c r="K8" i="14" s="1"/>
  <c r="G48" i="9"/>
  <c r="H48" i="9"/>
  <c r="D21" i="9"/>
  <c r="D14" i="14" s="1"/>
  <c r="C21" i="9"/>
  <c r="C14" i="14" s="1"/>
  <c r="D20" i="9"/>
  <c r="C20" i="9"/>
  <c r="D19" i="9"/>
  <c r="C19" i="9"/>
  <c r="Z47" i="9"/>
  <c r="BJ48" i="9"/>
  <c r="BJ19" i="9" s="1"/>
  <c r="AQ47" i="9"/>
  <c r="CA48" i="9"/>
  <c r="CA19" i="9" s="1"/>
  <c r="O47" i="9"/>
  <c r="W47" i="9"/>
  <c r="BG48" i="9"/>
  <c r="BG19" i="9" s="1"/>
  <c r="AB47" i="9"/>
  <c r="BL48" i="9"/>
  <c r="BL19" i="9" s="1"/>
  <c r="U47" i="9"/>
  <c r="BE19" i="9"/>
  <c r="AN47" i="9"/>
  <c r="BX48" i="9"/>
  <c r="BX19" i="9" s="1"/>
  <c r="P47" i="9"/>
  <c r="N47" i="9"/>
  <c r="AG47" i="9"/>
  <c r="BQ48" i="9"/>
  <c r="BQ19" i="9" s="1"/>
  <c r="AD47" i="9"/>
  <c r="BN48" i="9"/>
  <c r="BN19" i="9" s="1"/>
  <c r="AC47" i="9"/>
  <c r="BM48" i="9"/>
  <c r="BM19" i="9" s="1"/>
  <c r="K47" i="9"/>
  <c r="AO47" i="9"/>
  <c r="BY48" i="9"/>
  <c r="BY19" i="9" s="1"/>
  <c r="AP47" i="9"/>
  <c r="BZ48" i="9"/>
  <c r="BZ19" i="9" s="1"/>
  <c r="M47" i="9"/>
  <c r="AP113" i="2"/>
  <c r="AQ113" i="2"/>
  <c r="AI47" i="9"/>
  <c r="BS48" i="9"/>
  <c r="BS19" i="9" s="1"/>
  <c r="X47" i="9"/>
  <c r="BH48" i="9"/>
  <c r="BH19" i="9" s="1"/>
  <c r="R47" i="9"/>
  <c r="BB48" i="9"/>
  <c r="BB19" i="9" s="1"/>
  <c r="Q47" i="9"/>
  <c r="BA48" i="9"/>
  <c r="BA19" i="9" s="1"/>
  <c r="L47" i="9"/>
  <c r="AF47" i="9"/>
  <c r="BP48" i="9"/>
  <c r="BP19" i="9" s="1"/>
  <c r="S47" i="9"/>
  <c r="BC48" i="9"/>
  <c r="BC19" i="9" s="1"/>
  <c r="T47" i="9"/>
  <c r="BD48" i="9"/>
  <c r="BD19" i="9" s="1"/>
  <c r="Y47" i="9"/>
  <c r="BI48" i="9"/>
  <c r="BI19" i="9" s="1"/>
  <c r="AA47" i="9"/>
  <c r="BK48" i="9"/>
  <c r="BK19" i="9" s="1"/>
  <c r="AK47" i="9"/>
  <c r="BU48" i="9"/>
  <c r="BU19" i="9" s="1"/>
  <c r="V47" i="9"/>
  <c r="BF48" i="9"/>
  <c r="BF19" i="9" s="1"/>
  <c r="AM47" i="9"/>
  <c r="BW48" i="9"/>
  <c r="BW19" i="9" s="1"/>
  <c r="AE47" i="9"/>
  <c r="BO48" i="9"/>
  <c r="BO19" i="9" s="1"/>
  <c r="AL47" i="9"/>
  <c r="BV48" i="9"/>
  <c r="BV19" i="9" s="1"/>
  <c r="AH47" i="9"/>
  <c r="BR48" i="9"/>
  <c r="BR19" i="9" s="1"/>
  <c r="AJ47" i="9"/>
  <c r="BT48" i="9"/>
  <c r="BT19" i="9" s="1"/>
  <c r="AP93" i="2"/>
  <c r="AQ93" i="2"/>
  <c r="BQ76" i="9"/>
  <c r="BQ18" i="9" s="1"/>
  <c r="AG113" i="2"/>
  <c r="AE48" i="9" s="1"/>
  <c r="AI113" i="2"/>
  <c r="AG48" i="9" s="1"/>
  <c r="Y113" i="2"/>
  <c r="W48" i="9" s="1"/>
  <c r="Q113" i="2"/>
  <c r="O48" i="9" s="1"/>
  <c r="AU113" i="2"/>
  <c r="AQ48" i="9" s="1"/>
  <c r="P113" i="2"/>
  <c r="N48" i="9" s="1"/>
  <c r="K113" i="2"/>
  <c r="K48" i="9" s="1"/>
  <c r="X113" i="2"/>
  <c r="V48" i="9" s="1"/>
  <c r="AD113" i="2"/>
  <c r="AB48" i="9" s="1"/>
  <c r="AM113" i="2"/>
  <c r="AK48" i="9" s="1"/>
  <c r="AT113" i="2"/>
  <c r="AP48" i="9" s="1"/>
  <c r="AO113" i="2"/>
  <c r="AM48" i="9" s="1"/>
  <c r="AB113" i="2"/>
  <c r="Z48" i="9" s="1"/>
  <c r="T113" i="2"/>
  <c r="R48" i="9" s="1"/>
  <c r="AC113" i="2"/>
  <c r="AA48" i="9" s="1"/>
  <c r="Z113" i="2"/>
  <c r="X48" i="9" s="1"/>
  <c r="AK113" i="2"/>
  <c r="AI48" i="9" s="1"/>
  <c r="N113" i="2"/>
  <c r="AA113" i="2"/>
  <c r="Y48" i="9" s="1"/>
  <c r="L113" i="2"/>
  <c r="L48" i="9" s="1"/>
  <c r="AH113" i="2"/>
  <c r="AF48" i="9" s="1"/>
  <c r="O113" i="2"/>
  <c r="M48" i="9" s="1"/>
  <c r="M113" i="2"/>
  <c r="S113" i="2"/>
  <c r="Q48" i="9" s="1"/>
  <c r="U113" i="2"/>
  <c r="S48" i="9" s="1"/>
  <c r="AR113" i="2"/>
  <c r="AN48" i="9" s="1"/>
  <c r="V113" i="2"/>
  <c r="T48" i="9" s="1"/>
  <c r="AJ113" i="2"/>
  <c r="AH48" i="9" s="1"/>
  <c r="W113" i="2"/>
  <c r="U48" i="9" s="1"/>
  <c r="R113" i="2"/>
  <c r="P48" i="9" s="1"/>
  <c r="AL113" i="2"/>
  <c r="AJ48" i="9" s="1"/>
  <c r="AF113" i="2"/>
  <c r="AD48" i="9" s="1"/>
  <c r="AS113" i="2"/>
  <c r="AO48" i="9" s="1"/>
  <c r="AN113" i="2"/>
  <c r="AL48" i="9" s="1"/>
  <c r="AE113" i="2"/>
  <c r="AC48" i="9" s="1"/>
  <c r="H194" i="6"/>
  <c r="I194" i="6" s="1"/>
  <c r="H200" i="6"/>
  <c r="I200" i="6" s="1"/>
  <c r="H224" i="6"/>
  <c r="I224" i="6" s="1"/>
  <c r="M224" i="6" s="1"/>
  <c r="H47" i="9"/>
  <c r="G47" i="9"/>
  <c r="W93" i="2"/>
  <c r="U46" i="9" s="1"/>
  <c r="AT93" i="2"/>
  <c r="AP46" i="9" s="1"/>
  <c r="AS93" i="2"/>
  <c r="AO46" i="9" s="1"/>
  <c r="V93" i="2"/>
  <c r="T46" i="9" s="1"/>
  <c r="S93" i="2"/>
  <c r="Q46" i="9" s="1"/>
  <c r="X93" i="2"/>
  <c r="V46" i="9" s="1"/>
  <c r="AD93" i="2"/>
  <c r="AB46" i="9" s="1"/>
  <c r="AJ93" i="2"/>
  <c r="AH46" i="9" s="1"/>
  <c r="AI93" i="2"/>
  <c r="AG46" i="9" s="1"/>
  <c r="L93" i="2"/>
  <c r="L46" i="9" s="1"/>
  <c r="L26" i="9" s="1"/>
  <c r="AA93" i="2"/>
  <c r="Y46" i="9" s="1"/>
  <c r="AG93" i="2"/>
  <c r="AE46" i="9" s="1"/>
  <c r="AC93" i="2"/>
  <c r="AA46" i="9" s="1"/>
  <c r="O93" i="2"/>
  <c r="M46" i="9" s="1"/>
  <c r="M26" i="9" s="1"/>
  <c r="N93" i="2"/>
  <c r="AM93" i="2"/>
  <c r="AK46" i="9" s="1"/>
  <c r="T93" i="2"/>
  <c r="R46" i="9" s="1"/>
  <c r="AL93" i="2"/>
  <c r="AJ46" i="9" s="1"/>
  <c r="U93" i="2"/>
  <c r="S46" i="9" s="1"/>
  <c r="AF93" i="2"/>
  <c r="AD46" i="9" s="1"/>
  <c r="AB93" i="2"/>
  <c r="Z46" i="9" s="1"/>
  <c r="AO93" i="2"/>
  <c r="AM46" i="9" s="1"/>
  <c r="M93" i="2"/>
  <c r="AR93" i="2"/>
  <c r="AN46" i="9" s="1"/>
  <c r="Y93" i="2"/>
  <c r="W46" i="9" s="1"/>
  <c r="R93" i="2"/>
  <c r="P46" i="9" s="1"/>
  <c r="P26" i="9" s="1"/>
  <c r="AK93" i="2"/>
  <c r="AI46" i="9" s="1"/>
  <c r="I46" i="9"/>
  <c r="Z93" i="2"/>
  <c r="X46" i="9" s="1"/>
  <c r="AH93" i="2"/>
  <c r="AF46" i="9" s="1"/>
  <c r="P93" i="2"/>
  <c r="N46" i="9" s="1"/>
  <c r="N26" i="9" s="1"/>
  <c r="AN93" i="2"/>
  <c r="AL46" i="9" s="1"/>
  <c r="AE93" i="2"/>
  <c r="AC46" i="9" s="1"/>
  <c r="AU93" i="2"/>
  <c r="AQ46" i="9" s="1"/>
  <c r="K93" i="2"/>
  <c r="K46" i="9" s="1"/>
  <c r="K26" i="9" s="1"/>
  <c r="Q93" i="2"/>
  <c r="O46" i="9" s="1"/>
  <c r="O26" i="9" s="1"/>
  <c r="EA106" i="3"/>
  <c r="EI106" i="3"/>
  <c r="EM106" i="3"/>
  <c r="EU106" i="3"/>
  <c r="EY106" i="3"/>
  <c r="EZ106" i="3"/>
  <c r="ED106" i="3"/>
  <c r="EP106" i="3"/>
  <c r="FB106" i="3"/>
  <c r="DX115" i="3"/>
  <c r="EB115" i="3"/>
  <c r="EF115" i="3"/>
  <c r="EJ115" i="3"/>
  <c r="EN115" i="3"/>
  <c r="ER115" i="3"/>
  <c r="EV115" i="3"/>
  <c r="EZ115" i="3"/>
  <c r="FD115" i="3"/>
  <c r="EA97" i="3"/>
  <c r="DY106" i="3"/>
  <c r="EJ106" i="3"/>
  <c r="EC106" i="3"/>
  <c r="EO106" i="3"/>
  <c r="FA106" i="3"/>
  <c r="EE97" i="3"/>
  <c r="EI97" i="3"/>
  <c r="EM97" i="3"/>
  <c r="EQ97" i="3"/>
  <c r="EU97" i="3"/>
  <c r="EY97" i="3"/>
  <c r="FC97" i="3"/>
  <c r="DZ106" i="3"/>
  <c r="EH106" i="3"/>
  <c r="EL106" i="3"/>
  <c r="ET106" i="3"/>
  <c r="EX106" i="3"/>
  <c r="FF106" i="3"/>
  <c r="EE106" i="3"/>
  <c r="EQ106" i="3"/>
  <c r="FC106" i="3"/>
  <c r="EG106" i="3"/>
  <c r="EK106" i="3"/>
  <c r="ES106" i="3"/>
  <c r="EW106" i="3"/>
  <c r="FE106" i="3"/>
  <c r="EA115" i="3"/>
  <c r="EE115" i="3"/>
  <c r="EI115" i="3"/>
  <c r="EM115" i="3"/>
  <c r="EQ115" i="3"/>
  <c r="EU115" i="3"/>
  <c r="EY115" i="3"/>
  <c r="FC115" i="3"/>
  <c r="DY97" i="3"/>
  <c r="EC97" i="3"/>
  <c r="EG97" i="3"/>
  <c r="EK97" i="3"/>
  <c r="EO97" i="3"/>
  <c r="ES97" i="3"/>
  <c r="EW97" i="3"/>
  <c r="FA97" i="3"/>
  <c r="FE97" i="3"/>
  <c r="DY115" i="3"/>
  <c r="EC115" i="3"/>
  <c r="EG115" i="3"/>
  <c r="EK115" i="3"/>
  <c r="EO115" i="3"/>
  <c r="ES115" i="3"/>
  <c r="EW115" i="3"/>
  <c r="FA115" i="3"/>
  <c r="FE115" i="3"/>
  <c r="DZ115" i="3"/>
  <c r="ED115" i="3"/>
  <c r="EH115" i="3"/>
  <c r="EL115" i="3"/>
  <c r="EP115" i="3"/>
  <c r="ET115" i="3"/>
  <c r="EX115" i="3"/>
  <c r="FB115" i="3"/>
  <c r="FF115" i="3"/>
  <c r="CF17" i="9"/>
  <c r="D18" i="9"/>
  <c r="AS18" i="9"/>
  <c r="CC76" i="9"/>
  <c r="CD76" i="9" s="1"/>
  <c r="CF20" i="9"/>
  <c r="CF21" i="9"/>
  <c r="C16" i="9"/>
  <c r="C9" i="14" s="1"/>
  <c r="C22" i="14" s="1"/>
  <c r="CG17" i="9"/>
  <c r="D16" i="9"/>
  <c r="D9" i="14" s="1"/>
  <c r="D22" i="14" s="1"/>
  <c r="CG18" i="9"/>
  <c r="CG20" i="9"/>
  <c r="CG21" i="9"/>
  <c r="H21" i="9"/>
  <c r="H14" i="14" s="1"/>
  <c r="DX97" i="3"/>
  <c r="EB97" i="3"/>
  <c r="EF97" i="3"/>
  <c r="EJ97" i="3"/>
  <c r="EN97" i="3"/>
  <c r="ER97" i="3"/>
  <c r="EV97" i="3"/>
  <c r="EZ97" i="3"/>
  <c r="FD97" i="3"/>
  <c r="DZ97" i="3"/>
  <c r="ED97" i="3"/>
  <c r="EH97" i="3"/>
  <c r="EL97" i="3"/>
  <c r="EP97" i="3"/>
  <c r="ET97" i="3"/>
  <c r="EX97" i="3"/>
  <c r="FB97" i="3"/>
  <c r="FF97" i="3"/>
  <c r="H146" i="6"/>
  <c r="I146" i="6" s="1"/>
  <c r="H152" i="6"/>
  <c r="I152" i="6" s="1"/>
  <c r="H158" i="6"/>
  <c r="I158" i="6" s="1"/>
  <c r="M158" i="6" s="1"/>
  <c r="H164" i="6"/>
  <c r="I164" i="6" s="1"/>
  <c r="H170" i="6"/>
  <c r="I170" i="6" s="1"/>
  <c r="H236" i="6"/>
  <c r="I236" i="6" s="1"/>
  <c r="N206" i="6"/>
  <c r="M206" i="6"/>
  <c r="O206" i="6"/>
  <c r="L206" i="6"/>
  <c r="K206" i="6"/>
  <c r="H266" i="6"/>
  <c r="I266" i="6" s="1"/>
  <c r="H260" i="6"/>
  <c r="I260" i="6" s="1"/>
  <c r="H254" i="6"/>
  <c r="I254" i="6" s="1"/>
  <c r="H248" i="6"/>
  <c r="I248" i="6" s="1"/>
  <c r="H242" i="6"/>
  <c r="I242" i="6" s="1"/>
  <c r="H230" i="6"/>
  <c r="I230" i="6" s="1"/>
  <c r="I218" i="6"/>
  <c r="H61" i="2" s="1"/>
  <c r="I212" i="6"/>
  <c r="I73" i="9"/>
  <c r="G73" i="9" s="1"/>
  <c r="EB106" i="3"/>
  <c r="ER106" i="3"/>
  <c r="H188" i="6"/>
  <c r="I188" i="6" s="1"/>
  <c r="H182" i="6"/>
  <c r="I182" i="6" s="1"/>
  <c r="H140" i="6"/>
  <c r="I140" i="6" s="1"/>
  <c r="DJ104" i="3"/>
  <c r="DK104" i="3"/>
  <c r="DX106" i="3"/>
  <c r="EF106" i="3"/>
  <c r="EN106" i="3"/>
  <c r="EV106" i="3"/>
  <c r="FD106" i="3"/>
  <c r="I74" i="9"/>
  <c r="G74" i="9" s="1"/>
  <c r="H176" i="6"/>
  <c r="I176" i="6" s="1"/>
  <c r="H70" i="2" s="1"/>
  <c r="CF18" i="9" l="1"/>
  <c r="K11" i="14"/>
  <c r="K22" i="14" s="1"/>
  <c r="K200" i="6"/>
  <c r="H77" i="2"/>
  <c r="M200" i="6"/>
  <c r="I79" i="9"/>
  <c r="G79" i="9" s="1"/>
  <c r="G21" i="9" s="1"/>
  <c r="G14" i="14" s="1"/>
  <c r="I14" i="14" s="1"/>
  <c r="CG19" i="9"/>
  <c r="CF19" i="9"/>
  <c r="N200" i="6"/>
  <c r="L200" i="6"/>
  <c r="O200" i="6"/>
  <c r="M164" i="6"/>
  <c r="M194" i="6"/>
  <c r="H57" i="2"/>
  <c r="M176" i="6"/>
  <c r="M170" i="6"/>
  <c r="O224" i="6"/>
  <c r="M248" i="6"/>
  <c r="L224" i="6"/>
  <c r="N248" i="6"/>
  <c r="N224" i="6"/>
  <c r="K248" i="6"/>
  <c r="K224" i="6"/>
  <c r="M265" i="6"/>
  <c r="H82" i="2"/>
  <c r="H18" i="9"/>
  <c r="H46" i="9"/>
  <c r="H17" i="9" s="1"/>
  <c r="H10" i="14" s="1"/>
  <c r="G46" i="9"/>
  <c r="DD95" i="3"/>
  <c r="DA95" i="3"/>
  <c r="DN95" i="3"/>
  <c r="N97" i="3"/>
  <c r="H77" i="9" s="1"/>
  <c r="CO95" i="3"/>
  <c r="DF95" i="3"/>
  <c r="CP95" i="3"/>
  <c r="DQ95" i="3"/>
  <c r="DK90" i="3"/>
  <c r="DN99" i="3"/>
  <c r="BZ106" i="3"/>
  <c r="CX95" i="3"/>
  <c r="DP95" i="3"/>
  <c r="DH95" i="3"/>
  <c r="BF106" i="3"/>
  <c r="DG108" i="3"/>
  <c r="DG115" i="3" s="1"/>
  <c r="AB79" i="9" s="1"/>
  <c r="AB21" i="9" s="1"/>
  <c r="DL99" i="3"/>
  <c r="DL95" i="3"/>
  <c r="BY106" i="3"/>
  <c r="CZ95" i="3"/>
  <c r="CW95" i="3"/>
  <c r="DM95" i="3"/>
  <c r="BP97" i="3"/>
  <c r="BE106" i="3"/>
  <c r="N106" i="3"/>
  <c r="DB104" i="3"/>
  <c r="I76" i="9"/>
  <c r="G76" i="9" s="1"/>
  <c r="G18" i="9" s="1"/>
  <c r="CH20" i="9"/>
  <c r="CH17" i="9"/>
  <c r="CH21" i="9"/>
  <c r="CH18" i="9"/>
  <c r="I75" i="9"/>
  <c r="G75" i="9" s="1"/>
  <c r="BU115" i="3"/>
  <c r="BE115" i="3"/>
  <c r="DR104" i="3"/>
  <c r="CV104" i="3"/>
  <c r="CQ104" i="3"/>
  <c r="DV104" i="3"/>
  <c r="DA104" i="3"/>
  <c r="DQ104" i="3"/>
  <c r="CU104" i="3"/>
  <c r="CY104" i="3"/>
  <c r="CT104" i="3"/>
  <c r="DN104" i="3"/>
  <c r="DD104" i="3"/>
  <c r="CN104" i="3"/>
  <c r="DT104" i="3"/>
  <c r="DO104" i="3"/>
  <c r="CW104" i="3"/>
  <c r="DM104" i="3"/>
  <c r="CR104" i="3"/>
  <c r="CP104" i="3"/>
  <c r="DF104" i="3"/>
  <c r="DP104" i="3"/>
  <c r="DC104" i="3"/>
  <c r="CZ104" i="3"/>
  <c r="CO104" i="3"/>
  <c r="DE104" i="3"/>
  <c r="DU104" i="3"/>
  <c r="DS104" i="3"/>
  <c r="DL104" i="3"/>
  <c r="DG104" i="3"/>
  <c r="DH104" i="3"/>
  <c r="CX104" i="3"/>
  <c r="CS104" i="3"/>
  <c r="DI104" i="3"/>
  <c r="CF115" i="3"/>
  <c r="BP115" i="3"/>
  <c r="DM108" i="3"/>
  <c r="DM115" i="3" s="1"/>
  <c r="AH79" i="9" s="1"/>
  <c r="AH21" i="9" s="1"/>
  <c r="CJ115" i="3"/>
  <c r="BK115" i="3"/>
  <c r="DV108" i="3"/>
  <c r="DV115" i="3" s="1"/>
  <c r="AQ79" i="9" s="1"/>
  <c r="AQ21" i="9" s="1"/>
  <c r="DR108" i="3"/>
  <c r="DR115" i="3" s="1"/>
  <c r="AM79" i="9" s="1"/>
  <c r="AM21" i="9" s="1"/>
  <c r="CB106" i="3"/>
  <c r="DK95" i="3"/>
  <c r="CR95" i="3"/>
  <c r="DE95" i="3"/>
  <c r="DU95" i="3"/>
  <c r="DB95" i="3"/>
  <c r="DG95" i="3"/>
  <c r="CY95" i="3"/>
  <c r="DI95" i="3"/>
  <c r="DV95" i="3"/>
  <c r="CT95" i="3"/>
  <c r="CU95" i="3"/>
  <c r="DS95" i="3"/>
  <c r="CN95" i="3"/>
  <c r="DT95" i="3"/>
  <c r="DR95" i="3"/>
  <c r="DO95" i="3"/>
  <c r="DC95" i="3"/>
  <c r="CV95" i="3"/>
  <c r="CS95" i="3"/>
  <c r="CQ95" i="3"/>
  <c r="DJ95" i="3"/>
  <c r="BR97" i="3"/>
  <c r="BW97" i="3"/>
  <c r="BV97" i="3"/>
  <c r="DP90" i="3"/>
  <c r="DN90" i="3"/>
  <c r="BB97" i="3"/>
  <c r="BK97" i="3"/>
  <c r="CF97" i="3"/>
  <c r="CU90" i="3"/>
  <c r="CU97" i="3" s="1"/>
  <c r="P77" i="9" s="1"/>
  <c r="P19" i="9" s="1"/>
  <c r="DG99" i="3"/>
  <c r="BV106" i="3"/>
  <c r="CW108" i="3"/>
  <c r="CW115" i="3" s="1"/>
  <c r="R79" i="9" s="1"/>
  <c r="R21" i="9" s="1"/>
  <c r="R14" i="14" s="1"/>
  <c r="BT106" i="3"/>
  <c r="CA115" i="3"/>
  <c r="BL97" i="3"/>
  <c r="BC97" i="3"/>
  <c r="CA97" i="3"/>
  <c r="CU99" i="3"/>
  <c r="CV99" i="3"/>
  <c r="BL106" i="3"/>
  <c r="DT90" i="3"/>
  <c r="BM97" i="3"/>
  <c r="BD97" i="3"/>
  <c r="DF90" i="3"/>
  <c r="CJ97" i="3"/>
  <c r="DE90" i="3"/>
  <c r="DC90" i="3"/>
  <c r="DC99" i="3"/>
  <c r="CH106" i="3"/>
  <c r="BR106" i="3"/>
  <c r="BB106" i="3"/>
  <c r="CJ106" i="3"/>
  <c r="CP99" i="3"/>
  <c r="DO90" i="3"/>
  <c r="CS90" i="3"/>
  <c r="DS90" i="3"/>
  <c r="CT90" i="3"/>
  <c r="CT97" i="3" s="1"/>
  <c r="O77" i="9" s="1"/>
  <c r="O19" i="9" s="1"/>
  <c r="DJ90" i="3"/>
  <c r="BN97" i="3"/>
  <c r="CC106" i="3"/>
  <c r="CY99" i="3"/>
  <c r="AO74" i="9"/>
  <c r="L265" i="6"/>
  <c r="M188" i="6"/>
  <c r="H56" i="2"/>
  <c r="N212" i="6"/>
  <c r="L260" i="6"/>
  <c r="O248" i="6"/>
  <c r="M236" i="6"/>
  <c r="L236" i="6"/>
  <c r="O236" i="6"/>
  <c r="K236" i="6"/>
  <c r="N236" i="6"/>
  <c r="N152" i="6"/>
  <c r="L152" i="6"/>
  <c r="M152" i="6"/>
  <c r="K152" i="6"/>
  <c r="O152" i="6"/>
  <c r="K254" i="6"/>
  <c r="L242" i="6"/>
  <c r="L248" i="6"/>
  <c r="O260" i="6"/>
  <c r="K146" i="6"/>
  <c r="O146" i="6"/>
  <c r="M146" i="6"/>
  <c r="N146" i="6"/>
  <c r="L146" i="6"/>
  <c r="O265" i="6"/>
  <c r="K265" i="6"/>
  <c r="N265" i="6"/>
  <c r="N260" i="6"/>
  <c r="K260" i="6"/>
  <c r="M260" i="6"/>
  <c r="L254" i="6"/>
  <c r="M254" i="6"/>
  <c r="N254" i="6"/>
  <c r="O254" i="6"/>
  <c r="K242" i="6"/>
  <c r="N242" i="6"/>
  <c r="O242" i="6"/>
  <c r="M242" i="6"/>
  <c r="O230" i="6"/>
  <c r="N230" i="6"/>
  <c r="M230" i="6"/>
  <c r="L230" i="6"/>
  <c r="K230" i="6"/>
  <c r="M218" i="6"/>
  <c r="L218" i="6"/>
  <c r="O218" i="6"/>
  <c r="K218" i="6"/>
  <c r="N218" i="6"/>
  <c r="L212" i="6"/>
  <c r="M212" i="6"/>
  <c r="O212" i="6"/>
  <c r="K212" i="6"/>
  <c r="DB108" i="3"/>
  <c r="DB115" i="3" s="1"/>
  <c r="W79" i="9" s="1"/>
  <c r="W21" i="9" s="1"/>
  <c r="W14" i="14" s="1"/>
  <c r="CG106" i="3"/>
  <c r="DR99" i="3"/>
  <c r="DI99" i="3"/>
  <c r="BK106" i="3"/>
  <c r="BS106" i="3"/>
  <c r="BH106" i="3"/>
  <c r="CA106" i="3"/>
  <c r="BP106" i="3"/>
  <c r="BG106" i="3"/>
  <c r="BX106" i="3"/>
  <c r="BO106" i="3"/>
  <c r="CO99" i="3"/>
  <c r="CQ108" i="3"/>
  <c r="CQ115" i="3" s="1"/>
  <c r="CI97" i="3"/>
  <c r="DL90" i="3"/>
  <c r="CQ90" i="3"/>
  <c r="DA90" i="3"/>
  <c r="DG90" i="3"/>
  <c r="BJ97" i="3"/>
  <c r="CE97" i="3"/>
  <c r="M182" i="6"/>
  <c r="N140" i="6"/>
  <c r="M140" i="6"/>
  <c r="K140" i="6"/>
  <c r="O140" i="6"/>
  <c r="L140" i="6"/>
  <c r="CB115" i="3"/>
  <c r="DN108" i="3"/>
  <c r="DN115" i="3" s="1"/>
  <c r="AI79" i="9" s="1"/>
  <c r="AI21" i="9" s="1"/>
  <c r="BG115" i="3"/>
  <c r="CS108" i="3"/>
  <c r="CS115" i="3" s="1"/>
  <c r="N79" i="9" s="1"/>
  <c r="N21" i="9" s="1"/>
  <c r="CI115" i="3"/>
  <c r="DU108" i="3"/>
  <c r="DU115" i="3" s="1"/>
  <c r="AP79" i="9" s="1"/>
  <c r="AP21" i="9" s="1"/>
  <c r="CY108" i="3"/>
  <c r="CY115" i="3" s="1"/>
  <c r="T79" i="9" s="1"/>
  <c r="T21" i="9" s="1"/>
  <c r="T14" i="14" s="1"/>
  <c r="BM115" i="3"/>
  <c r="BQ115" i="3"/>
  <c r="DC108" i="3"/>
  <c r="DC115" i="3" s="1"/>
  <c r="X79" i="9" s="1"/>
  <c r="X21" i="9" s="1"/>
  <c r="X14" i="14" s="1"/>
  <c r="BN115" i="3"/>
  <c r="CZ108" i="3"/>
  <c r="CZ115" i="3" s="1"/>
  <c r="U79" i="9" s="1"/>
  <c r="U21" i="9" s="1"/>
  <c r="U14" i="14" s="1"/>
  <c r="CD115" i="3"/>
  <c r="DP108" i="3"/>
  <c r="DP115" i="3" s="1"/>
  <c r="AK79" i="9" s="1"/>
  <c r="AK21" i="9" s="1"/>
  <c r="BT115" i="3"/>
  <c r="DF108" i="3"/>
  <c r="DF115" i="3" s="1"/>
  <c r="AA79" i="9" s="1"/>
  <c r="AA21" i="9" s="1"/>
  <c r="BX115" i="3"/>
  <c r="DJ108" i="3"/>
  <c r="DJ115" i="3" s="1"/>
  <c r="AE79" i="9" s="1"/>
  <c r="AE21" i="9" s="1"/>
  <c r="BC115" i="3"/>
  <c r="CO108" i="3"/>
  <c r="CO115" i="3" s="1"/>
  <c r="L79" i="9" s="1"/>
  <c r="L21" i="9" s="1"/>
  <c r="BF115" i="3"/>
  <c r="CR108" i="3"/>
  <c r="CR115" i="3" s="1"/>
  <c r="M79" i="9" s="1"/>
  <c r="M21" i="9" s="1"/>
  <c r="BV115" i="3"/>
  <c r="DH108" i="3"/>
  <c r="DH115" i="3" s="1"/>
  <c r="AC79" i="9" s="1"/>
  <c r="AC21" i="9" s="1"/>
  <c r="CE115" i="3"/>
  <c r="DQ108" i="3"/>
  <c r="DQ115" i="3" s="1"/>
  <c r="AL79" i="9" s="1"/>
  <c r="AL21" i="9" s="1"/>
  <c r="BI115" i="3"/>
  <c r="CU108" i="3"/>
  <c r="CU115" i="3" s="1"/>
  <c r="P79" i="9" s="1"/>
  <c r="P21" i="9" s="1"/>
  <c r="BL115" i="3"/>
  <c r="CX108" i="3"/>
  <c r="CX115" i="3" s="1"/>
  <c r="S79" i="9" s="1"/>
  <c r="S21" i="9" s="1"/>
  <c r="S14" i="14" s="1"/>
  <c r="BS115" i="3"/>
  <c r="DE108" i="3"/>
  <c r="DE115" i="3" s="1"/>
  <c r="Z79" i="9" s="1"/>
  <c r="Z21" i="9" s="1"/>
  <c r="Z14" i="14" s="1"/>
  <c r="BJ115" i="3"/>
  <c r="CV108" i="3"/>
  <c r="CV115" i="3" s="1"/>
  <c r="Q79" i="9" s="1"/>
  <c r="Q21" i="9" s="1"/>
  <c r="Q14" i="14" s="1"/>
  <c r="BZ115" i="3"/>
  <c r="DL108" i="3"/>
  <c r="DL115" i="3" s="1"/>
  <c r="AG79" i="9" s="1"/>
  <c r="AG21" i="9" s="1"/>
  <c r="BY115" i="3"/>
  <c r="DK108" i="3"/>
  <c r="DK115" i="3" s="1"/>
  <c r="AF79" i="9" s="1"/>
  <c r="AF21" i="9" s="1"/>
  <c r="CP108" i="3"/>
  <c r="CP115" i="3" s="1"/>
  <c r="BD115" i="3"/>
  <c r="CG115" i="3"/>
  <c r="DS108" i="3"/>
  <c r="DS115" i="3" s="1"/>
  <c r="AN79" i="9" s="1"/>
  <c r="AN21" i="9" s="1"/>
  <c r="CC115" i="3"/>
  <c r="DO108" i="3"/>
  <c r="DO115" i="3" s="1"/>
  <c r="AJ79" i="9" s="1"/>
  <c r="AJ21" i="9" s="1"/>
  <c r="BH115" i="3"/>
  <c r="CT108" i="3"/>
  <c r="CT115" i="3" s="1"/>
  <c r="O79" i="9" s="1"/>
  <c r="O21" i="9" s="1"/>
  <c r="BB115" i="3"/>
  <c r="CN108" i="3"/>
  <c r="CN115" i="3" s="1"/>
  <c r="K79" i="9" s="1"/>
  <c r="K21" i="9" s="1"/>
  <c r="BR115" i="3"/>
  <c r="DD108" i="3"/>
  <c r="DD115" i="3" s="1"/>
  <c r="Y79" i="9" s="1"/>
  <c r="Y21" i="9" s="1"/>
  <c r="Y14" i="14" s="1"/>
  <c r="CH115" i="3"/>
  <c r="DT108" i="3"/>
  <c r="DT115" i="3" s="1"/>
  <c r="AO79" i="9" s="1"/>
  <c r="AO21" i="9" s="1"/>
  <c r="BO115" i="3"/>
  <c r="DA108" i="3"/>
  <c r="DA115" i="3" s="1"/>
  <c r="V79" i="9" s="1"/>
  <c r="V21" i="9" s="1"/>
  <c r="V14" i="14" s="1"/>
  <c r="BW115" i="3"/>
  <c r="DI108" i="3"/>
  <c r="DI115" i="3" s="1"/>
  <c r="AD79" i="9" s="1"/>
  <c r="AD21" i="9" s="1"/>
  <c r="DO99" i="3"/>
  <c r="DD90" i="3"/>
  <c r="BF97" i="3"/>
  <c r="CR90" i="3"/>
  <c r="AF76" i="9"/>
  <c r="AF18" i="9" s="1"/>
  <c r="R75" i="9"/>
  <c r="R17" i="9" s="1"/>
  <c r="R10" i="14" s="1"/>
  <c r="AF74" i="9"/>
  <c r="T73" i="9"/>
  <c r="I18" i="9" l="1"/>
  <c r="I21" i="9"/>
  <c r="H20" i="9"/>
  <c r="H13" i="14" s="1"/>
  <c r="I78" i="9"/>
  <c r="G78" i="9" s="1"/>
  <c r="G20" i="9" s="1"/>
  <c r="G13" i="14" s="1"/>
  <c r="I13" i="14" s="1"/>
  <c r="H19" i="9"/>
  <c r="I77" i="9"/>
  <c r="G77" i="9" s="1"/>
  <c r="G19" i="9" s="1"/>
  <c r="CH19" i="9"/>
  <c r="AC74" i="9"/>
  <c r="K74" i="9"/>
  <c r="AL73" i="9"/>
  <c r="AL24" i="9" s="1"/>
  <c r="G17" i="9"/>
  <c r="G10" i="14" s="1"/>
  <c r="I10" i="14" s="1"/>
  <c r="AE74" i="9"/>
  <c r="Z75" i="9"/>
  <c r="V76" i="9"/>
  <c r="V18" i="9" s="1"/>
  <c r="F45" i="9"/>
  <c r="F16" i="9" s="1"/>
  <c r="F9" i="14" s="1"/>
  <c r="I82" i="2"/>
  <c r="AF75" i="9"/>
  <c r="L17" i="9"/>
  <c r="Q76" i="9"/>
  <c r="Q18" i="9" s="1"/>
  <c r="CB97" i="3"/>
  <c r="DN106" i="3"/>
  <c r="AI78" i="9" s="1"/>
  <c r="AI20" i="9" s="1"/>
  <c r="CS97" i="3"/>
  <c r="N77" i="9" s="1"/>
  <c r="N19" i="9" s="1"/>
  <c r="DE97" i="3"/>
  <c r="Z77" i="9" s="1"/>
  <c r="Z19" i="9" s="1"/>
  <c r="Z74" i="9"/>
  <c r="AA76" i="9"/>
  <c r="AA18" i="9" s="1"/>
  <c r="BT97" i="3"/>
  <c r="DD97" i="3"/>
  <c r="Y77" i="9" s="1"/>
  <c r="Y19" i="9" s="1"/>
  <c r="AI74" i="9"/>
  <c r="S76" i="9"/>
  <c r="S18" i="9" s="1"/>
  <c r="AM76" i="9"/>
  <c r="AM18" i="9" s="1"/>
  <c r="DA97" i="3"/>
  <c r="V77" i="9" s="1"/>
  <c r="V19" i="9" s="1"/>
  <c r="DF97" i="3"/>
  <c r="AA77" i="9" s="1"/>
  <c r="AA19" i="9" s="1"/>
  <c r="DN97" i="3"/>
  <c r="AI77" i="9" s="1"/>
  <c r="AI19" i="9" s="1"/>
  <c r="BY97" i="3"/>
  <c r="O76" i="9"/>
  <c r="O18" i="9" s="1"/>
  <c r="AC73" i="9"/>
  <c r="AC24" i="9" s="1"/>
  <c r="AG73" i="9"/>
  <c r="AG24" i="9" s="1"/>
  <c r="AE75" i="9"/>
  <c r="CW90" i="3"/>
  <c r="CW97" i="3" s="1"/>
  <c r="R77" i="9" s="1"/>
  <c r="R19" i="9" s="1"/>
  <c r="DK99" i="3"/>
  <c r="DK106" i="3" s="1"/>
  <c r="AF78" i="9" s="1"/>
  <c r="AF20" i="9" s="1"/>
  <c r="AA74" i="9"/>
  <c r="T75" i="9"/>
  <c r="S75" i="9"/>
  <c r="AM75" i="9"/>
  <c r="BO97" i="3"/>
  <c r="DG97" i="3"/>
  <c r="AB77" i="9" s="1"/>
  <c r="AB19" i="9" s="1"/>
  <c r="AE73" i="9"/>
  <c r="AE24" i="9" s="1"/>
  <c r="AB73" i="9"/>
  <c r="AB24" i="9" s="1"/>
  <c r="X75" i="9"/>
  <c r="DI90" i="3"/>
  <c r="DI97" i="3" s="1"/>
  <c r="AD77" i="9" s="1"/>
  <c r="AD19" i="9" s="1"/>
  <c r="N74" i="9"/>
  <c r="CY106" i="3"/>
  <c r="T78" i="9" s="1"/>
  <c r="T20" i="9" s="1"/>
  <c r="T13" i="14" s="1"/>
  <c r="CU106" i="3"/>
  <c r="P78" i="9" s="1"/>
  <c r="P20" i="9" s="1"/>
  <c r="Y74" i="9"/>
  <c r="BZ97" i="3"/>
  <c r="K73" i="9"/>
  <c r="K24" i="9" s="1"/>
  <c r="AQ75" i="9"/>
  <c r="AP75" i="9"/>
  <c r="M76" i="9"/>
  <c r="M18" i="9" s="1"/>
  <c r="BS97" i="3"/>
  <c r="CX90" i="3"/>
  <c r="CX97" i="3" s="1"/>
  <c r="S77" i="9" s="1"/>
  <c r="S19" i="9" s="1"/>
  <c r="BU106" i="3"/>
  <c r="CQ97" i="3"/>
  <c r="CO106" i="3"/>
  <c r="L78" i="9" s="1"/>
  <c r="L20" i="9" s="1"/>
  <c r="AQ74" i="9"/>
  <c r="AH75" i="9"/>
  <c r="Q75" i="9"/>
  <c r="AK76" i="9"/>
  <c r="AK18" i="9" s="1"/>
  <c r="AP76" i="9"/>
  <c r="AP18" i="9" s="1"/>
  <c r="L76" i="9"/>
  <c r="L18" i="9" s="1"/>
  <c r="AL76" i="9"/>
  <c r="AL18" i="9" s="1"/>
  <c r="K76" i="9"/>
  <c r="K18" i="9" s="1"/>
  <c r="CD97" i="3"/>
  <c r="CV90" i="3"/>
  <c r="CV97" i="3" s="1"/>
  <c r="Q77" i="9" s="1"/>
  <c r="Q19" i="9" s="1"/>
  <c r="BI97" i="3"/>
  <c r="DK97" i="3"/>
  <c r="AF77" i="9" s="1"/>
  <c r="AF19" i="9" s="1"/>
  <c r="CY90" i="3"/>
  <c r="CY97" i="3" s="1"/>
  <c r="T77" i="9" s="1"/>
  <c r="T19" i="9" s="1"/>
  <c r="BM106" i="3"/>
  <c r="DI106" i="3"/>
  <c r="AD78" i="9" s="1"/>
  <c r="AD20" i="9" s="1"/>
  <c r="DG106" i="3"/>
  <c r="AB78" i="9" s="1"/>
  <c r="AB20" i="9" s="1"/>
  <c r="CR99" i="3"/>
  <c r="CR106" i="3" s="1"/>
  <c r="M78" i="9" s="1"/>
  <c r="M20" i="9" s="1"/>
  <c r="M73" i="9"/>
  <c r="M24" i="9" s="1"/>
  <c r="AD75" i="9"/>
  <c r="U75" i="9"/>
  <c r="P17" i="9"/>
  <c r="O17" i="9"/>
  <c r="AD76" i="9"/>
  <c r="AD18" i="9" s="1"/>
  <c r="AN76" i="9"/>
  <c r="AN18" i="9" s="1"/>
  <c r="DC97" i="3"/>
  <c r="X77" i="9" s="1"/>
  <c r="X19" i="9" s="1"/>
  <c r="DH99" i="3"/>
  <c r="DH106" i="3" s="1"/>
  <c r="AC78" i="9" s="1"/>
  <c r="AC20" i="9" s="1"/>
  <c r="DS99" i="3"/>
  <c r="DS106" i="3" s="1"/>
  <c r="AN78" i="9" s="1"/>
  <c r="AN20" i="9" s="1"/>
  <c r="AE76" i="9"/>
  <c r="AE18" i="9" s="1"/>
  <c r="W75" i="9"/>
  <c r="AJ75" i="9"/>
  <c r="AI75" i="9"/>
  <c r="AN75" i="9"/>
  <c r="AQ76" i="9"/>
  <c r="AQ18" i="9" s="1"/>
  <c r="CO90" i="3"/>
  <c r="CO97" i="3" s="1"/>
  <c r="L77" i="9" s="1"/>
  <c r="L19" i="9" s="1"/>
  <c r="DR106" i="3"/>
  <c r="AM78" i="9" s="1"/>
  <c r="AM20" i="9" s="1"/>
  <c r="DT97" i="3"/>
  <c r="AO77" i="9" s="1"/>
  <c r="AO19" i="9" s="1"/>
  <c r="DP97" i="3"/>
  <c r="AK77" i="9" s="1"/>
  <c r="AK19" i="9" s="1"/>
  <c r="AK75" i="9"/>
  <c r="N17" i="9"/>
  <c r="DU90" i="3"/>
  <c r="DU97" i="3" s="1"/>
  <c r="AP77" i="9" s="1"/>
  <c r="AP19" i="9" s="1"/>
  <c r="CR97" i="3"/>
  <c r="M77" i="9" s="1"/>
  <c r="M19" i="9" s="1"/>
  <c r="BG97" i="3"/>
  <c r="DL97" i="3"/>
  <c r="AG77" i="9" s="1"/>
  <c r="AG19" i="9" s="1"/>
  <c r="AM73" i="9"/>
  <c r="AM24" i="9" s="1"/>
  <c r="AP73" i="9"/>
  <c r="AP24" i="9" s="1"/>
  <c r="AH74" i="9"/>
  <c r="BH97" i="3"/>
  <c r="DS97" i="3"/>
  <c r="AN77" i="9" s="1"/>
  <c r="AN19" i="9" s="1"/>
  <c r="R73" i="9"/>
  <c r="DV99" i="3"/>
  <c r="DV106" i="3" s="1"/>
  <c r="AQ78" i="9" s="1"/>
  <c r="AQ20" i="9" s="1"/>
  <c r="BW106" i="3"/>
  <c r="Y73" i="9"/>
  <c r="Y24" i="9" s="1"/>
  <c r="AC75" i="9"/>
  <c r="V75" i="9"/>
  <c r="AO76" i="9"/>
  <c r="AO18" i="9" s="1"/>
  <c r="AH76" i="9"/>
  <c r="AH18" i="9" s="1"/>
  <c r="U76" i="9"/>
  <c r="U18" i="9" s="1"/>
  <c r="DJ99" i="3"/>
  <c r="DJ106" i="3" s="1"/>
  <c r="AE78" i="9" s="1"/>
  <c r="AE20" i="9" s="1"/>
  <c r="CS99" i="3"/>
  <c r="CS106" i="3" s="1"/>
  <c r="N78" i="9" s="1"/>
  <c r="N20" i="9" s="1"/>
  <c r="AD73" i="9"/>
  <c r="AD24" i="9" s="1"/>
  <c r="Z73" i="9"/>
  <c r="Z24" i="9" s="1"/>
  <c r="DE99" i="3"/>
  <c r="DE106" i="3" s="1"/>
  <c r="Z78" i="9" s="1"/>
  <c r="Z20" i="9" s="1"/>
  <c r="Z13" i="14" s="1"/>
  <c r="T74" i="9"/>
  <c r="AB75" i="9"/>
  <c r="AI76" i="9"/>
  <c r="AI18" i="9" s="1"/>
  <c r="CZ90" i="3"/>
  <c r="CZ97" i="3" s="1"/>
  <c r="U77" i="9" s="1"/>
  <c r="U19" i="9" s="1"/>
  <c r="BQ97" i="3"/>
  <c r="DH90" i="3"/>
  <c r="DH97" i="3" s="1"/>
  <c r="AC77" i="9" s="1"/>
  <c r="AC19" i="9" s="1"/>
  <c r="DM90" i="3"/>
  <c r="DM97" i="3" s="1"/>
  <c r="AH77" i="9" s="1"/>
  <c r="AH19" i="9" s="1"/>
  <c r="BE97" i="3"/>
  <c r="CN90" i="3"/>
  <c r="CN97" i="3" s="1"/>
  <c r="K77" i="9" s="1"/>
  <c r="K19" i="9" s="1"/>
  <c r="DO106" i="3"/>
  <c r="AJ78" i="9" s="1"/>
  <c r="AJ20" i="9" s="1"/>
  <c r="CQ99" i="3"/>
  <c r="CQ106" i="3" s="1"/>
  <c r="M74" i="9"/>
  <c r="S73" i="9"/>
  <c r="W73" i="9"/>
  <c r="W24" i="9" s="1"/>
  <c r="V73" i="9"/>
  <c r="V24" i="9" s="1"/>
  <c r="AI73" i="9"/>
  <c r="AI24" i="9" s="1"/>
  <c r="AL74" i="9"/>
  <c r="DJ97" i="3"/>
  <c r="AE77" i="9" s="1"/>
  <c r="AE19" i="9" s="1"/>
  <c r="DO97" i="3"/>
  <c r="AJ77" i="9" s="1"/>
  <c r="AJ19" i="9" s="1"/>
  <c r="CP106" i="3"/>
  <c r="CV106" i="3"/>
  <c r="Q78" i="9" s="1"/>
  <c r="Q20" i="9" s="1"/>
  <c r="Q13" i="14" s="1"/>
  <c r="CX99" i="3"/>
  <c r="CX106" i="3" s="1"/>
  <c r="S78" i="9" s="1"/>
  <c r="S20" i="9" s="1"/>
  <c r="S13" i="14" s="1"/>
  <c r="AK73" i="9"/>
  <c r="AK24" i="9" s="1"/>
  <c r="P73" i="9"/>
  <c r="P24" i="9" s="1"/>
  <c r="S74" i="9"/>
  <c r="P74" i="9"/>
  <c r="AO75" i="9"/>
  <c r="M17" i="9"/>
  <c r="AA75" i="9"/>
  <c r="AG75" i="9"/>
  <c r="Y75" i="9"/>
  <c r="AL75" i="9"/>
  <c r="K17" i="9"/>
  <c r="AG76" i="9"/>
  <c r="AG18" i="9" s="1"/>
  <c r="X76" i="9"/>
  <c r="X18" i="9" s="1"/>
  <c r="AJ76" i="9"/>
  <c r="AJ18" i="9" s="1"/>
  <c r="Z76" i="9"/>
  <c r="Z18" i="9" s="1"/>
  <c r="AC76" i="9"/>
  <c r="AC18" i="9" s="1"/>
  <c r="T76" i="9"/>
  <c r="T18" i="9" s="1"/>
  <c r="Y76" i="9"/>
  <c r="Y18" i="9" s="1"/>
  <c r="AB76" i="9"/>
  <c r="AB18" i="9" s="1"/>
  <c r="R76" i="9"/>
  <c r="R18" i="9" s="1"/>
  <c r="P76" i="9"/>
  <c r="P18" i="9" s="1"/>
  <c r="DQ90" i="3"/>
  <c r="DQ97" i="3" s="1"/>
  <c r="AL77" i="9" s="1"/>
  <c r="AL19" i="9" s="1"/>
  <c r="CP90" i="3"/>
  <c r="CP97" i="3" s="1"/>
  <c r="CG97" i="3"/>
  <c r="CF106" i="3"/>
  <c r="CT99" i="3"/>
  <c r="CT106" i="3" s="1"/>
  <c r="O78" i="9" s="1"/>
  <c r="O20" i="9" s="1"/>
  <c r="DB99" i="3"/>
  <c r="DB106" i="3" s="1"/>
  <c r="W78" i="9" s="1"/>
  <c r="W20" i="9" s="1"/>
  <c r="W13" i="14" s="1"/>
  <c r="O73" i="9"/>
  <c r="O24" i="9" s="1"/>
  <c r="DT99" i="3"/>
  <c r="DT106" i="3" s="1"/>
  <c r="AO78" i="9" s="1"/>
  <c r="AO20" i="9" s="1"/>
  <c r="DC106" i="3"/>
  <c r="X78" i="9" s="1"/>
  <c r="X20" i="9" s="1"/>
  <c r="X13" i="14" s="1"/>
  <c r="W76" i="9"/>
  <c r="W18" i="9" s="1"/>
  <c r="DB90" i="3"/>
  <c r="DB97" i="3" s="1"/>
  <c r="W77" i="9" s="1"/>
  <c r="W19" i="9" s="1"/>
  <c r="DL106" i="3"/>
  <c r="AG78" i="9" s="1"/>
  <c r="AG20" i="9" s="1"/>
  <c r="N76" i="9"/>
  <c r="N18" i="9" s="1"/>
  <c r="AQ73" i="9"/>
  <c r="AQ24" i="9" s="1"/>
  <c r="N73" i="9"/>
  <c r="N24" i="9" s="1"/>
  <c r="BU97" i="3"/>
  <c r="CC97" i="3"/>
  <c r="DV90" i="3"/>
  <c r="DV97" i="3" s="1"/>
  <c r="AQ77" i="9" s="1"/>
  <c r="AQ19" i="9" s="1"/>
  <c r="CH97" i="3"/>
  <c r="BX97" i="3"/>
  <c r="DR90" i="3"/>
  <c r="DR97" i="3" s="1"/>
  <c r="AM77" i="9" s="1"/>
  <c r="AM19" i="9" s="1"/>
  <c r="BI106" i="3"/>
  <c r="BQ106" i="3"/>
  <c r="CI106" i="3"/>
  <c r="DU99" i="3"/>
  <c r="DU106" i="3" s="1"/>
  <c r="AP78" i="9" s="1"/>
  <c r="AP20" i="9" s="1"/>
  <c r="DM99" i="3"/>
  <c r="DM106" i="3" s="1"/>
  <c r="AH78" i="9" s="1"/>
  <c r="AH20" i="9" s="1"/>
  <c r="DF99" i="3"/>
  <c r="DF106" i="3" s="1"/>
  <c r="AA78" i="9" s="1"/>
  <c r="AA20" i="9" s="1"/>
  <c r="DQ99" i="3"/>
  <c r="DQ106" i="3" s="1"/>
  <c r="AL78" i="9" s="1"/>
  <c r="AL20" i="9" s="1"/>
  <c r="CE106" i="3"/>
  <c r="DD99" i="3"/>
  <c r="DD106" i="3" s="1"/>
  <c r="Y78" i="9" s="1"/>
  <c r="Y20" i="9" s="1"/>
  <c r="Y13" i="14" s="1"/>
  <c r="DA99" i="3"/>
  <c r="DA106" i="3" s="1"/>
  <c r="V78" i="9" s="1"/>
  <c r="V20" i="9" s="1"/>
  <c r="V13" i="14" s="1"/>
  <c r="BD106" i="3"/>
  <c r="BJ106" i="3"/>
  <c r="CZ99" i="3"/>
  <c r="CZ106" i="3" s="1"/>
  <c r="U78" i="9" s="1"/>
  <c r="U20" i="9" s="1"/>
  <c r="U13" i="14" s="1"/>
  <c r="BN106" i="3"/>
  <c r="CW99" i="3"/>
  <c r="CW106" i="3" s="1"/>
  <c r="R78" i="9" s="1"/>
  <c r="R20" i="9" s="1"/>
  <c r="R13" i="14" s="1"/>
  <c r="CD106" i="3"/>
  <c r="DP99" i="3"/>
  <c r="DP106" i="3" s="1"/>
  <c r="AK78" i="9" s="1"/>
  <c r="AK20" i="9" s="1"/>
  <c r="CN99" i="3"/>
  <c r="CN106" i="3" s="1"/>
  <c r="K78" i="9" s="1"/>
  <c r="K20" i="9" s="1"/>
  <c r="BC106" i="3"/>
  <c r="L74" i="9"/>
  <c r="AB74" i="9"/>
  <c r="W74" i="9"/>
  <c r="AN74" i="9"/>
  <c r="AJ74" i="9"/>
  <c r="U74" i="9"/>
  <c r="AO73" i="9"/>
  <c r="AO24" i="9" s="1"/>
  <c r="Q73" i="9"/>
  <c r="O74" i="9"/>
  <c r="AA73" i="9"/>
  <c r="AA24" i="9" s="1"/>
  <c r="AP74" i="9"/>
  <c r="AF73" i="9"/>
  <c r="AF24" i="9" s="1"/>
  <c r="AH73" i="9"/>
  <c r="AH24" i="9" s="1"/>
  <c r="AJ73" i="9"/>
  <c r="AJ24" i="9" s="1"/>
  <c r="Q74" i="9"/>
  <c r="L73" i="9"/>
  <c r="L24" i="9" s="1"/>
  <c r="V74" i="9"/>
  <c r="X73" i="9"/>
  <c r="X24" i="9" s="1"/>
  <c r="U73" i="9"/>
  <c r="U24" i="9" s="1"/>
  <c r="AN73" i="9"/>
  <c r="AN24" i="9" s="1"/>
  <c r="X74" i="9"/>
  <c r="AM74" i="9"/>
  <c r="AD74" i="9"/>
  <c r="AK74" i="9"/>
  <c r="AG74" i="9"/>
  <c r="R74" i="9"/>
  <c r="H72" i="2"/>
  <c r="I72" i="2" s="1"/>
  <c r="V17" i="9" l="1"/>
  <c r="V10" i="14" s="1"/>
  <c r="V26" i="9"/>
  <c r="AJ17" i="9"/>
  <c r="AJ26" i="9"/>
  <c r="AP17" i="9"/>
  <c r="AP26" i="9"/>
  <c r="AO17" i="9"/>
  <c r="AO26" i="9"/>
  <c r="AC17" i="9"/>
  <c r="AC26" i="9"/>
  <c r="W17" i="9"/>
  <c r="W10" i="14" s="1"/>
  <c r="W26" i="9"/>
  <c r="AQ17" i="9"/>
  <c r="AQ26" i="9"/>
  <c r="AA17" i="9"/>
  <c r="AA26" i="9"/>
  <c r="Q17" i="9"/>
  <c r="Q10" i="14" s="1"/>
  <c r="S17" i="9"/>
  <c r="S10" i="14" s="1"/>
  <c r="AK17" i="9"/>
  <c r="AK26" i="9"/>
  <c r="AH17" i="9"/>
  <c r="AH26" i="9"/>
  <c r="T17" i="9"/>
  <c r="T10" i="14" s="1"/>
  <c r="AD17" i="9"/>
  <c r="AD26" i="9"/>
  <c r="AM17" i="9"/>
  <c r="AM26" i="9"/>
  <c r="AF17" i="9"/>
  <c r="AF26" i="9"/>
  <c r="AB17" i="9"/>
  <c r="AB26" i="9"/>
  <c r="AL17" i="9"/>
  <c r="AL26" i="9"/>
  <c r="AE17" i="9"/>
  <c r="AE26" i="9"/>
  <c r="AI17" i="9"/>
  <c r="AI26" i="9"/>
  <c r="Y17" i="9"/>
  <c r="Y10" i="14" s="1"/>
  <c r="Y26" i="9"/>
  <c r="X17" i="9"/>
  <c r="X10" i="14" s="1"/>
  <c r="X26" i="9"/>
  <c r="Z17" i="9"/>
  <c r="Z10" i="14" s="1"/>
  <c r="Z26" i="9"/>
  <c r="AG17" i="9"/>
  <c r="AG26" i="9"/>
  <c r="AN17" i="9"/>
  <c r="AN26" i="9"/>
  <c r="U17" i="9"/>
  <c r="U10" i="14" s="1"/>
  <c r="U26" i="9"/>
  <c r="I19" i="9"/>
  <c r="I20" i="9"/>
  <c r="I17" i="9"/>
  <c r="AQ73" i="2"/>
  <c r="AP73" i="2"/>
  <c r="AP83" i="2"/>
  <c r="AQ83" i="2"/>
  <c r="AI83" i="2"/>
  <c r="AG45" i="9" s="1"/>
  <c r="AL83" i="2"/>
  <c r="AJ45" i="9" s="1"/>
  <c r="Y83" i="2"/>
  <c r="W45" i="9" s="1"/>
  <c r="U83" i="2"/>
  <c r="S45" i="9" s="1"/>
  <c r="AN83" i="2"/>
  <c r="AL45" i="9" s="1"/>
  <c r="AT83" i="2"/>
  <c r="AP45" i="9" s="1"/>
  <c r="AO83" i="2"/>
  <c r="AM45" i="9" s="1"/>
  <c r="R83" i="2"/>
  <c r="P45" i="9" s="1"/>
  <c r="L83" i="2"/>
  <c r="L45" i="9" s="1"/>
  <c r="V83" i="2"/>
  <c r="T45" i="9" s="1"/>
  <c r="AF83" i="2"/>
  <c r="AD45" i="9" s="1"/>
  <c r="AU83" i="2"/>
  <c r="AQ45" i="9" s="1"/>
  <c r="Z83" i="2"/>
  <c r="X45" i="9" s="1"/>
  <c r="AS83" i="2"/>
  <c r="AO45" i="9" s="1"/>
  <c r="AA83" i="2"/>
  <c r="Y45" i="9" s="1"/>
  <c r="AM83" i="2"/>
  <c r="AK45" i="9" s="1"/>
  <c r="AD83" i="2"/>
  <c r="AB45" i="9" s="1"/>
  <c r="AG83" i="2"/>
  <c r="AE45" i="9" s="1"/>
  <c r="S83" i="2"/>
  <c r="Q45" i="9" s="1"/>
  <c r="AH83" i="2"/>
  <c r="AF45" i="9" s="1"/>
  <c r="AJ83" i="2"/>
  <c r="AH45" i="9" s="1"/>
  <c r="T83" i="2"/>
  <c r="R45" i="9" s="1"/>
  <c r="I45" i="9"/>
  <c r="AR83" i="2"/>
  <c r="AN45" i="9" s="1"/>
  <c r="AB83" i="2"/>
  <c r="Z45" i="9" s="1"/>
  <c r="AE83" i="2"/>
  <c r="AC45" i="9" s="1"/>
  <c r="K83" i="2"/>
  <c r="K45" i="9" s="1"/>
  <c r="X83" i="2"/>
  <c r="V45" i="9" s="1"/>
  <c r="W83" i="2"/>
  <c r="U45" i="9" s="1"/>
  <c r="Q83" i="2"/>
  <c r="O45" i="9" s="1"/>
  <c r="P83" i="2"/>
  <c r="N45" i="9" s="1"/>
  <c r="M83" i="2"/>
  <c r="O83" i="2"/>
  <c r="M45" i="9" s="1"/>
  <c r="N83" i="2"/>
  <c r="AK83" i="2"/>
  <c r="AI45" i="9" s="1"/>
  <c r="AC83" i="2"/>
  <c r="AA45" i="9" s="1"/>
  <c r="F44" i="9"/>
  <c r="F15" i="9" s="1"/>
  <c r="F8" i="14" s="1"/>
  <c r="F22" i="14" s="1"/>
  <c r="I44" i="9"/>
  <c r="H44" i="9" s="1"/>
  <c r="H15" i="9" s="1"/>
  <c r="H8" i="14" s="1"/>
  <c r="AT73" i="2"/>
  <c r="AP44" i="9" s="1"/>
  <c r="AP15" i="9" s="1"/>
  <c r="U73" i="2"/>
  <c r="S44" i="9" s="1"/>
  <c r="S15" i="9" s="1"/>
  <c r="S8" i="14" s="1"/>
  <c r="AB73" i="2"/>
  <c r="Z44" i="9" s="1"/>
  <c r="Z15" i="9" s="1"/>
  <c r="Z8" i="14" s="1"/>
  <c r="K73" i="2"/>
  <c r="K44" i="9" s="1"/>
  <c r="K15" i="9" s="1"/>
  <c r="AL73" i="2"/>
  <c r="AJ44" i="9" s="1"/>
  <c r="AJ15" i="9" s="1"/>
  <c r="W73" i="2"/>
  <c r="U44" i="9" s="1"/>
  <c r="U15" i="9" s="1"/>
  <c r="U8" i="14" s="1"/>
  <c r="Z73" i="2"/>
  <c r="X44" i="9" s="1"/>
  <c r="X15" i="9" s="1"/>
  <c r="X8" i="14" s="1"/>
  <c r="AI73" i="2"/>
  <c r="AG44" i="9" s="1"/>
  <c r="AG15" i="9" s="1"/>
  <c r="N73" i="2"/>
  <c r="AH73" i="2"/>
  <c r="AF44" i="9" s="1"/>
  <c r="AF15" i="9" s="1"/>
  <c r="AS73" i="2"/>
  <c r="AO44" i="9" s="1"/>
  <c r="AO15" i="9" s="1"/>
  <c r="AF73" i="2"/>
  <c r="AD44" i="9" s="1"/>
  <c r="AD15" i="9" s="1"/>
  <c r="T73" i="2"/>
  <c r="R44" i="9" s="1"/>
  <c r="R15" i="9" s="1"/>
  <c r="R8" i="14" s="1"/>
  <c r="AE73" i="2"/>
  <c r="AC44" i="9" s="1"/>
  <c r="AC15" i="9" s="1"/>
  <c r="R73" i="2"/>
  <c r="P44" i="9" s="1"/>
  <c r="P15" i="9" s="1"/>
  <c r="AN73" i="2"/>
  <c r="AL44" i="9" s="1"/>
  <c r="AL15" i="9" s="1"/>
  <c r="AG73" i="2"/>
  <c r="AE44" i="9" s="1"/>
  <c r="AE15" i="9" s="1"/>
  <c r="P73" i="2"/>
  <c r="N44" i="9" s="1"/>
  <c r="N15" i="9" s="1"/>
  <c r="AU73" i="2"/>
  <c r="AQ44" i="9" s="1"/>
  <c r="AQ15" i="9" s="1"/>
  <c r="AR73" i="2"/>
  <c r="AN44" i="9" s="1"/>
  <c r="AN15" i="9" s="1"/>
  <c r="S73" i="2"/>
  <c r="Q44" i="9" s="1"/>
  <c r="Q15" i="9" s="1"/>
  <c r="Q8" i="14" s="1"/>
  <c r="AD73" i="2"/>
  <c r="AB44" i="9" s="1"/>
  <c r="AB15" i="9" s="1"/>
  <c r="X73" i="2"/>
  <c r="V44" i="9" s="1"/>
  <c r="V15" i="9" s="1"/>
  <c r="V8" i="14" s="1"/>
  <c r="AK73" i="2"/>
  <c r="AI44" i="9" s="1"/>
  <c r="AI15" i="9" s="1"/>
  <c r="L73" i="2"/>
  <c r="L44" i="9" s="1"/>
  <c r="L15" i="9" s="1"/>
  <c r="AA73" i="2"/>
  <c r="Y44" i="9" s="1"/>
  <c r="Y15" i="9" s="1"/>
  <c r="Y8" i="14" s="1"/>
  <c r="V73" i="2"/>
  <c r="T44" i="9" s="1"/>
  <c r="T15" i="9" s="1"/>
  <c r="T8" i="14" s="1"/>
  <c r="AM73" i="2"/>
  <c r="AK44" i="9" s="1"/>
  <c r="AK15" i="9" s="1"/>
  <c r="M73" i="2"/>
  <c r="AJ73" i="2"/>
  <c r="AH44" i="9" s="1"/>
  <c r="AH15" i="9" s="1"/>
  <c r="Y73" i="2"/>
  <c r="W44" i="9" s="1"/>
  <c r="W15" i="9" s="1"/>
  <c r="W8" i="14" s="1"/>
  <c r="O73" i="2"/>
  <c r="M44" i="9" s="1"/>
  <c r="M15" i="9" s="1"/>
  <c r="Q73" i="2"/>
  <c r="O44" i="9" s="1"/>
  <c r="O15" i="9" s="1"/>
  <c r="AC73" i="2"/>
  <c r="AA44" i="9" s="1"/>
  <c r="AA15" i="9" s="1"/>
  <c r="AO73" i="2"/>
  <c r="AM44" i="9" s="1"/>
  <c r="AM15" i="9" s="1"/>
  <c r="U16" i="9" l="1"/>
  <c r="U9" i="14" s="1"/>
  <c r="U22" i="14" s="1"/>
  <c r="U25" i="9"/>
  <c r="AB16" i="9"/>
  <c r="AB25" i="9"/>
  <c r="V16" i="9"/>
  <c r="V9" i="14" s="1"/>
  <c r="V22" i="14" s="1"/>
  <c r="V25" i="9"/>
  <c r="AK16" i="9"/>
  <c r="AK25" i="9"/>
  <c r="S16" i="9"/>
  <c r="S9" i="14" s="1"/>
  <c r="S22" i="14" s="1"/>
  <c r="N16" i="9"/>
  <c r="N25" i="9"/>
  <c r="AL16" i="9"/>
  <c r="AL25" i="9"/>
  <c r="K16" i="9"/>
  <c r="K25" i="9"/>
  <c r="Y16" i="9"/>
  <c r="Y9" i="14" s="1"/>
  <c r="Y22" i="14" s="1"/>
  <c r="Y25" i="9"/>
  <c r="W16" i="9"/>
  <c r="W9" i="14" s="1"/>
  <c r="W22" i="14" s="1"/>
  <c r="W25" i="9"/>
  <c r="AC16" i="9"/>
  <c r="AC25" i="9"/>
  <c r="AJ16" i="9"/>
  <c r="AJ25" i="9"/>
  <c r="Z16" i="9"/>
  <c r="Z9" i="14" s="1"/>
  <c r="Z22" i="14" s="1"/>
  <c r="Z25" i="9"/>
  <c r="X16" i="9"/>
  <c r="X9" i="14" s="1"/>
  <c r="X22" i="14" s="1"/>
  <c r="X25" i="9"/>
  <c r="AG16" i="9"/>
  <c r="AG25" i="9"/>
  <c r="AA16" i="9"/>
  <c r="AA25" i="9"/>
  <c r="AN16" i="9"/>
  <c r="AN25" i="9"/>
  <c r="AI16" i="9"/>
  <c r="AI25" i="9"/>
  <c r="AD16" i="9"/>
  <c r="AD25" i="9"/>
  <c r="AO16" i="9"/>
  <c r="AO25" i="9"/>
  <c r="R16" i="9"/>
  <c r="R9" i="14" s="1"/>
  <c r="R22" i="14" s="1"/>
  <c r="T16" i="9"/>
  <c r="T9" i="14" s="1"/>
  <c r="T22" i="14" s="1"/>
  <c r="M16" i="9"/>
  <c r="M25" i="9"/>
  <c r="AH16" i="9"/>
  <c r="AH25" i="9"/>
  <c r="L16" i="9"/>
  <c r="L25" i="9"/>
  <c r="AQ16" i="9"/>
  <c r="AQ25" i="9"/>
  <c r="AF16" i="9"/>
  <c r="AF25" i="9"/>
  <c r="P16" i="9"/>
  <c r="P25" i="9"/>
  <c r="Q16" i="9"/>
  <c r="Q9" i="14" s="1"/>
  <c r="Q22" i="14" s="1"/>
  <c r="AM16" i="9"/>
  <c r="AM25" i="9"/>
  <c r="O16" i="9"/>
  <c r="O25" i="9"/>
  <c r="AE16" i="9"/>
  <c r="AE25" i="9"/>
  <c r="AP16" i="9"/>
  <c r="AP25" i="9"/>
  <c r="G44" i="9"/>
  <c r="G15" i="9" s="1"/>
  <c r="H45" i="9"/>
  <c r="H16" i="9" s="1"/>
  <c r="H9" i="14" s="1"/>
  <c r="H22" i="14" s="1"/>
  <c r="G45" i="9"/>
  <c r="G16" i="9" s="1"/>
  <c r="G9" i="14" s="1"/>
  <c r="I9" i="14" s="1"/>
  <c r="F90" i="9"/>
  <c r="B90" i="9"/>
  <c r="AZ52" i="3"/>
  <c r="CA72" i="9" s="1"/>
  <c r="AY52" i="3"/>
  <c r="BZ72" i="9" s="1"/>
  <c r="AV52" i="3"/>
  <c r="BY72" i="9" s="1"/>
  <c r="AU52" i="3"/>
  <c r="BX72" i="9" s="1"/>
  <c r="AT52" i="3"/>
  <c r="BW72" i="9" s="1"/>
  <c r="AS52" i="3"/>
  <c r="BV72" i="9" s="1"/>
  <c r="AR52" i="3"/>
  <c r="BU72" i="9" s="1"/>
  <c r="AQ52" i="3"/>
  <c r="BT72" i="9" s="1"/>
  <c r="AP52" i="3"/>
  <c r="BS72" i="9" s="1"/>
  <c r="AO52" i="3"/>
  <c r="BR72" i="9" s="1"/>
  <c r="AN52" i="3"/>
  <c r="BQ72" i="9" s="1"/>
  <c r="AM52" i="3"/>
  <c r="BP72" i="9" s="1"/>
  <c r="AL52" i="3"/>
  <c r="BO72" i="9" s="1"/>
  <c r="AK52" i="3"/>
  <c r="BN72" i="9" s="1"/>
  <c r="AJ52" i="3"/>
  <c r="BM72" i="9" s="1"/>
  <c r="AI52" i="3"/>
  <c r="BL72" i="9" s="1"/>
  <c r="AH52" i="3"/>
  <c r="BK72" i="9" s="1"/>
  <c r="AG52" i="3"/>
  <c r="BJ72" i="9" s="1"/>
  <c r="AF52" i="3"/>
  <c r="BI72" i="9" s="1"/>
  <c r="AE52" i="3"/>
  <c r="BH72" i="9" s="1"/>
  <c r="AD52" i="3"/>
  <c r="BG72" i="9" s="1"/>
  <c r="AC52" i="3"/>
  <c r="BF72" i="9" s="1"/>
  <c r="AB52" i="3"/>
  <c r="BE72" i="9" s="1"/>
  <c r="AA52" i="3"/>
  <c r="BD72" i="9" s="1"/>
  <c r="Z52" i="3"/>
  <c r="BC72" i="9" s="1"/>
  <c r="Y52" i="3"/>
  <c r="BB72" i="9" s="1"/>
  <c r="X52" i="3"/>
  <c r="BA72" i="9" s="1"/>
  <c r="W52" i="3"/>
  <c r="AZ72" i="9" s="1"/>
  <c r="V52" i="3"/>
  <c r="AY72" i="9" s="1"/>
  <c r="U52" i="3"/>
  <c r="AX72" i="9" s="1"/>
  <c r="T52" i="3"/>
  <c r="AW72" i="9" s="1"/>
  <c r="S52" i="3"/>
  <c r="AV72" i="9" s="1"/>
  <c r="R52" i="3"/>
  <c r="AU72" i="9" s="1"/>
  <c r="Q52" i="3"/>
  <c r="AT72" i="9" s="1"/>
  <c r="P52" i="3"/>
  <c r="AS72" i="9" s="1"/>
  <c r="E52" i="3"/>
  <c r="D72" i="9" s="1"/>
  <c r="D52" i="3"/>
  <c r="C72" i="9" s="1"/>
  <c r="CA71" i="9"/>
  <c r="BZ71" i="9"/>
  <c r="BY71" i="9"/>
  <c r="BX71" i="9"/>
  <c r="BW71" i="9"/>
  <c r="BV71" i="9"/>
  <c r="BU71" i="9"/>
  <c r="BT71" i="9"/>
  <c r="BS71" i="9"/>
  <c r="BR71" i="9"/>
  <c r="BQ71" i="9"/>
  <c r="BP71" i="9"/>
  <c r="BO71" i="9"/>
  <c r="BN71" i="9"/>
  <c r="BM71" i="9"/>
  <c r="BL71" i="9"/>
  <c r="BK71" i="9"/>
  <c r="BJ71" i="9"/>
  <c r="BI71" i="9"/>
  <c r="BH71" i="9"/>
  <c r="BG71" i="9"/>
  <c r="BF71" i="9"/>
  <c r="BE71" i="9"/>
  <c r="BD71" i="9"/>
  <c r="BC71" i="9"/>
  <c r="BB71" i="9"/>
  <c r="BA71" i="9"/>
  <c r="AZ71" i="9"/>
  <c r="AY71" i="9"/>
  <c r="AX71" i="9"/>
  <c r="AW71" i="9"/>
  <c r="AV71" i="9"/>
  <c r="AU71" i="9"/>
  <c r="AT71" i="9"/>
  <c r="AS71" i="9"/>
  <c r="E43" i="3"/>
  <c r="D71" i="9" s="1"/>
  <c r="D43" i="3"/>
  <c r="C71" i="9" s="1"/>
  <c r="AU62" i="2"/>
  <c r="CA43" i="9" s="1"/>
  <c r="AT62" i="2"/>
  <c r="BZ43" i="9" s="1"/>
  <c r="AS62" i="2"/>
  <c r="BY43" i="9" s="1"/>
  <c r="AR62" i="2"/>
  <c r="BX43" i="9" s="1"/>
  <c r="AO62" i="2"/>
  <c r="BW43" i="9" s="1"/>
  <c r="AN62" i="2"/>
  <c r="BV43" i="9" s="1"/>
  <c r="AM62" i="2"/>
  <c r="BU43" i="9" s="1"/>
  <c r="AL62" i="2"/>
  <c r="BT43" i="9" s="1"/>
  <c r="AK62" i="2"/>
  <c r="BS43" i="9" s="1"/>
  <c r="AJ62" i="2"/>
  <c r="BR43" i="9" s="1"/>
  <c r="AI62" i="2"/>
  <c r="BQ43" i="9" s="1"/>
  <c r="AH62" i="2"/>
  <c r="BP43" i="9" s="1"/>
  <c r="AG62" i="2"/>
  <c r="BO43" i="9" s="1"/>
  <c r="AF62" i="2"/>
  <c r="BN43" i="9" s="1"/>
  <c r="AE62" i="2"/>
  <c r="BM43" i="9" s="1"/>
  <c r="AD62" i="2"/>
  <c r="BL43" i="9" s="1"/>
  <c r="AC62" i="2"/>
  <c r="BK43" i="9" s="1"/>
  <c r="AB62" i="2"/>
  <c r="BJ43" i="9" s="1"/>
  <c r="AA62" i="2"/>
  <c r="BI43" i="9" s="1"/>
  <c r="Z62" i="2"/>
  <c r="BH43" i="9" s="1"/>
  <c r="Y62" i="2"/>
  <c r="BG43" i="9" s="1"/>
  <c r="X62" i="2"/>
  <c r="BF43" i="9" s="1"/>
  <c r="W62" i="2"/>
  <c r="BE43" i="9" s="1"/>
  <c r="V62" i="2"/>
  <c r="BD43" i="9" s="1"/>
  <c r="U62" i="2"/>
  <c r="BC43" i="9" s="1"/>
  <c r="T62" i="2"/>
  <c r="BB43" i="9" s="1"/>
  <c r="S62" i="2"/>
  <c r="BA43" i="9" s="1"/>
  <c r="R62" i="2"/>
  <c r="Q62" i="2"/>
  <c r="P62" i="2"/>
  <c r="O62" i="2"/>
  <c r="N62" i="2"/>
  <c r="M62" i="2"/>
  <c r="L62" i="2"/>
  <c r="K62" i="2"/>
  <c r="H62" i="2"/>
  <c r="F43" i="9" s="1"/>
  <c r="F14" i="9" s="1"/>
  <c r="G62" i="2"/>
  <c r="D43" i="9" s="1"/>
  <c r="F62" i="2"/>
  <c r="C43" i="9" s="1"/>
  <c r="E62" i="2"/>
  <c r="B43" i="9" s="1"/>
  <c r="B14" i="9" s="1"/>
  <c r="AU52" i="2"/>
  <c r="CA42" i="9" s="1"/>
  <c r="AT52" i="2"/>
  <c r="BZ42" i="9" s="1"/>
  <c r="AS52" i="2"/>
  <c r="BY42" i="9" s="1"/>
  <c r="AR52" i="2"/>
  <c r="BX42" i="9" s="1"/>
  <c r="AO52" i="2"/>
  <c r="BW42" i="9" s="1"/>
  <c r="AN52" i="2"/>
  <c r="BV42" i="9" s="1"/>
  <c r="AM52" i="2"/>
  <c r="BU42" i="9" s="1"/>
  <c r="AL52" i="2"/>
  <c r="BT42" i="9" s="1"/>
  <c r="AK52" i="2"/>
  <c r="BS42" i="9" s="1"/>
  <c r="AJ52" i="2"/>
  <c r="BR42" i="9" s="1"/>
  <c r="AI52" i="2"/>
  <c r="BQ42" i="9" s="1"/>
  <c r="AH52" i="2"/>
  <c r="BP42" i="9" s="1"/>
  <c r="AG52" i="2"/>
  <c r="BO42" i="9" s="1"/>
  <c r="AF52" i="2"/>
  <c r="BN42" i="9" s="1"/>
  <c r="AE52" i="2"/>
  <c r="BM42" i="9" s="1"/>
  <c r="AD52" i="2"/>
  <c r="BL42" i="9" s="1"/>
  <c r="AC52" i="2"/>
  <c r="BK42" i="9" s="1"/>
  <c r="AB52" i="2"/>
  <c r="BJ42" i="9" s="1"/>
  <c r="AA52" i="2"/>
  <c r="BI42" i="9" s="1"/>
  <c r="Z52" i="2"/>
  <c r="BH42" i="9" s="1"/>
  <c r="Y52" i="2"/>
  <c r="BG42" i="9" s="1"/>
  <c r="X52" i="2"/>
  <c r="BF42" i="9" s="1"/>
  <c r="W52" i="2"/>
  <c r="BE42" i="9" s="1"/>
  <c r="V52" i="2"/>
  <c r="BD42" i="9" s="1"/>
  <c r="U52" i="2"/>
  <c r="BC42" i="9" s="1"/>
  <c r="T52" i="2"/>
  <c r="BB42" i="9" s="1"/>
  <c r="S52" i="2"/>
  <c r="BA42" i="9" s="1"/>
  <c r="R52" i="2"/>
  <c r="Q52" i="2"/>
  <c r="P52" i="2"/>
  <c r="O52" i="2"/>
  <c r="N52" i="2"/>
  <c r="M52" i="2"/>
  <c r="L52" i="2"/>
  <c r="K52" i="2"/>
  <c r="G52" i="2"/>
  <c r="D42" i="9" s="1"/>
  <c r="F52" i="2"/>
  <c r="C42" i="9" s="1"/>
  <c r="E52" i="2"/>
  <c r="B42" i="9" s="1"/>
  <c r="B13" i="9" s="1"/>
  <c r="AU42" i="2"/>
  <c r="CA41" i="9" s="1"/>
  <c r="AT42" i="2"/>
  <c r="BZ41" i="9" s="1"/>
  <c r="AS42" i="2"/>
  <c r="BY41" i="9" s="1"/>
  <c r="AR42" i="2"/>
  <c r="BX41" i="9" s="1"/>
  <c r="AO42" i="2"/>
  <c r="BW41" i="9" s="1"/>
  <c r="AN42" i="2"/>
  <c r="BV41" i="9" s="1"/>
  <c r="AM42" i="2"/>
  <c r="BU41" i="9" s="1"/>
  <c r="AL42" i="2"/>
  <c r="BT41" i="9" s="1"/>
  <c r="AK42" i="2"/>
  <c r="BS41" i="9" s="1"/>
  <c r="AJ42" i="2"/>
  <c r="BR41" i="9" s="1"/>
  <c r="AI42" i="2"/>
  <c r="BQ41" i="9" s="1"/>
  <c r="AH42" i="2"/>
  <c r="BP41" i="9" s="1"/>
  <c r="AG42" i="2"/>
  <c r="BO41" i="9" s="1"/>
  <c r="AF42" i="2"/>
  <c r="BN41" i="9" s="1"/>
  <c r="AE42" i="2"/>
  <c r="BM41" i="9" s="1"/>
  <c r="AD42" i="2"/>
  <c r="BL41" i="9" s="1"/>
  <c r="AC42" i="2"/>
  <c r="BK41" i="9" s="1"/>
  <c r="AB42" i="2"/>
  <c r="BJ41" i="9" s="1"/>
  <c r="AA42" i="2"/>
  <c r="BI41" i="9" s="1"/>
  <c r="Z42" i="2"/>
  <c r="BH41" i="9" s="1"/>
  <c r="Y42" i="2"/>
  <c r="BG41" i="9" s="1"/>
  <c r="X42" i="2"/>
  <c r="BF41" i="9" s="1"/>
  <c r="W42" i="2"/>
  <c r="BE41" i="9" s="1"/>
  <c r="V42" i="2"/>
  <c r="BD41" i="9" s="1"/>
  <c r="U42" i="2"/>
  <c r="BC41" i="9" s="1"/>
  <c r="T42" i="2"/>
  <c r="BB41" i="9" s="1"/>
  <c r="S42" i="2"/>
  <c r="BA41" i="9" s="1"/>
  <c r="R42" i="2"/>
  <c r="Q42" i="2"/>
  <c r="P42" i="2"/>
  <c r="O42" i="2"/>
  <c r="N42" i="2"/>
  <c r="M42" i="2"/>
  <c r="L42" i="2"/>
  <c r="K42" i="2"/>
  <c r="AU32" i="2"/>
  <c r="CA40" i="9" s="1"/>
  <c r="AT32" i="2"/>
  <c r="BZ40" i="9" s="1"/>
  <c r="AS32" i="2"/>
  <c r="BY40" i="9" s="1"/>
  <c r="AR32" i="2"/>
  <c r="BX40" i="9" s="1"/>
  <c r="AO32" i="2"/>
  <c r="BW40" i="9" s="1"/>
  <c r="AN32" i="2"/>
  <c r="BV40" i="9" s="1"/>
  <c r="AM32" i="2"/>
  <c r="BU40" i="9" s="1"/>
  <c r="AL32" i="2"/>
  <c r="BT40" i="9" s="1"/>
  <c r="AK32" i="2"/>
  <c r="BS40" i="9" s="1"/>
  <c r="AJ32" i="2"/>
  <c r="BR40" i="9" s="1"/>
  <c r="AI32" i="2"/>
  <c r="BQ40" i="9" s="1"/>
  <c r="AH32" i="2"/>
  <c r="BP40" i="9" s="1"/>
  <c r="AG32" i="2"/>
  <c r="BO40" i="9" s="1"/>
  <c r="AF32" i="2"/>
  <c r="BN40" i="9" s="1"/>
  <c r="AE32" i="2"/>
  <c r="BM40" i="9" s="1"/>
  <c r="AD32" i="2"/>
  <c r="BL40" i="9" s="1"/>
  <c r="AC32" i="2"/>
  <c r="BK40" i="9" s="1"/>
  <c r="AB32" i="2"/>
  <c r="BJ40" i="9" s="1"/>
  <c r="AA32" i="2"/>
  <c r="BI40" i="9" s="1"/>
  <c r="Z32" i="2"/>
  <c r="BH40" i="9" s="1"/>
  <c r="Y32" i="2"/>
  <c r="BG40" i="9" s="1"/>
  <c r="X32" i="2"/>
  <c r="BF40" i="9" s="1"/>
  <c r="W32" i="2"/>
  <c r="BE40" i="9" s="1"/>
  <c r="V32" i="2"/>
  <c r="BD40" i="9" s="1"/>
  <c r="U32" i="2"/>
  <c r="BC40" i="9" s="1"/>
  <c r="T32" i="2"/>
  <c r="BB40" i="9" s="1"/>
  <c r="S32" i="2"/>
  <c r="BA40" i="9" s="1"/>
  <c r="R32" i="2"/>
  <c r="Q32" i="2"/>
  <c r="P32" i="2"/>
  <c r="O32" i="2"/>
  <c r="N32" i="2"/>
  <c r="M32" i="2"/>
  <c r="L32" i="2"/>
  <c r="K32" i="2"/>
  <c r="G42" i="2"/>
  <c r="D41" i="9" s="1"/>
  <c r="F42" i="2"/>
  <c r="C41" i="9" s="1"/>
  <c r="AA22" i="2"/>
  <c r="BI39" i="9" s="1"/>
  <c r="Z22" i="2"/>
  <c r="BH39" i="9" s="1"/>
  <c r="Y22" i="2"/>
  <c r="BG39" i="9" s="1"/>
  <c r="U22" i="2"/>
  <c r="BC39" i="9" s="1"/>
  <c r="T22" i="2"/>
  <c r="BB39" i="9" s="1"/>
  <c r="Q22" i="2"/>
  <c r="P22" i="2"/>
  <c r="O22" i="2"/>
  <c r="CA70" i="9"/>
  <c r="BZ70" i="9"/>
  <c r="BY70" i="9"/>
  <c r="BX70" i="9"/>
  <c r="BW70" i="9"/>
  <c r="BV70" i="9"/>
  <c r="BU70" i="9"/>
  <c r="BT70" i="9"/>
  <c r="BS70" i="9"/>
  <c r="BR70" i="9"/>
  <c r="BQ70" i="9"/>
  <c r="BP70" i="9"/>
  <c r="BO70" i="9"/>
  <c r="BN70" i="9"/>
  <c r="BM70" i="9"/>
  <c r="BL70" i="9"/>
  <c r="BK70" i="9"/>
  <c r="BJ70" i="9"/>
  <c r="BI70" i="9"/>
  <c r="BH70" i="9"/>
  <c r="BG70" i="9"/>
  <c r="BF70" i="9"/>
  <c r="BE70" i="9"/>
  <c r="BD70" i="9"/>
  <c r="BC70" i="9"/>
  <c r="BB70" i="9"/>
  <c r="BA70" i="9"/>
  <c r="AZ70" i="9"/>
  <c r="AY70" i="9"/>
  <c r="AX70" i="9"/>
  <c r="AW70" i="9"/>
  <c r="AV70" i="9"/>
  <c r="AU70" i="9"/>
  <c r="AT70" i="9"/>
  <c r="AS70" i="9"/>
  <c r="E34" i="3"/>
  <c r="D70" i="9" s="1"/>
  <c r="D34" i="3"/>
  <c r="C70" i="9" s="1"/>
  <c r="CA69" i="9"/>
  <c r="BZ69" i="9"/>
  <c r="BY69" i="9"/>
  <c r="BX69" i="9"/>
  <c r="BW69" i="9"/>
  <c r="BV69" i="9"/>
  <c r="BU69" i="9"/>
  <c r="BT69" i="9"/>
  <c r="BS69" i="9"/>
  <c r="BR69" i="9"/>
  <c r="BQ69" i="9"/>
  <c r="BP69" i="9"/>
  <c r="BO69" i="9"/>
  <c r="BN69" i="9"/>
  <c r="BM69" i="9"/>
  <c r="BL69" i="9"/>
  <c r="BK69" i="9"/>
  <c r="BJ69" i="9"/>
  <c r="BI69" i="9"/>
  <c r="BH69" i="9"/>
  <c r="BG69" i="9"/>
  <c r="BF69" i="9"/>
  <c r="BE69" i="9"/>
  <c r="BD69" i="9"/>
  <c r="BC69" i="9"/>
  <c r="BB69" i="9"/>
  <c r="BA69" i="9"/>
  <c r="AZ69" i="9"/>
  <c r="AY69" i="9"/>
  <c r="AX69" i="9"/>
  <c r="AW69" i="9"/>
  <c r="AV69" i="9"/>
  <c r="AU69" i="9"/>
  <c r="AT69" i="9"/>
  <c r="AS69" i="9"/>
  <c r="E25" i="3"/>
  <c r="D69" i="9" s="1"/>
  <c r="D25" i="3"/>
  <c r="C69" i="9" s="1"/>
  <c r="BI68" i="9"/>
  <c r="BH68" i="9"/>
  <c r="BG68" i="9"/>
  <c r="BC68" i="9"/>
  <c r="BB68" i="9"/>
  <c r="AY68" i="9"/>
  <c r="AX68" i="9"/>
  <c r="BO68" i="9"/>
  <c r="BN68" i="9"/>
  <c r="BM68" i="9"/>
  <c r="BL68" i="9"/>
  <c r="BK68" i="9"/>
  <c r="BJ68" i="9"/>
  <c r="BF68" i="9"/>
  <c r="BE68" i="9"/>
  <c r="BD68" i="9"/>
  <c r="BA68" i="9"/>
  <c r="AZ68" i="9"/>
  <c r="AW68" i="9"/>
  <c r="AV68" i="9"/>
  <c r="AU68" i="9"/>
  <c r="AT68" i="9"/>
  <c r="AS68" i="9"/>
  <c r="E16" i="3"/>
  <c r="D68" i="9" s="1"/>
  <c r="D16" i="3"/>
  <c r="C68" i="9" s="1"/>
  <c r="I16" i="9" l="1"/>
  <c r="I15" i="9"/>
  <c r="G8" i="14"/>
  <c r="G22" i="14" s="1"/>
  <c r="BP68" i="9"/>
  <c r="AM5" i="3"/>
  <c r="BT68" i="9"/>
  <c r="BT90" i="9" s="1"/>
  <c r="AQ5" i="3"/>
  <c r="BX68" i="9"/>
  <c r="BX90" i="9" s="1"/>
  <c r="AU5" i="3"/>
  <c r="BQ68" i="9"/>
  <c r="BQ90" i="9" s="1"/>
  <c r="AN5" i="3"/>
  <c r="BU68" i="9"/>
  <c r="BU90" i="9" s="1"/>
  <c r="AR5" i="3"/>
  <c r="BY68" i="9"/>
  <c r="BY90" i="9" s="1"/>
  <c r="AV5" i="3"/>
  <c r="BR68" i="9"/>
  <c r="AO5" i="3"/>
  <c r="BV68" i="9"/>
  <c r="BV90" i="9" s="1"/>
  <c r="AS5" i="3"/>
  <c r="BZ68" i="9"/>
  <c r="BZ90" i="9" s="1"/>
  <c r="AY5" i="3"/>
  <c r="BS68" i="9"/>
  <c r="BS90" i="9" s="1"/>
  <c r="AP5" i="3"/>
  <c r="BW68" i="9"/>
  <c r="BW90" i="9" s="1"/>
  <c r="AT5" i="3"/>
  <c r="CA68" i="9"/>
  <c r="CA90" i="9" s="1"/>
  <c r="AZ5" i="3"/>
  <c r="D14" i="9"/>
  <c r="C12" i="9"/>
  <c r="AV14" i="9"/>
  <c r="AZ14" i="9"/>
  <c r="BD14" i="9"/>
  <c r="BH14" i="9"/>
  <c r="BL14" i="9"/>
  <c r="BP14" i="9"/>
  <c r="BT14" i="9"/>
  <c r="BX14" i="9"/>
  <c r="AS14" i="9"/>
  <c r="AW14" i="9"/>
  <c r="BA14" i="9"/>
  <c r="BE14" i="9"/>
  <c r="BI14" i="9"/>
  <c r="BM14" i="9"/>
  <c r="BQ14" i="9"/>
  <c r="BU14" i="9"/>
  <c r="BY14" i="9"/>
  <c r="AT14" i="9"/>
  <c r="AX14" i="9"/>
  <c r="BB14" i="9"/>
  <c r="BF14" i="9"/>
  <c r="BJ14" i="9"/>
  <c r="BN14" i="9"/>
  <c r="BR14" i="9"/>
  <c r="BV14" i="9"/>
  <c r="BZ14" i="9"/>
  <c r="C14" i="9"/>
  <c r="AU14" i="9"/>
  <c r="AY14" i="9"/>
  <c r="BC14" i="9"/>
  <c r="BG14" i="9"/>
  <c r="BK14" i="9"/>
  <c r="BO14" i="9"/>
  <c r="BS14" i="9"/>
  <c r="BW14" i="9"/>
  <c r="CA14" i="9"/>
  <c r="BC10" i="9"/>
  <c r="AT12" i="9"/>
  <c r="AX12" i="9"/>
  <c r="BB12" i="9"/>
  <c r="BF12" i="9"/>
  <c r="BJ12" i="9"/>
  <c r="BN12" i="9"/>
  <c r="BR12" i="9"/>
  <c r="BV12" i="9"/>
  <c r="BZ12" i="9"/>
  <c r="C90" i="9"/>
  <c r="AW10" i="9"/>
  <c r="AU11" i="9"/>
  <c r="AY11" i="9"/>
  <c r="BG11" i="9"/>
  <c r="BO11" i="9"/>
  <c r="BS11" i="9"/>
  <c r="BW11" i="9"/>
  <c r="BI61" i="9"/>
  <c r="I62" i="2"/>
  <c r="AY12" i="9"/>
  <c r="BC12" i="9"/>
  <c r="BG12" i="9"/>
  <c r="BO12" i="9"/>
  <c r="BS12" i="9"/>
  <c r="BW12" i="9"/>
  <c r="CA12" i="9"/>
  <c r="AV12" i="9"/>
  <c r="AZ12" i="9"/>
  <c r="BD12" i="9"/>
  <c r="BH12" i="9"/>
  <c r="BL12" i="9"/>
  <c r="BP12" i="9"/>
  <c r="BX12" i="9"/>
  <c r="AT11" i="9"/>
  <c r="AX11" i="9"/>
  <c r="BB11" i="9"/>
  <c r="BF11" i="9"/>
  <c r="BJ11" i="9"/>
  <c r="BN11" i="9"/>
  <c r="BR11" i="9"/>
  <c r="BV11" i="9"/>
  <c r="BZ11" i="9"/>
  <c r="AU12" i="9"/>
  <c r="BK12" i="9"/>
  <c r="BC61" i="9"/>
  <c r="BT12" i="9"/>
  <c r="BE13" i="9"/>
  <c r="BQ13" i="9"/>
  <c r="BY13" i="9"/>
  <c r="AZ11" i="9"/>
  <c r="BH11" i="9"/>
  <c r="BP11" i="9"/>
  <c r="AW61" i="9"/>
  <c r="AX13" i="9"/>
  <c r="BF13" i="9"/>
  <c r="BN13" i="9"/>
  <c r="BV13" i="9"/>
  <c r="AS11" i="9"/>
  <c r="AW11" i="9"/>
  <c r="BA11" i="9"/>
  <c r="BE11" i="9"/>
  <c r="BI11" i="9"/>
  <c r="BM11" i="9"/>
  <c r="BQ11" i="9"/>
  <c r="BU11" i="9"/>
  <c r="BY11" i="9"/>
  <c r="D12" i="9"/>
  <c r="AX61" i="9"/>
  <c r="BG61" i="9"/>
  <c r="BB61" i="9"/>
  <c r="AY61" i="9"/>
  <c r="C13" i="9"/>
  <c r="AU13" i="9"/>
  <c r="AY13" i="9"/>
  <c r="BC13" i="9"/>
  <c r="BG13" i="9"/>
  <c r="BK13" i="9"/>
  <c r="BO13" i="9"/>
  <c r="BW13" i="9"/>
  <c r="CA13" i="9"/>
  <c r="AS13" i="9"/>
  <c r="BA13" i="9"/>
  <c r="BI13" i="9"/>
  <c r="BM13" i="9"/>
  <c r="BU13" i="9"/>
  <c r="AV11" i="9"/>
  <c r="BD11" i="9"/>
  <c r="BL11" i="9"/>
  <c r="BX11" i="9"/>
  <c r="AT13" i="9"/>
  <c r="BB13" i="9"/>
  <c r="BJ13" i="9"/>
  <c r="BR13" i="9"/>
  <c r="BZ13" i="9"/>
  <c r="AS12" i="9"/>
  <c r="AW12" i="9"/>
  <c r="BA12" i="9"/>
  <c r="BE12" i="9"/>
  <c r="BI12" i="9"/>
  <c r="BM12" i="9"/>
  <c r="BQ12" i="9"/>
  <c r="BU12" i="9"/>
  <c r="BY12" i="9"/>
  <c r="BH61" i="9"/>
  <c r="D13" i="9"/>
  <c r="AV13" i="9"/>
  <c r="AZ13" i="9"/>
  <c r="BD13" i="9"/>
  <c r="BH13" i="9"/>
  <c r="BL13" i="9"/>
  <c r="BP13" i="9"/>
  <c r="BT13" i="9"/>
  <c r="BX13" i="9"/>
  <c r="H69" i="9"/>
  <c r="I69" i="9" s="1"/>
  <c r="G69" i="9" s="1"/>
  <c r="BE90" i="9"/>
  <c r="BP90" i="9"/>
  <c r="BG10" i="9"/>
  <c r="BG90" i="9"/>
  <c r="CA11" i="9"/>
  <c r="AZ90" i="9"/>
  <c r="BT11" i="9"/>
  <c r="H70" i="9"/>
  <c r="I70" i="9" s="1"/>
  <c r="G70" i="9" s="1"/>
  <c r="AX10" i="9"/>
  <c r="AX90" i="9"/>
  <c r="AT90" i="9"/>
  <c r="AY10" i="9"/>
  <c r="AY90" i="9"/>
  <c r="AU90" i="9"/>
  <c r="BJ90" i="9"/>
  <c r="BB10" i="9"/>
  <c r="BB90" i="9"/>
  <c r="AS90" i="9"/>
  <c r="BL90" i="9"/>
  <c r="BC90" i="9"/>
  <c r="BC11" i="9"/>
  <c r="BK90" i="9"/>
  <c r="BK11" i="9"/>
  <c r="BF90" i="9"/>
  <c r="BM90" i="9"/>
  <c r="BH90" i="9"/>
  <c r="BH10" i="9"/>
  <c r="BA90" i="9"/>
  <c r="BN90" i="9"/>
  <c r="BR90" i="9"/>
  <c r="BI90" i="9"/>
  <c r="BI10" i="9"/>
  <c r="AV90" i="9"/>
  <c r="BD90" i="9"/>
  <c r="BO90" i="9"/>
  <c r="BS13" i="9"/>
  <c r="AW13" i="9"/>
  <c r="AW90" i="9"/>
  <c r="I71" i="9"/>
  <c r="G71" i="9" s="1"/>
  <c r="D90" i="9"/>
  <c r="I8" i="14" l="1"/>
  <c r="I22" i="14"/>
  <c r="I43" i="9"/>
  <c r="G43" i="9" s="1"/>
  <c r="AP63" i="2"/>
  <c r="AQ63" i="2"/>
  <c r="AS63" i="2"/>
  <c r="AO43" i="9" s="1"/>
  <c r="P71" i="9"/>
  <c r="BC32" i="9"/>
  <c r="AX32" i="9"/>
  <c r="BH32" i="9"/>
  <c r="AE72" i="9"/>
  <c r="I72" i="9"/>
  <c r="G72" i="9" s="1"/>
  <c r="Q63" i="2"/>
  <c r="O43" i="9" s="1"/>
  <c r="AY32" i="9"/>
  <c r="BI32" i="9"/>
  <c r="BB32" i="9"/>
  <c r="BG32" i="9"/>
  <c r="AW32" i="9"/>
  <c r="V63" i="2"/>
  <c r="T43" i="9" s="1"/>
  <c r="AK63" i="2"/>
  <c r="AI43" i="9" s="1"/>
  <c r="AI63" i="2"/>
  <c r="AG43" i="9" s="1"/>
  <c r="T63" i="2"/>
  <c r="R43" i="9" s="1"/>
  <c r="BF52" i="3"/>
  <c r="AO72" i="9"/>
  <c r="BB52" i="3"/>
  <c r="AH72" i="9"/>
  <c r="BH52" i="3"/>
  <c r="AK72" i="9"/>
  <c r="BZ52" i="3"/>
  <c r="BI52" i="3"/>
  <c r="V72" i="9"/>
  <c r="CE52" i="3"/>
  <c r="S72" i="9"/>
  <c r="CB52" i="3"/>
  <c r="CA52" i="3"/>
  <c r="BE52" i="3"/>
  <c r="BM52" i="3"/>
  <c r="AN72" i="9"/>
  <c r="AP72" i="9"/>
  <c r="AM72" i="9"/>
  <c r="AN70" i="9"/>
  <c r="AJ70" i="9"/>
  <c r="AF70" i="9"/>
  <c r="X70" i="9"/>
  <c r="T70" i="9"/>
  <c r="AH70" i="9"/>
  <c r="AC70" i="9"/>
  <c r="R70" i="9"/>
  <c r="M70" i="9"/>
  <c r="AL70" i="9"/>
  <c r="AG70" i="9"/>
  <c r="V70" i="9"/>
  <c r="Q70" i="9"/>
  <c r="AK70" i="9"/>
  <c r="Z70" i="9"/>
  <c r="O70" i="9"/>
  <c r="AI70" i="9"/>
  <c r="AD70" i="9"/>
  <c r="N70" i="9"/>
  <c r="K70" i="9"/>
  <c r="AA70" i="9"/>
  <c r="U70" i="9"/>
  <c r="S70" i="9"/>
  <c r="AE70" i="9"/>
  <c r="L70" i="9"/>
  <c r="AO70" i="9"/>
  <c r="Y70" i="9"/>
  <c r="AC72" i="9"/>
  <c r="Y72" i="9"/>
  <c r="L72" i="9"/>
  <c r="BS52" i="3"/>
  <c r="W72" i="9"/>
  <c r="BN52" i="3"/>
  <c r="Q72" i="9"/>
  <c r="N72" i="9"/>
  <c r="BW52" i="3"/>
  <c r="BD52" i="3"/>
  <c r="AA72" i="9"/>
  <c r="CJ52" i="3"/>
  <c r="X63" i="2"/>
  <c r="V43" i="9" s="1"/>
  <c r="AL63" i="2"/>
  <c r="AJ43" i="9" s="1"/>
  <c r="M63" i="2"/>
  <c r="AR63" i="2"/>
  <c r="AN43" i="9" s="1"/>
  <c r="BC52" i="3"/>
  <c r="AG63" i="2"/>
  <c r="AE43" i="9" s="1"/>
  <c r="AN63" i="2"/>
  <c r="AL43" i="9" s="1"/>
  <c r="N63" i="2"/>
  <c r="O63" i="2"/>
  <c r="M43" i="9" s="1"/>
  <c r="AC63" i="2"/>
  <c r="AA43" i="9" s="1"/>
  <c r="AF63" i="2"/>
  <c r="AD43" i="9" s="1"/>
  <c r="R63" i="2"/>
  <c r="P43" i="9" s="1"/>
  <c r="W63" i="2"/>
  <c r="U43" i="9" s="1"/>
  <c r="AU63" i="2"/>
  <c r="AQ43" i="9" s="1"/>
  <c r="U63" i="2"/>
  <c r="S43" i="9" s="1"/>
  <c r="AJ63" i="2"/>
  <c r="AH43" i="9" s="1"/>
  <c r="P63" i="2"/>
  <c r="N43" i="9" s="1"/>
  <c r="AH63" i="2"/>
  <c r="AF43" i="9" s="1"/>
  <c r="AE63" i="2"/>
  <c r="AC43" i="9" s="1"/>
  <c r="AD63" i="2"/>
  <c r="AB43" i="9" s="1"/>
  <c r="S63" i="2"/>
  <c r="Q43" i="9" s="1"/>
  <c r="AM63" i="2"/>
  <c r="AK43" i="9" s="1"/>
  <c r="AO63" i="2"/>
  <c r="AM43" i="9" s="1"/>
  <c r="Y63" i="2"/>
  <c r="W43" i="9" s="1"/>
  <c r="AT63" i="2"/>
  <c r="AP43" i="9" s="1"/>
  <c r="AB63" i="2"/>
  <c r="Z43" i="9" s="1"/>
  <c r="L63" i="2"/>
  <c r="L43" i="9" s="1"/>
  <c r="Z63" i="2"/>
  <c r="X43" i="9" s="1"/>
  <c r="K63" i="2"/>
  <c r="K43" i="9" s="1"/>
  <c r="AA63" i="2"/>
  <c r="Y43" i="9" s="1"/>
  <c r="AM71" i="9"/>
  <c r="M71" i="9"/>
  <c r="T71" i="9"/>
  <c r="AA71" i="9"/>
  <c r="AG71" i="9"/>
  <c r="N71" i="9"/>
  <c r="U71" i="9"/>
  <c r="AK71" i="9"/>
  <c r="R71" i="9"/>
  <c r="W71" i="9"/>
  <c r="AO71" i="9"/>
  <c r="AB71" i="9"/>
  <c r="AN71" i="9"/>
  <c r="K71" i="9"/>
  <c r="Y71" i="9"/>
  <c r="V71" i="9"/>
  <c r="AL71" i="9"/>
  <c r="O71" i="9"/>
  <c r="AI71" i="9"/>
  <c r="AC71" i="9"/>
  <c r="Z71" i="9"/>
  <c r="AP71" i="9"/>
  <c r="AQ71" i="9"/>
  <c r="S71" i="9"/>
  <c r="CD52" i="3"/>
  <c r="L69" i="9"/>
  <c r="AF69" i="9"/>
  <c r="AB69" i="9"/>
  <c r="X69" i="9"/>
  <c r="P69" i="9"/>
  <c r="AF22" i="2"/>
  <c r="BN39" i="9" s="1"/>
  <c r="H43" i="9" l="1"/>
  <c r="AO14" i="9"/>
  <c r="K72" i="9"/>
  <c r="K14" i="9" s="1"/>
  <c r="AI72" i="9"/>
  <c r="AI14" i="9" s="1"/>
  <c r="BJ52" i="3"/>
  <c r="BP52" i="3"/>
  <c r="BV52" i="3"/>
  <c r="M72" i="9"/>
  <c r="M14" i="9" s="1"/>
  <c r="AG72" i="9"/>
  <c r="AG14" i="9" s="1"/>
  <c r="AF72" i="9"/>
  <c r="AF14" i="9" s="1"/>
  <c r="AD72" i="9"/>
  <c r="AD14" i="9" s="1"/>
  <c r="U72" i="9"/>
  <c r="U14" i="9" s="1"/>
  <c r="BO52" i="3"/>
  <c r="BT52" i="3"/>
  <c r="BY52" i="3"/>
  <c r="BX52" i="3"/>
  <c r="P72" i="9"/>
  <c r="P14" i="9" s="1"/>
  <c r="BR52" i="3"/>
  <c r="CG52" i="3"/>
  <c r="BL52" i="3"/>
  <c r="BQ52" i="3"/>
  <c r="Y14" i="9"/>
  <c r="T72" i="9"/>
  <c r="T14" i="9" s="1"/>
  <c r="CI52" i="3"/>
  <c r="AK14" i="9"/>
  <c r="AQ72" i="9"/>
  <c r="AQ14" i="9" s="1"/>
  <c r="AP14" i="9"/>
  <c r="H14" i="9"/>
  <c r="CF52" i="3"/>
  <c r="CH52" i="3"/>
  <c r="BG52" i="3"/>
  <c r="X72" i="9"/>
  <c r="X14" i="9" s="1"/>
  <c r="L14" i="9"/>
  <c r="AM14" i="9"/>
  <c r="AC14" i="9"/>
  <c r="S14" i="9"/>
  <c r="AN14" i="9"/>
  <c r="AL72" i="9"/>
  <c r="AL14" i="9" s="1"/>
  <c r="R72" i="9"/>
  <c r="R14" i="9" s="1"/>
  <c r="BK52" i="3"/>
  <c r="AA14" i="9"/>
  <c r="AE14" i="9"/>
  <c r="G14" i="9"/>
  <c r="O72" i="9"/>
  <c r="O14" i="9" s="1"/>
  <c r="Q14" i="9"/>
  <c r="N14" i="9"/>
  <c r="BU52" i="3"/>
  <c r="AB72" i="9"/>
  <c r="AB14" i="9" s="1"/>
  <c r="W14" i="9"/>
  <c r="AH14" i="9"/>
  <c r="V14" i="9"/>
  <c r="AJ72" i="9"/>
  <c r="AJ14" i="9" s="1"/>
  <c r="CC52" i="3"/>
  <c r="Z72" i="9"/>
  <c r="Z14" i="9" s="1"/>
  <c r="BN61" i="9"/>
  <c r="BN10" i="9"/>
  <c r="BN32" i="9" s="1"/>
  <c r="AL69" i="9"/>
  <c r="AP70" i="9"/>
  <c r="AM69" i="9"/>
  <c r="AN69" i="9"/>
  <c r="W69" i="9"/>
  <c r="AD69" i="9"/>
  <c r="AA69" i="9"/>
  <c r="AQ69" i="9"/>
  <c r="AO69" i="9"/>
  <c r="V69" i="9"/>
  <c r="M69" i="9"/>
  <c r="Q69" i="9"/>
  <c r="AP69" i="9"/>
  <c r="S69" i="9"/>
  <c r="U69" i="9"/>
  <c r="Y69" i="9"/>
  <c r="O69" i="9"/>
  <c r="AC69" i="9"/>
  <c r="AE69" i="9"/>
  <c r="AI69" i="9"/>
  <c r="AG69" i="9"/>
  <c r="T69" i="9"/>
  <c r="AJ69" i="9"/>
  <c r="R69" i="9"/>
  <c r="AH69" i="9"/>
  <c r="AM70" i="9"/>
  <c r="AB70" i="9"/>
  <c r="AQ70" i="9"/>
  <c r="W70" i="9"/>
  <c r="P70" i="9"/>
  <c r="K69" i="9"/>
  <c r="AK69" i="9"/>
  <c r="N69" i="9"/>
  <c r="Z69" i="9"/>
  <c r="AJ71" i="9"/>
  <c r="AH71" i="9"/>
  <c r="AF71" i="9"/>
  <c r="AE71" i="9"/>
  <c r="AD71" i="9"/>
  <c r="X71" i="9"/>
  <c r="Q71" i="9"/>
  <c r="L71" i="9"/>
  <c r="N22" i="2"/>
  <c r="M22" i="2"/>
  <c r="H97" i="6"/>
  <c r="H91" i="6"/>
  <c r="H85" i="6"/>
  <c r="H79" i="6"/>
  <c r="I14" i="9" l="1"/>
  <c r="H68" i="9"/>
  <c r="AU61" i="9"/>
  <c r="AU10" i="9"/>
  <c r="AU32" i="9" s="1"/>
  <c r="AV61" i="9"/>
  <c r="AV10" i="9"/>
  <c r="AV32" i="9" s="1"/>
  <c r="I68" i="9" l="1"/>
  <c r="G68" i="9" s="1"/>
  <c r="G90" i="9" s="1"/>
  <c r="I90" i="9" s="1"/>
  <c r="H90" i="9"/>
  <c r="AC22" i="2"/>
  <c r="BK39" i="9" s="1"/>
  <c r="AB22" i="2"/>
  <c r="BJ39" i="9" s="1"/>
  <c r="V22" i="2"/>
  <c r="BD39" i="9" s="1"/>
  <c r="S22" i="2"/>
  <c r="BA39" i="9" s="1"/>
  <c r="C19" i="2"/>
  <c r="C20" i="2" s="1"/>
  <c r="C26" i="2" s="1"/>
  <c r="C27" i="2" s="1"/>
  <c r="C28" i="2" s="1"/>
  <c r="C29" i="2" s="1"/>
  <c r="C30" i="2" s="1"/>
  <c r="C31" i="2" s="1"/>
  <c r="C35" i="2" s="1"/>
  <c r="C36" i="2" s="1"/>
  <c r="C37" i="2" s="1"/>
  <c r="C38" i="2" s="1"/>
  <c r="C39" i="2" s="1"/>
  <c r="C40" i="2" s="1"/>
  <c r="C41" i="2" s="1"/>
  <c r="C45" i="2" s="1"/>
  <c r="C46" i="2" s="1"/>
  <c r="C47" i="2" s="1"/>
  <c r="C48" i="2" s="1"/>
  <c r="C49" i="2" s="1"/>
  <c r="C50" i="2" s="1"/>
  <c r="C51" i="2" s="1"/>
  <c r="C55" i="2" s="1"/>
  <c r="C56" i="2" s="1"/>
  <c r="C57" i="2" s="1"/>
  <c r="C58" i="2" s="1"/>
  <c r="C59" i="2" s="1"/>
  <c r="C60" i="2" s="1"/>
  <c r="C61" i="2" s="1"/>
  <c r="C65" i="2" s="1"/>
  <c r="C66" i="2" s="1"/>
  <c r="C67" i="2" s="1"/>
  <c r="C68" i="2" s="1"/>
  <c r="C69" i="2" s="1"/>
  <c r="C70" i="2" s="1"/>
  <c r="C71" i="2" s="1"/>
  <c r="C75" i="2" s="1"/>
  <c r="C76" i="2" s="1"/>
  <c r="C77" i="2" s="1"/>
  <c r="C78" i="2" s="1"/>
  <c r="C79" i="2" s="1"/>
  <c r="C80" i="2" s="1"/>
  <c r="C81" i="2" s="1"/>
  <c r="C85" i="2" s="1"/>
  <c r="C86" i="2" s="1"/>
  <c r="C87" i="2" s="1"/>
  <c r="C88" i="2" s="1"/>
  <c r="C89" i="2" s="1"/>
  <c r="C90" i="2" s="1"/>
  <c r="C91" i="2" s="1"/>
  <c r="C95" i="2" s="1"/>
  <c r="C96" i="2" s="1"/>
  <c r="C97" i="2" s="1"/>
  <c r="C98" i="2" s="1"/>
  <c r="C99" i="2" s="1"/>
  <c r="C100" i="2" s="1"/>
  <c r="C101" i="2" s="1"/>
  <c r="C105" i="2" s="1"/>
  <c r="C106" i="2" s="1"/>
  <c r="C107" i="2" s="1"/>
  <c r="C108" i="2" s="1"/>
  <c r="C109" i="2" s="1"/>
  <c r="C110" i="2" s="1"/>
  <c r="C111" i="2" s="1"/>
  <c r="C115" i="2" s="1"/>
  <c r="C116" i="2" s="1"/>
  <c r="C117" i="2" s="1"/>
  <c r="C118" i="2" s="1"/>
  <c r="C119" i="2" s="1"/>
  <c r="C120" i="2" s="1"/>
  <c r="C121" i="2" s="1"/>
  <c r="C125" i="2" s="1"/>
  <c r="C126" i="2" s="1"/>
  <c r="C127" i="2" s="1"/>
  <c r="C128" i="2" s="1"/>
  <c r="C129" i="2" s="1"/>
  <c r="C130" i="2" s="1"/>
  <c r="C131" i="2" s="1"/>
  <c r="C135" i="2" s="1"/>
  <c r="C136" i="2" s="1"/>
  <c r="C137" i="2" s="1"/>
  <c r="C138" i="2" s="1"/>
  <c r="C139" i="2" s="1"/>
  <c r="C140" i="2" s="1"/>
  <c r="C141" i="2" s="1"/>
  <c r="C145" i="2" s="1"/>
  <c r="C146" i="2" s="1"/>
  <c r="C147" i="2" s="1"/>
  <c r="C148" i="2" s="1"/>
  <c r="C149" i="2" s="1"/>
  <c r="C150" i="2" s="1"/>
  <c r="C151" i="2" s="1"/>
  <c r="C155" i="2" s="1"/>
  <c r="C156" i="2" s="1"/>
  <c r="C157" i="2" s="1"/>
  <c r="C158" i="2" s="1"/>
  <c r="C159" i="2" s="1"/>
  <c r="C160" i="2" s="1"/>
  <c r="C161" i="2" s="1"/>
  <c r="C165" i="2" s="1"/>
  <c r="C166" i="2" s="1"/>
  <c r="C167" i="2" s="1"/>
  <c r="C168" i="2" s="1"/>
  <c r="C169" i="2" s="1"/>
  <c r="C170" i="2" s="1"/>
  <c r="C171" i="2" s="1"/>
  <c r="C175" i="2" s="1"/>
  <c r="C176" i="2" s="1"/>
  <c r="C177" i="2" s="1"/>
  <c r="C178" i="2" s="1"/>
  <c r="C179" i="2" s="1"/>
  <c r="C180" i="2" s="1"/>
  <c r="C181" i="2" s="1"/>
  <c r="C185" i="2" s="1"/>
  <c r="C186" i="2" s="1"/>
  <c r="C187" i="2" s="1"/>
  <c r="C188" i="2" s="1"/>
  <c r="C189" i="2" s="1"/>
  <c r="C190" i="2" s="1"/>
  <c r="C191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BD61" i="9" l="1"/>
  <c r="BD10" i="9"/>
  <c r="BD32" i="9" s="1"/>
  <c r="BJ61" i="9"/>
  <c r="BJ10" i="9"/>
  <c r="BJ32" i="9" s="1"/>
  <c r="BK61" i="9"/>
  <c r="BK10" i="9"/>
  <c r="BK32" i="9" s="1"/>
  <c r="BA61" i="9"/>
  <c r="BA10" i="9"/>
  <c r="BA32" i="9" s="1"/>
  <c r="H127" i="6" l="1"/>
  <c r="H126" i="6"/>
  <c r="H121" i="6"/>
  <c r="H120" i="6"/>
  <c r="H119" i="6"/>
  <c r="H118" i="6"/>
  <c r="H115" i="6"/>
  <c r="H114" i="6"/>
  <c r="H113" i="6"/>
  <c r="H109" i="6"/>
  <c r="H108" i="6"/>
  <c r="H107" i="6"/>
  <c r="H106" i="6"/>
  <c r="H103" i="6"/>
  <c r="H102" i="6"/>
  <c r="H101" i="6"/>
  <c r="H100" i="6"/>
  <c r="H96" i="6"/>
  <c r="H95" i="6"/>
  <c r="H94" i="6"/>
  <c r="H90" i="6"/>
  <c r="H89" i="6"/>
  <c r="H88" i="6"/>
  <c r="H84" i="6"/>
  <c r="H83" i="6"/>
  <c r="H78" i="6"/>
  <c r="O44" i="6" l="1"/>
  <c r="M44" i="6"/>
  <c r="L44" i="6"/>
  <c r="N44" i="6"/>
  <c r="K44" i="6"/>
  <c r="H98" i="6"/>
  <c r="I98" i="6" s="1"/>
  <c r="H86" i="6"/>
  <c r="I86" i="6" s="1"/>
  <c r="H30" i="2" s="1"/>
  <c r="H92" i="6"/>
  <c r="I92" i="6" s="1"/>
  <c r="H80" i="6"/>
  <c r="I80" i="6" s="1"/>
  <c r="H134" i="6"/>
  <c r="I134" i="6" s="1"/>
  <c r="H41" i="2" s="1"/>
  <c r="H128" i="6"/>
  <c r="I128" i="6" s="1"/>
  <c r="H40" i="2" s="1"/>
  <c r="H104" i="6"/>
  <c r="I104" i="6" s="1"/>
  <c r="H110" i="6"/>
  <c r="I110" i="6" s="1"/>
  <c r="H116" i="6"/>
  <c r="H122" i="6"/>
  <c r="I122" i="6" s="1"/>
  <c r="L68" i="6" l="1"/>
  <c r="O68" i="6"/>
  <c r="K68" i="6"/>
  <c r="N68" i="6"/>
  <c r="M68" i="6"/>
  <c r="M98" i="6"/>
  <c r="K98" i="6"/>
  <c r="O98" i="6"/>
  <c r="N98" i="6"/>
  <c r="L98" i="6"/>
  <c r="M50" i="6"/>
  <c r="K50" i="6"/>
  <c r="O50" i="6"/>
  <c r="N50" i="6"/>
  <c r="L50" i="6"/>
  <c r="O26" i="6"/>
  <c r="N26" i="6"/>
  <c r="L26" i="6"/>
  <c r="M26" i="6"/>
  <c r="K26" i="6"/>
  <c r="L86" i="6"/>
  <c r="K86" i="6"/>
  <c r="N86" i="6"/>
  <c r="M86" i="6"/>
  <c r="O86" i="6"/>
  <c r="M110" i="6"/>
  <c r="O110" i="6"/>
  <c r="L110" i="6"/>
  <c r="K110" i="6"/>
  <c r="N110" i="6"/>
  <c r="L74" i="6"/>
  <c r="K74" i="6"/>
  <c r="O74" i="6"/>
  <c r="N74" i="6"/>
  <c r="M74" i="6"/>
  <c r="O104" i="6"/>
  <c r="L104" i="6"/>
  <c r="N104" i="6"/>
  <c r="M104" i="6"/>
  <c r="K104" i="6"/>
  <c r="M20" i="6"/>
  <c r="N20" i="6"/>
  <c r="L20" i="6"/>
  <c r="K20" i="6"/>
  <c r="O20" i="6"/>
  <c r="O62" i="6"/>
  <c r="L62" i="6"/>
  <c r="N62" i="6"/>
  <c r="M62" i="6"/>
  <c r="K62" i="6"/>
  <c r="M92" i="6"/>
  <c r="K92" i="6"/>
  <c r="N92" i="6"/>
  <c r="L92" i="6"/>
  <c r="O92" i="6"/>
  <c r="O134" i="6"/>
  <c r="L134" i="6"/>
  <c r="N134" i="6"/>
  <c r="M134" i="6"/>
  <c r="K134" i="6"/>
  <c r="L128" i="6"/>
  <c r="K128" i="6"/>
  <c r="M128" i="6"/>
  <c r="O128" i="6"/>
  <c r="N128" i="6"/>
  <c r="N194" i="6"/>
  <c r="L194" i="6"/>
  <c r="K194" i="6"/>
  <c r="O194" i="6"/>
  <c r="N158" i="6"/>
  <c r="L158" i="6"/>
  <c r="K158" i="6"/>
  <c r="O158" i="6"/>
  <c r="N188" i="6"/>
  <c r="L188" i="6"/>
  <c r="K188" i="6"/>
  <c r="O188" i="6"/>
  <c r="N176" i="6"/>
  <c r="L176" i="6"/>
  <c r="K176" i="6"/>
  <c r="O176" i="6"/>
  <c r="N170" i="6"/>
  <c r="L170" i="6"/>
  <c r="K170" i="6"/>
  <c r="O170" i="6"/>
  <c r="N164" i="6"/>
  <c r="L164" i="6"/>
  <c r="K164" i="6"/>
  <c r="O164" i="6"/>
  <c r="N182" i="6"/>
  <c r="L182" i="6"/>
  <c r="K182" i="6"/>
  <c r="O182" i="6"/>
  <c r="E42" i="2"/>
  <c r="B41" i="9" s="1"/>
  <c r="B12" i="9" s="1"/>
  <c r="H32" i="2" l="1"/>
  <c r="H52" i="2" l="1"/>
  <c r="I52" i="2" s="1"/>
  <c r="H42" i="2"/>
  <c r="I42" i="2" s="1"/>
  <c r="F40" i="9"/>
  <c r="F11" i="9" s="1"/>
  <c r="I42" i="9" l="1"/>
  <c r="G42" i="9" s="1"/>
  <c r="G13" i="9" s="1"/>
  <c r="I13" i="9" s="1"/>
  <c r="AP53" i="2"/>
  <c r="AQ53" i="2"/>
  <c r="F42" i="9"/>
  <c r="F13" i="9" s="1"/>
  <c r="I41" i="9"/>
  <c r="G41" i="9" s="1"/>
  <c r="G12" i="9" s="1"/>
  <c r="I12" i="9" s="1"/>
  <c r="AQ43" i="2"/>
  <c r="AP43" i="2"/>
  <c r="F41" i="9"/>
  <c r="F12" i="9" s="1"/>
  <c r="N43" i="2"/>
  <c r="AH43" i="2"/>
  <c r="AF41" i="9" s="1"/>
  <c r="AF12" i="9" s="1"/>
  <c r="AT43" i="2"/>
  <c r="AP41" i="9" s="1"/>
  <c r="AP12" i="9" s="1"/>
  <c r="O43" i="2"/>
  <c r="M41" i="9" s="1"/>
  <c r="M12" i="9" s="1"/>
  <c r="AB43" i="2"/>
  <c r="Z41" i="9" s="1"/>
  <c r="Z12" i="9" s="1"/>
  <c r="L43" i="2"/>
  <c r="L41" i="9" s="1"/>
  <c r="L12" i="9" s="1"/>
  <c r="AM43" i="2"/>
  <c r="AK41" i="9" s="1"/>
  <c r="AK12" i="9" s="1"/>
  <c r="AL43" i="2"/>
  <c r="AJ41" i="9" s="1"/>
  <c r="AJ12" i="9" s="1"/>
  <c r="Y43" i="2"/>
  <c r="W41" i="9" s="1"/>
  <c r="W12" i="9" s="1"/>
  <c r="P43" i="2"/>
  <c r="N41" i="9" s="1"/>
  <c r="N12" i="9" s="1"/>
  <c r="AA43" i="2"/>
  <c r="Y41" i="9" s="1"/>
  <c r="Y12" i="9" s="1"/>
  <c r="X43" i="2"/>
  <c r="V41" i="9" s="1"/>
  <c r="V12" i="9" s="1"/>
  <c r="AI43" i="2"/>
  <c r="AG41" i="9" s="1"/>
  <c r="AG12" i="9" s="1"/>
  <c r="S43" i="2"/>
  <c r="Q41" i="9" s="1"/>
  <c r="Q12" i="9" s="1"/>
  <c r="Q43" i="2"/>
  <c r="O41" i="9" s="1"/>
  <c r="O12" i="9" s="1"/>
  <c r="AD43" i="2"/>
  <c r="AB41" i="9" s="1"/>
  <c r="AB12" i="9" s="1"/>
  <c r="U43" i="2"/>
  <c r="S41" i="9" s="1"/>
  <c r="S12" i="9" s="1"/>
  <c r="AJ43" i="2"/>
  <c r="AH41" i="9" s="1"/>
  <c r="AH12" i="9" s="1"/>
  <c r="V43" i="2"/>
  <c r="T41" i="9" s="1"/>
  <c r="T12" i="9" s="1"/>
  <c r="R43" i="2"/>
  <c r="P41" i="9" s="1"/>
  <c r="P12" i="9" s="1"/>
  <c r="AK43" i="2"/>
  <c r="AI41" i="9" s="1"/>
  <c r="AI12" i="9" s="1"/>
  <c r="AG43" i="2"/>
  <c r="AE41" i="9" s="1"/>
  <c r="AE12" i="9" s="1"/>
  <c r="AO43" i="2"/>
  <c r="AM41" i="9" s="1"/>
  <c r="AM12" i="9" s="1"/>
  <c r="Z43" i="2"/>
  <c r="X41" i="9" s="1"/>
  <c r="X12" i="9" s="1"/>
  <c r="AN43" i="2"/>
  <c r="AL41" i="9" s="1"/>
  <c r="AL12" i="9" s="1"/>
  <c r="AU43" i="2"/>
  <c r="AQ41" i="9" s="1"/>
  <c r="AQ12" i="9" s="1"/>
  <c r="M43" i="2"/>
  <c r="AR43" i="2"/>
  <c r="AN41" i="9" s="1"/>
  <c r="AN12" i="9" s="1"/>
  <c r="K43" i="2"/>
  <c r="K41" i="9" s="1"/>
  <c r="K12" i="9" s="1"/>
  <c r="AC43" i="2"/>
  <c r="AA41" i="9" s="1"/>
  <c r="AS43" i="2"/>
  <c r="AO41" i="9" s="1"/>
  <c r="AO12" i="9" s="1"/>
  <c r="AF43" i="2"/>
  <c r="AD41" i="9" s="1"/>
  <c r="AD12" i="9" s="1"/>
  <c r="W43" i="2"/>
  <c r="U41" i="9" s="1"/>
  <c r="U12" i="9" s="1"/>
  <c r="AE43" i="2"/>
  <c r="AC41" i="9" s="1"/>
  <c r="AC12" i="9" s="1"/>
  <c r="T43" i="2"/>
  <c r="R41" i="9" s="1"/>
  <c r="R12" i="9" s="1"/>
  <c r="AF53" i="2"/>
  <c r="AD42" i="9" s="1"/>
  <c r="AD13" i="9" s="1"/>
  <c r="W53" i="2"/>
  <c r="U42" i="9" s="1"/>
  <c r="U13" i="9" s="1"/>
  <c r="AT53" i="2"/>
  <c r="AP42" i="9" s="1"/>
  <c r="AP13" i="9" s="1"/>
  <c r="T53" i="2"/>
  <c r="R42" i="9" s="1"/>
  <c r="R13" i="9" s="1"/>
  <c r="AB53" i="2"/>
  <c r="Z42" i="9" s="1"/>
  <c r="Z13" i="9" s="1"/>
  <c r="AR53" i="2"/>
  <c r="AN42" i="9" s="1"/>
  <c r="AN13" i="9" s="1"/>
  <c r="AN53" i="2"/>
  <c r="AL42" i="9" s="1"/>
  <c r="AL13" i="9" s="1"/>
  <c r="U53" i="2"/>
  <c r="S42" i="9" s="1"/>
  <c r="S13" i="9" s="1"/>
  <c r="S53" i="2"/>
  <c r="Q42" i="9" s="1"/>
  <c r="Q13" i="9" s="1"/>
  <c r="AL53" i="2"/>
  <c r="AJ42" i="9" s="1"/>
  <c r="AJ13" i="9" s="1"/>
  <c r="M53" i="2"/>
  <c r="X53" i="2"/>
  <c r="V42" i="9" s="1"/>
  <c r="V13" i="9" s="1"/>
  <c r="O53" i="2"/>
  <c r="M42" i="9" s="1"/>
  <c r="M13" i="9" s="1"/>
  <c r="N53" i="2"/>
  <c r="AG53" i="2"/>
  <c r="AE42" i="9" s="1"/>
  <c r="AE13" i="9" s="1"/>
  <c r="Z53" i="2"/>
  <c r="X42" i="9" s="1"/>
  <c r="X13" i="9" s="1"/>
  <c r="AJ53" i="2"/>
  <c r="AH42" i="9" s="1"/>
  <c r="AH13" i="9" s="1"/>
  <c r="AS53" i="2"/>
  <c r="AO42" i="9" s="1"/>
  <c r="AO13" i="9" s="1"/>
  <c r="V53" i="2"/>
  <c r="T42" i="9" s="1"/>
  <c r="T13" i="9" s="1"/>
  <c r="P53" i="2"/>
  <c r="N42" i="9" s="1"/>
  <c r="N13" i="9" s="1"/>
  <c r="AE53" i="2"/>
  <c r="AC42" i="9" s="1"/>
  <c r="AC13" i="9" s="1"/>
  <c r="AK53" i="2"/>
  <c r="AI42" i="9" s="1"/>
  <c r="AI13" i="9" s="1"/>
  <c r="AH53" i="2"/>
  <c r="AF42" i="9" s="1"/>
  <c r="AF13" i="9" s="1"/>
  <c r="R53" i="2"/>
  <c r="P42" i="9" s="1"/>
  <c r="P13" i="9" s="1"/>
  <c r="AI53" i="2"/>
  <c r="AG42" i="9" s="1"/>
  <c r="AG13" i="9" s="1"/>
  <c r="L53" i="2"/>
  <c r="L42" i="9" s="1"/>
  <c r="L13" i="9" s="1"/>
  <c r="AM53" i="2"/>
  <c r="AK42" i="9" s="1"/>
  <c r="AK13" i="9" s="1"/>
  <c r="AC53" i="2"/>
  <c r="AA42" i="9" s="1"/>
  <c r="AA13" i="9" s="1"/>
  <c r="AU53" i="2"/>
  <c r="AQ42" i="9" s="1"/>
  <c r="AQ13" i="9" s="1"/>
  <c r="Y53" i="2"/>
  <c r="W42" i="9" s="1"/>
  <c r="W13" i="9" s="1"/>
  <c r="Q53" i="2"/>
  <c r="O42" i="9" s="1"/>
  <c r="O13" i="9" s="1"/>
  <c r="AA53" i="2"/>
  <c r="Y42" i="9" s="1"/>
  <c r="Y13" i="9" s="1"/>
  <c r="K53" i="2"/>
  <c r="K42" i="9" s="1"/>
  <c r="K13" i="9" s="1"/>
  <c r="AO53" i="2"/>
  <c r="AM42" i="9" s="1"/>
  <c r="AM13" i="9" s="1"/>
  <c r="AD53" i="2"/>
  <c r="AB42" i="9" s="1"/>
  <c r="AB13" i="9" s="1"/>
  <c r="H42" i="9" l="1"/>
  <c r="H13" i="9" s="1"/>
  <c r="H41" i="9"/>
  <c r="H12" i="9" s="1"/>
  <c r="AA12" i="9"/>
  <c r="E22" i="2"/>
  <c r="B39" i="9" s="1"/>
  <c r="B10" i="9" s="1"/>
  <c r="F22" i="2"/>
  <c r="C39" i="9" s="1"/>
  <c r="G22" i="2"/>
  <c r="D39" i="9" s="1"/>
  <c r="K22" i="2"/>
  <c r="L22" i="2"/>
  <c r="R22" i="2"/>
  <c r="W22" i="2"/>
  <c r="BE39" i="9" s="1"/>
  <c r="X22" i="2"/>
  <c r="BF39" i="9" s="1"/>
  <c r="AD22" i="2"/>
  <c r="BL39" i="9" s="1"/>
  <c r="AE22" i="2"/>
  <c r="BM39" i="9" s="1"/>
  <c r="AG22" i="2"/>
  <c r="BO39" i="9" s="1"/>
  <c r="AH22" i="2"/>
  <c r="BP39" i="9" s="1"/>
  <c r="AI22" i="2"/>
  <c r="BQ39" i="9" s="1"/>
  <c r="AJ22" i="2"/>
  <c r="BR39" i="9" s="1"/>
  <c r="AK22" i="2"/>
  <c r="BS39" i="9" s="1"/>
  <c r="AL22" i="2"/>
  <c r="BT39" i="9" s="1"/>
  <c r="AM22" i="2"/>
  <c r="BU39" i="9" s="1"/>
  <c r="AN22" i="2"/>
  <c r="BV39" i="9" s="1"/>
  <c r="AO22" i="2"/>
  <c r="BW39" i="9" s="1"/>
  <c r="AR22" i="2"/>
  <c r="BX39" i="9" s="1"/>
  <c r="AS22" i="2"/>
  <c r="BY39" i="9" s="1"/>
  <c r="AT22" i="2"/>
  <c r="BZ39" i="9" s="1"/>
  <c r="AU22" i="2"/>
  <c r="CA39" i="9" s="1"/>
  <c r="E32" i="2"/>
  <c r="F32" i="2"/>
  <c r="C40" i="9" s="1"/>
  <c r="C11" i="9" s="1"/>
  <c r="G32" i="2"/>
  <c r="D40" i="9" s="1"/>
  <c r="D11" i="9" s="1"/>
  <c r="B22" i="6"/>
  <c r="B28" i="6" s="1"/>
  <c r="B34" i="6" s="1"/>
  <c r="B40" i="6" s="1"/>
  <c r="B46" i="6" s="1"/>
  <c r="B52" i="6" s="1"/>
  <c r="B58" i="6" s="1"/>
  <c r="B64" i="6" s="1"/>
  <c r="B70" i="6" s="1"/>
  <c r="B76" i="6" s="1"/>
  <c r="B82" i="6" s="1"/>
  <c r="B88" i="6" s="1"/>
  <c r="B94" i="6" s="1"/>
  <c r="B100" i="6" s="1"/>
  <c r="B106" i="6" s="1"/>
  <c r="B112" i="6" s="1"/>
  <c r="B118" i="6" s="1"/>
  <c r="B124" i="6" s="1"/>
  <c r="B130" i="6" s="1"/>
  <c r="B136" i="6" s="1"/>
  <c r="B142" i="6" s="1"/>
  <c r="B148" i="6" s="1"/>
  <c r="B154" i="6" s="1"/>
  <c r="B160" i="6" s="1"/>
  <c r="B166" i="6" s="1"/>
  <c r="B172" i="6" s="1"/>
  <c r="B178" i="6" s="1"/>
  <c r="B184" i="6" s="1"/>
  <c r="B190" i="6" s="1"/>
  <c r="B196" i="6" s="1"/>
  <c r="B202" i="6" s="1"/>
  <c r="B208" i="6" s="1"/>
  <c r="B214" i="6" s="1"/>
  <c r="B220" i="6" s="1"/>
  <c r="B226" i="6" s="1"/>
  <c r="B232" i="6" s="1"/>
  <c r="B238" i="6" s="1"/>
  <c r="B244" i="6" s="1"/>
  <c r="B250" i="6" s="1"/>
  <c r="B256" i="6" s="1"/>
  <c r="A262" i="6" s="1"/>
  <c r="A268" i="6" s="1"/>
  <c r="A274" i="6" s="1"/>
  <c r="A280" i="6" s="1"/>
  <c r="A286" i="6" s="1"/>
  <c r="A292" i="6" s="1"/>
  <c r="A298" i="6" s="1"/>
  <c r="A304" i="6" s="1"/>
  <c r="A310" i="6" s="1"/>
  <c r="A316" i="6" s="1"/>
  <c r="A322" i="6" s="1"/>
  <c r="A328" i="6" s="1"/>
  <c r="A334" i="6" s="1"/>
  <c r="A340" i="6" s="1"/>
  <c r="A346" i="6" s="1"/>
  <c r="A352" i="6" s="1"/>
  <c r="A358" i="6" s="1"/>
  <c r="A364" i="6" s="1"/>
  <c r="A370" i="6" s="1"/>
  <c r="A376" i="6" s="1"/>
  <c r="A382" i="6" s="1"/>
  <c r="A388" i="6" s="1"/>
  <c r="A394" i="6" s="1"/>
  <c r="A400" i="6" s="1"/>
  <c r="A406" i="6" s="1"/>
  <c r="A412" i="6" s="1"/>
  <c r="A418" i="6" s="1"/>
  <c r="A424" i="6" s="1"/>
  <c r="A430" i="6" s="1"/>
  <c r="A436" i="6" s="1"/>
  <c r="A442" i="6" s="1"/>
  <c r="A448" i="6" s="1"/>
  <c r="A454" i="6" s="1"/>
  <c r="A460" i="6" s="1"/>
  <c r="A466" i="6" s="1"/>
  <c r="A472" i="6" s="1"/>
  <c r="A478" i="6" s="1"/>
  <c r="A484" i="6" s="1"/>
  <c r="A490" i="6" s="1"/>
  <c r="A496" i="6" s="1"/>
  <c r="A502" i="6" s="1"/>
  <c r="A508" i="6" s="1"/>
  <c r="A514" i="6" s="1"/>
  <c r="A520" i="6" s="1"/>
  <c r="A526" i="6" s="1"/>
  <c r="A532" i="6" s="1"/>
  <c r="A538" i="6" s="1"/>
  <c r="A544" i="6" s="1"/>
  <c r="A550" i="6" s="1"/>
  <c r="A556" i="6" s="1"/>
  <c r="A562" i="6" s="1"/>
  <c r="A568" i="6" s="1"/>
  <c r="A574" i="6" s="1"/>
  <c r="A580" i="6" s="1"/>
  <c r="A586" i="6" s="1"/>
  <c r="A592" i="6" s="1"/>
  <c r="A598" i="6" s="1"/>
  <c r="A604" i="6" s="1"/>
  <c r="A610" i="6" s="1"/>
  <c r="A616" i="6" s="1"/>
  <c r="A622" i="6" s="1"/>
  <c r="A628" i="6" s="1"/>
  <c r="A634" i="6" s="1"/>
  <c r="A640" i="6" s="1"/>
  <c r="A646" i="6" s="1"/>
  <c r="A652" i="6" s="1"/>
  <c r="A658" i="6" s="1"/>
  <c r="A664" i="6" s="1"/>
  <c r="A670" i="6" s="1"/>
  <c r="A676" i="6" s="1"/>
  <c r="A682" i="6" s="1"/>
  <c r="A688" i="6" s="1"/>
  <c r="A694" i="6" s="1"/>
  <c r="A700" i="6" s="1"/>
  <c r="A706" i="6" s="1"/>
  <c r="A712" i="6" s="1"/>
  <c r="A718" i="6" s="1"/>
  <c r="A724" i="6" s="1"/>
  <c r="A730" i="6" s="1"/>
  <c r="A736" i="6" s="1"/>
  <c r="A742" i="6" s="1"/>
  <c r="A748" i="6" s="1"/>
  <c r="A754" i="6" s="1"/>
  <c r="A760" i="6" s="1"/>
  <c r="A766" i="6" s="1"/>
  <c r="A772" i="6" s="1"/>
  <c r="A778" i="6" s="1"/>
  <c r="A784" i="6" s="1"/>
  <c r="A790" i="6" s="1"/>
  <c r="A796" i="6" s="1"/>
  <c r="A802" i="6" s="1"/>
  <c r="A808" i="6" s="1"/>
  <c r="A814" i="6" s="1"/>
  <c r="A820" i="6" s="1"/>
  <c r="A826" i="6" s="1"/>
  <c r="A832" i="6" s="1"/>
  <c r="A838" i="6" s="1"/>
  <c r="A844" i="6" s="1"/>
  <c r="A850" i="6" s="1"/>
  <c r="A856" i="6" s="1"/>
  <c r="A862" i="6" s="1"/>
  <c r="A868" i="6" s="1"/>
  <c r="A874" i="6" s="1"/>
  <c r="A880" i="6" s="1"/>
  <c r="A886" i="6" s="1"/>
  <c r="A892" i="6" s="1"/>
  <c r="A898" i="6" s="1"/>
  <c r="A904" i="6" s="1"/>
  <c r="A910" i="6" s="1"/>
  <c r="A916" i="6" s="1"/>
  <c r="A922" i="6" s="1"/>
  <c r="A928" i="6" s="1"/>
  <c r="A934" i="6" s="1"/>
  <c r="A940" i="6" s="1"/>
  <c r="A946" i="6" s="1"/>
  <c r="A952" i="6" s="1"/>
  <c r="A958" i="6" s="1"/>
  <c r="A964" i="6" s="1"/>
  <c r="A970" i="6" s="1"/>
  <c r="A976" i="6" s="1"/>
  <c r="A982" i="6" s="1"/>
  <c r="A988" i="6" s="1"/>
  <c r="A994" i="6" s="1"/>
  <c r="A1000" i="6" s="1"/>
  <c r="A1006" i="6" s="1"/>
  <c r="A1012" i="6" s="1"/>
  <c r="A1018" i="6" s="1"/>
  <c r="A1024" i="6" s="1"/>
  <c r="A1030" i="6" s="1"/>
  <c r="A1036" i="6" s="1"/>
  <c r="A1042" i="6" s="1"/>
  <c r="A1048" i="6" s="1"/>
  <c r="A1054" i="6" s="1"/>
  <c r="A1060" i="6" s="1"/>
  <c r="A1066" i="6" s="1"/>
  <c r="A1072" i="6" s="1"/>
  <c r="A1078" i="6" s="1"/>
  <c r="A1084" i="6" s="1"/>
  <c r="A1090" i="6" s="1"/>
  <c r="A1096" i="6" s="1"/>
  <c r="A1102" i="6" s="1"/>
  <c r="A1108" i="6" s="1"/>
  <c r="A1114" i="6" s="1"/>
  <c r="A1120" i="6" s="1"/>
  <c r="A1126" i="6" s="1"/>
  <c r="A1132" i="6" s="1"/>
  <c r="A1138" i="6" s="1"/>
  <c r="A1144" i="6" s="1"/>
  <c r="A1150" i="6" s="1"/>
  <c r="A1156" i="6" s="1"/>
  <c r="A1162" i="6" s="1"/>
  <c r="A1168" i="6" s="1"/>
  <c r="A1174" i="6" s="1"/>
  <c r="A1180" i="6" s="1"/>
  <c r="A1186" i="6" s="1"/>
  <c r="A1192" i="6" s="1"/>
  <c r="A1198" i="6" s="1"/>
  <c r="A1204" i="6" s="1"/>
  <c r="A1210" i="6" s="1"/>
  <c r="A1216" i="6" s="1"/>
  <c r="A1222" i="6" s="1"/>
  <c r="A1228" i="6" s="1"/>
  <c r="A1234" i="6" s="1"/>
  <c r="A1240" i="6" s="1"/>
  <c r="A1246" i="6" s="1"/>
  <c r="A1252" i="6" s="1"/>
  <c r="A1258" i="6" s="1"/>
  <c r="A1264" i="6" s="1"/>
  <c r="A1270" i="6" s="1"/>
  <c r="A1276" i="6" s="1"/>
  <c r="A1282" i="6" s="1"/>
  <c r="A1288" i="6" s="1"/>
  <c r="A1294" i="6" s="1"/>
  <c r="A1300" i="6" s="1"/>
  <c r="A1306" i="6" s="1"/>
  <c r="A1312" i="6" s="1"/>
  <c r="A1318" i="6" s="1"/>
  <c r="A1324" i="6" s="1"/>
  <c r="A1330" i="6" s="1"/>
  <c r="A1336" i="6" s="1"/>
  <c r="A1342" i="6" s="1"/>
  <c r="A1348" i="6" s="1"/>
  <c r="A1354" i="6" s="1"/>
  <c r="A1360" i="6" s="1"/>
  <c r="A1366" i="6" s="1"/>
  <c r="A1372" i="6" s="1"/>
  <c r="A1378" i="6" s="1"/>
  <c r="A1384" i="6" s="1"/>
  <c r="A1390" i="6" s="1"/>
  <c r="A1396" i="6" s="1"/>
  <c r="A1402" i="6" s="1"/>
  <c r="A1408" i="6" s="1"/>
  <c r="A1414" i="6" s="1"/>
  <c r="A1420" i="6" s="1"/>
  <c r="A1426" i="6" s="1"/>
  <c r="A1432" i="6" s="1"/>
  <c r="A1438" i="6" s="1"/>
  <c r="A1444" i="6" s="1"/>
  <c r="A1450" i="6" s="1"/>
  <c r="A1456" i="6" s="1"/>
  <c r="A1462" i="6" s="1"/>
  <c r="M4" i="1"/>
  <c r="M5" i="1"/>
  <c r="M6" i="1"/>
  <c r="M7" i="1"/>
  <c r="M8" i="1"/>
  <c r="M9" i="1"/>
  <c r="M10" i="1"/>
  <c r="M12" i="1"/>
  <c r="M13" i="1"/>
  <c r="M14" i="1"/>
  <c r="M15" i="1"/>
  <c r="M16" i="1"/>
  <c r="M17" i="1"/>
  <c r="G5" i="1"/>
  <c r="H5" i="1" s="1"/>
  <c r="B6" i="1" s="1"/>
  <c r="C6" i="1" s="1"/>
  <c r="D6" i="1" s="1"/>
  <c r="E6" i="1" s="1"/>
  <c r="F6" i="1" s="1"/>
  <c r="G6" i="1" s="1"/>
  <c r="H6" i="1" s="1"/>
  <c r="B7" i="1" s="1"/>
  <c r="C7" i="1" s="1"/>
  <c r="D7" i="1" s="1"/>
  <c r="E7" i="1" s="1"/>
  <c r="F7" i="1" s="1"/>
  <c r="G7" i="1" s="1"/>
  <c r="H7" i="1" s="1"/>
  <c r="B8" i="1" s="1"/>
  <c r="C8" i="1" s="1"/>
  <c r="D8" i="1" s="1"/>
  <c r="E8" i="1" s="1"/>
  <c r="F8" i="1" s="1"/>
  <c r="G8" i="1" s="1"/>
  <c r="H8" i="1" s="1"/>
  <c r="B9" i="1" s="1"/>
  <c r="C9" i="1" s="1"/>
  <c r="D9" i="1" s="1"/>
  <c r="E9" i="1" s="1"/>
  <c r="F9" i="1" s="1"/>
  <c r="G9" i="1" s="1"/>
  <c r="H9" i="1" s="1"/>
  <c r="B40" i="9" l="1"/>
  <c r="B61" i="9" s="1"/>
  <c r="BZ61" i="9"/>
  <c r="BZ10" i="9"/>
  <c r="BZ32" i="9" s="1"/>
  <c r="BR10" i="9"/>
  <c r="BR32" i="9" s="1"/>
  <c r="BR61" i="9"/>
  <c r="BM61" i="9"/>
  <c r="BM10" i="9"/>
  <c r="BM32" i="9" s="1"/>
  <c r="C10" i="9"/>
  <c r="C32" i="9" s="1"/>
  <c r="C61" i="9"/>
  <c r="BY61" i="9"/>
  <c r="BY10" i="9"/>
  <c r="BY32" i="9" s="1"/>
  <c r="BQ61" i="9"/>
  <c r="BQ10" i="9"/>
  <c r="BQ32" i="9" s="1"/>
  <c r="BX61" i="9"/>
  <c r="BX10" i="9"/>
  <c r="BX32" i="9" s="1"/>
  <c r="BT61" i="9"/>
  <c r="BT10" i="9"/>
  <c r="BT32" i="9" s="1"/>
  <c r="BP61" i="9"/>
  <c r="BP10" i="9"/>
  <c r="BP32" i="9" s="1"/>
  <c r="AS61" i="9"/>
  <c r="AS10" i="9"/>
  <c r="AS32" i="9" s="1"/>
  <c r="CA61" i="9"/>
  <c r="CA10" i="9"/>
  <c r="CA32" i="9" s="1"/>
  <c r="BW10" i="9"/>
  <c r="BW32" i="9" s="1"/>
  <c r="BW61" i="9"/>
  <c r="BS61" i="9"/>
  <c r="BS10" i="9"/>
  <c r="BS32" i="9" s="1"/>
  <c r="BO61" i="9"/>
  <c r="BO10" i="9"/>
  <c r="BO32" i="9" s="1"/>
  <c r="BE61" i="9"/>
  <c r="BE10" i="9"/>
  <c r="BE32" i="9" s="1"/>
  <c r="D61" i="9"/>
  <c r="D10" i="9"/>
  <c r="D32" i="9" s="1"/>
  <c r="BV61" i="9"/>
  <c r="BV10" i="9"/>
  <c r="BV32" i="9" s="1"/>
  <c r="AZ61" i="9"/>
  <c r="AZ10" i="9"/>
  <c r="AZ32" i="9" s="1"/>
  <c r="BU61" i="9"/>
  <c r="BU10" i="9"/>
  <c r="BU32" i="9" s="1"/>
  <c r="BL61" i="9"/>
  <c r="BL10" i="9"/>
  <c r="BL32" i="9" s="1"/>
  <c r="AT10" i="9"/>
  <c r="AT32" i="9" s="1"/>
  <c r="AT61" i="9"/>
  <c r="BF61" i="9"/>
  <c r="BF10" i="9"/>
  <c r="BF32" i="9" s="1"/>
  <c r="AB68" i="9"/>
  <c r="K68" i="9"/>
  <c r="Y68" i="9"/>
  <c r="AO68" i="9"/>
  <c r="V68" i="9"/>
  <c r="AL68" i="9"/>
  <c r="O68" i="9"/>
  <c r="AE68" i="9"/>
  <c r="AF68" i="9"/>
  <c r="M68" i="9"/>
  <c r="AC68" i="9"/>
  <c r="L68" i="9"/>
  <c r="Z68" i="9"/>
  <c r="AP68" i="9"/>
  <c r="S68" i="9"/>
  <c r="AI68" i="9"/>
  <c r="P68" i="9"/>
  <c r="AJ68" i="9"/>
  <c r="Q68" i="9"/>
  <c r="AG68" i="9"/>
  <c r="N68" i="9"/>
  <c r="AD68" i="9"/>
  <c r="T68" i="9"/>
  <c r="W68" i="9"/>
  <c r="AM68" i="9"/>
  <c r="X68" i="9"/>
  <c r="AN68" i="9"/>
  <c r="U68" i="9"/>
  <c r="AK68" i="9"/>
  <c r="R68" i="9"/>
  <c r="AH68" i="9"/>
  <c r="AA68" i="9"/>
  <c r="AQ68" i="9"/>
  <c r="B11" i="9" l="1"/>
  <c r="B32" i="9" s="1"/>
  <c r="AK40" i="9"/>
  <c r="AK11" i="9" s="1"/>
  <c r="V40" i="9"/>
  <c r="V11" i="9" s="1"/>
  <c r="AF40" i="9"/>
  <c r="AF11" i="9" s="1"/>
  <c r="AQ40" i="9"/>
  <c r="AQ11" i="9" s="1"/>
  <c r="Y40" i="9"/>
  <c r="Y11" i="9" s="1"/>
  <c r="U40" i="9"/>
  <c r="U11" i="9" s="1"/>
  <c r="R40" i="9"/>
  <c r="R11" i="9" s="1"/>
  <c r="AH40" i="9"/>
  <c r="AH11" i="9" s="1"/>
  <c r="AM40" i="9"/>
  <c r="AM11" i="9" s="1"/>
  <c r="AI40" i="9"/>
  <c r="AI11" i="9" s="1"/>
  <c r="W40" i="9"/>
  <c r="W11" i="9" s="1"/>
  <c r="AG40" i="9"/>
  <c r="AG11" i="9" s="1"/>
  <c r="AL40" i="9"/>
  <c r="AL11" i="9" s="1"/>
  <c r="T40" i="9"/>
  <c r="T11" i="9" s="1"/>
  <c r="AD40" i="9"/>
  <c r="AD11" i="9" s="1"/>
  <c r="Z40" i="9"/>
  <c r="Z11" i="9" s="1"/>
  <c r="N40" i="9"/>
  <c r="N11" i="9" s="1"/>
  <c r="X40" i="9"/>
  <c r="X11" i="9" s="1"/>
  <c r="AN40" i="9"/>
  <c r="AN11" i="9" s="1"/>
  <c r="AE40" i="9"/>
  <c r="AE11" i="9" s="1"/>
  <c r="L40" i="9"/>
  <c r="L11" i="9" s="1"/>
  <c r="M40" i="9"/>
  <c r="M11" i="9" s="1"/>
  <c r="I40" i="9"/>
  <c r="Q40" i="9"/>
  <c r="Q11" i="9" s="1"/>
  <c r="K40" i="9"/>
  <c r="K11" i="9" s="1"/>
  <c r="AO40" i="9"/>
  <c r="AO11" i="9" s="1"/>
  <c r="S40" i="9"/>
  <c r="S11" i="9" s="1"/>
  <c r="AC40" i="9"/>
  <c r="AC11" i="9" s="1"/>
  <c r="AA40" i="9"/>
  <c r="AA11" i="9" s="1"/>
  <c r="AB40" i="9"/>
  <c r="AB11" i="9" s="1"/>
  <c r="AJ40" i="9"/>
  <c r="AJ11" i="9" s="1"/>
  <c r="P40" i="9"/>
  <c r="P11" i="9" s="1"/>
  <c r="O40" i="9"/>
  <c r="O11" i="9" s="1"/>
  <c r="AP40" i="9"/>
  <c r="AP11" i="9" s="1"/>
  <c r="AQ90" i="9"/>
  <c r="X90" i="9"/>
  <c r="AJ90" i="9"/>
  <c r="W90" i="9"/>
  <c r="AA90" i="9"/>
  <c r="AH90" i="9"/>
  <c r="AK90" i="9"/>
  <c r="AN90" i="9"/>
  <c r="AM90" i="9"/>
  <c r="T90" i="9"/>
  <c r="N90" i="9"/>
  <c r="Q90" i="9"/>
  <c r="P90" i="9"/>
  <c r="Z90" i="9"/>
  <c r="AC90" i="9"/>
  <c r="AF90" i="9"/>
  <c r="AE90" i="9"/>
  <c r="AL90" i="9"/>
  <c r="AO90" i="9"/>
  <c r="K90" i="9"/>
  <c r="S90" i="9"/>
  <c r="U90" i="9"/>
  <c r="AD90" i="9"/>
  <c r="AI90" i="9"/>
  <c r="AP90" i="9"/>
  <c r="L90" i="9"/>
  <c r="M90" i="9"/>
  <c r="O90" i="9"/>
  <c r="V90" i="9"/>
  <c r="AB90" i="9"/>
  <c r="AG90" i="9"/>
  <c r="R90" i="9"/>
  <c r="Y90" i="9"/>
  <c r="H22" i="2"/>
  <c r="H11" i="9" l="1"/>
  <c r="G11" i="9"/>
  <c r="I11" i="9" s="1"/>
  <c r="F39" i="9"/>
  <c r="F10" i="9" s="1"/>
  <c r="I22" i="2"/>
  <c r="I39" i="9" s="1"/>
  <c r="F32" i="9" l="1"/>
  <c r="F61" i="9"/>
  <c r="H39" i="9"/>
  <c r="G39" i="9"/>
  <c r="AU23" i="2"/>
  <c r="AQ39" i="9" s="1"/>
  <c r="AO23" i="2"/>
  <c r="AM39" i="9" s="1"/>
  <c r="AK23" i="2"/>
  <c r="AI39" i="9" s="1"/>
  <c r="AG23" i="2"/>
  <c r="AE39" i="9" s="1"/>
  <c r="AC23" i="2"/>
  <c r="AA39" i="9" s="1"/>
  <c r="Y23" i="2"/>
  <c r="W39" i="9" s="1"/>
  <c r="AL23" i="2"/>
  <c r="AJ39" i="9" s="1"/>
  <c r="AT23" i="2"/>
  <c r="AP39" i="9" s="1"/>
  <c r="AN23" i="2"/>
  <c r="AL39" i="9" s="1"/>
  <c r="AJ23" i="2"/>
  <c r="AH39" i="9" s="1"/>
  <c r="AF23" i="2"/>
  <c r="AD39" i="9" s="1"/>
  <c r="AS23" i="2"/>
  <c r="AO39" i="9" s="1"/>
  <c r="AM23" i="2"/>
  <c r="AK39" i="9" s="1"/>
  <c r="AI23" i="2"/>
  <c r="AG39" i="9" s="1"/>
  <c r="AE23" i="2"/>
  <c r="AC39" i="9" s="1"/>
  <c r="AR23" i="2"/>
  <c r="AN39" i="9" s="1"/>
  <c r="AH23" i="2"/>
  <c r="AF39" i="9" s="1"/>
  <c r="AD23" i="2"/>
  <c r="AB39" i="9" s="1"/>
  <c r="Z23" i="2"/>
  <c r="X39" i="9" s="1"/>
  <c r="O23" i="2"/>
  <c r="M39" i="9" s="1"/>
  <c r="T23" i="2"/>
  <c r="R39" i="9" s="1"/>
  <c r="U23" i="2"/>
  <c r="S39" i="9" s="1"/>
  <c r="AA23" i="2"/>
  <c r="Y39" i="9" s="1"/>
  <c r="P23" i="2"/>
  <c r="N39" i="9" s="1"/>
  <c r="Q23" i="2"/>
  <c r="O39" i="9" s="1"/>
  <c r="M23" i="2"/>
  <c r="N23" i="2"/>
  <c r="AB23" i="2"/>
  <c r="Z39" i="9" s="1"/>
  <c r="S23" i="2"/>
  <c r="Q39" i="9" s="1"/>
  <c r="V23" i="2"/>
  <c r="T39" i="9" s="1"/>
  <c r="X23" i="2"/>
  <c r="V39" i="9" s="1"/>
  <c r="R23" i="2"/>
  <c r="P39" i="9" s="1"/>
  <c r="K23" i="2"/>
  <c r="K39" i="9" s="1"/>
  <c r="W23" i="2"/>
  <c r="U39" i="9" s="1"/>
  <c r="L23" i="2"/>
  <c r="L39" i="9" s="1"/>
  <c r="K61" i="9" l="1"/>
  <c r="K10" i="9"/>
  <c r="K32" i="9" s="1"/>
  <c r="Q61" i="9"/>
  <c r="Q10" i="9"/>
  <c r="Q32" i="9" s="1"/>
  <c r="O61" i="9"/>
  <c r="O10" i="9"/>
  <c r="O32" i="9" s="1"/>
  <c r="R61" i="9"/>
  <c r="R10" i="9"/>
  <c r="R32" i="9" s="1"/>
  <c r="AF61" i="9"/>
  <c r="AF10" i="9"/>
  <c r="AF32" i="9" s="1"/>
  <c r="AK61" i="9"/>
  <c r="AK10" i="9"/>
  <c r="AK32" i="9" s="1"/>
  <c r="AL61" i="9"/>
  <c r="AL10" i="9"/>
  <c r="AL32" i="9" s="1"/>
  <c r="AQ61" i="9"/>
  <c r="AQ10" i="9"/>
  <c r="AQ32" i="9" s="1"/>
  <c r="P61" i="9"/>
  <c r="P10" i="9"/>
  <c r="P32" i="9" s="1"/>
  <c r="Z61" i="9"/>
  <c r="Z10" i="9"/>
  <c r="Z32" i="9" s="1"/>
  <c r="N61" i="9"/>
  <c r="N10" i="9"/>
  <c r="N32" i="9" s="1"/>
  <c r="M61" i="9"/>
  <c r="M10" i="9"/>
  <c r="M32" i="9" s="1"/>
  <c r="AN61" i="9"/>
  <c r="AN10" i="9"/>
  <c r="AN32" i="9" s="1"/>
  <c r="AO61" i="9"/>
  <c r="AO10" i="9"/>
  <c r="AO32" i="9" s="1"/>
  <c r="AP61" i="9"/>
  <c r="AP10" i="9"/>
  <c r="AP32" i="9" s="1"/>
  <c r="AE61" i="9"/>
  <c r="AE10" i="9"/>
  <c r="AE32" i="9" s="1"/>
  <c r="L61" i="9"/>
  <c r="L10" i="9"/>
  <c r="L32" i="9" s="1"/>
  <c r="V61" i="9"/>
  <c r="V10" i="9"/>
  <c r="V32" i="9" s="1"/>
  <c r="Y61" i="9"/>
  <c r="Y10" i="9"/>
  <c r="Y32" i="9" s="1"/>
  <c r="X61" i="9"/>
  <c r="X10" i="9"/>
  <c r="X32" i="9" s="1"/>
  <c r="AC61" i="9"/>
  <c r="AC10" i="9"/>
  <c r="AC32" i="9" s="1"/>
  <c r="AD61" i="9"/>
  <c r="AD10" i="9"/>
  <c r="AD32" i="9" s="1"/>
  <c r="AJ61" i="9"/>
  <c r="AJ10" i="9"/>
  <c r="AJ32" i="9" s="1"/>
  <c r="AI61" i="9"/>
  <c r="AI10" i="9"/>
  <c r="AI32" i="9" s="1"/>
  <c r="U61" i="9"/>
  <c r="U10" i="9"/>
  <c r="U32" i="9" s="1"/>
  <c r="T61" i="9"/>
  <c r="T10" i="9"/>
  <c r="T32" i="9" s="1"/>
  <c r="S61" i="9"/>
  <c r="S10" i="9"/>
  <c r="S32" i="9" s="1"/>
  <c r="AB61" i="9"/>
  <c r="AB10" i="9"/>
  <c r="AB32" i="9" s="1"/>
  <c r="AG61" i="9"/>
  <c r="AG10" i="9"/>
  <c r="AG32" i="9" s="1"/>
  <c r="AH61" i="9"/>
  <c r="AH10" i="9"/>
  <c r="AH32" i="9" s="1"/>
  <c r="W61" i="9"/>
  <c r="W10" i="9"/>
  <c r="W32" i="9" s="1"/>
  <c r="AM61" i="9"/>
  <c r="AM10" i="9"/>
  <c r="AM32" i="9" s="1"/>
  <c r="AA61" i="9"/>
  <c r="AA10" i="9"/>
  <c r="AA32" i="9" s="1"/>
  <c r="G10" i="9"/>
  <c r="G61" i="9"/>
  <c r="I61" i="9" s="1"/>
  <c r="H10" i="9"/>
  <c r="H32" i="9" s="1"/>
  <c r="H61" i="9"/>
  <c r="M33" i="9" l="1"/>
  <c r="K33" i="9"/>
  <c r="I10" i="9"/>
  <c r="G32" i="9"/>
  <c r="I32" i="9" s="1"/>
  <c r="R33" i="9" l="1"/>
</calcChain>
</file>

<file path=xl/sharedStrings.xml><?xml version="1.0" encoding="utf-8"?>
<sst xmlns="http://schemas.openxmlformats.org/spreadsheetml/2006/main" count="3800" uniqueCount="181">
  <si>
    <t>Sun</t>
  </si>
  <si>
    <t>Mon</t>
  </si>
  <si>
    <t>Tue</t>
  </si>
  <si>
    <t>Wed</t>
  </si>
  <si>
    <t>Thu</t>
  </si>
  <si>
    <t>Fri</t>
  </si>
  <si>
    <t>Sat</t>
  </si>
  <si>
    <t>Adult</t>
  </si>
  <si>
    <t>Jack</t>
  </si>
  <si>
    <t>Wild</t>
  </si>
  <si>
    <t>Kept</t>
  </si>
  <si>
    <t>Rel</t>
  </si>
  <si>
    <t>Steelhead</t>
  </si>
  <si>
    <t>______________________________________________________________________________________________________________________________________________________________________________________________________________</t>
  </si>
  <si>
    <t>Trailers</t>
  </si>
  <si>
    <t>Peak hour</t>
  </si>
  <si>
    <t>Hour</t>
  </si>
  <si>
    <t>Total</t>
  </si>
  <si>
    <t>Date</t>
  </si>
  <si>
    <t xml:space="preserve">  Ramp</t>
  </si>
  <si>
    <t>counted</t>
  </si>
  <si>
    <t>expansion</t>
  </si>
  <si>
    <t>(exp)</t>
  </si>
  <si>
    <t>Boats</t>
  </si>
  <si>
    <t>Thur</t>
  </si>
  <si>
    <t>Tues</t>
  </si>
  <si>
    <t>Sample</t>
  </si>
  <si>
    <t>Salmon</t>
  </si>
  <si>
    <t>Other</t>
  </si>
  <si>
    <t>Interviews</t>
  </si>
  <si>
    <t>Anglers</t>
  </si>
  <si>
    <t>Pole</t>
  </si>
  <si>
    <t>Hours</t>
  </si>
  <si>
    <t>(#)</t>
  </si>
  <si>
    <t>Estimated</t>
  </si>
  <si>
    <t>Total boats</t>
  </si>
  <si>
    <t>Rate</t>
  </si>
  <si>
    <t>Legal</t>
  </si>
  <si>
    <t>Over</t>
  </si>
  <si>
    <t>Bass</t>
  </si>
  <si>
    <t>Walleye</t>
  </si>
  <si>
    <t>Index</t>
  </si>
  <si>
    <t>CPUE</t>
  </si>
  <si>
    <t>Effort</t>
  </si>
  <si>
    <t>Catch &amp; Harvest</t>
  </si>
  <si>
    <t>Shad</t>
  </si>
  <si>
    <t>Target</t>
  </si>
  <si>
    <t>Boat</t>
  </si>
  <si>
    <t>NPM</t>
  </si>
  <si>
    <t>Sub</t>
  </si>
  <si>
    <t>Sampled</t>
  </si>
  <si>
    <t>Harvest</t>
  </si>
  <si>
    <t>Count</t>
  </si>
  <si>
    <t>% Sal</t>
  </si>
  <si>
    <t>%Oth</t>
  </si>
  <si>
    <t>Day</t>
  </si>
  <si>
    <t>Light</t>
  </si>
  <si>
    <t>Pole Hours</t>
  </si>
  <si>
    <t>Bank Angler Harvest Estimates</t>
  </si>
  <si>
    <t>White Sturgeon</t>
  </si>
  <si>
    <t>C. Catfish</t>
  </si>
  <si>
    <t>YP</t>
  </si>
  <si>
    <t>Unk</t>
  </si>
  <si>
    <t>&lt;79</t>
  </si>
  <si>
    <t>&gt;78</t>
  </si>
  <si>
    <t>Coho</t>
  </si>
  <si>
    <t>Chinook</t>
  </si>
  <si>
    <t>AD</t>
  </si>
  <si>
    <t>Catch &amp; Release</t>
  </si>
  <si>
    <t>NM</t>
  </si>
  <si>
    <t>C &amp; R</t>
  </si>
  <si>
    <t>Days</t>
  </si>
  <si>
    <t>OR</t>
  </si>
  <si>
    <t>WA</t>
  </si>
  <si>
    <t>Bank &amp; Boat Combined</t>
  </si>
  <si>
    <t>Boat Fishery</t>
  </si>
  <si>
    <t>Bank Fishery</t>
  </si>
  <si>
    <t>%</t>
  </si>
  <si>
    <t>Boats (Total)</t>
  </si>
  <si>
    <t>Boats (exp.)</t>
  </si>
  <si>
    <t>Area Expansion Factor</t>
  </si>
  <si>
    <t>( D )</t>
  </si>
  <si>
    <t>Expansion of the peak boat count to the day's total boat trips</t>
  </si>
  <si>
    <t>Expansion of the peak trailer count to the peak boat count for the river from McNary Dam to Hwy 395</t>
  </si>
  <si>
    <t>Expansion converting trailer counts to daily peak trailer counts</t>
  </si>
  <si>
    <t>Peak Hour Expansion</t>
  </si>
  <si>
    <t>Rec</t>
  </si>
  <si>
    <t>Sal/StHd</t>
  </si>
  <si>
    <t>Expansion</t>
  </si>
  <si>
    <t>Trout</t>
  </si>
  <si>
    <t>Expanded</t>
  </si>
  <si>
    <t>% Salmon</t>
  </si>
  <si>
    <t>Hours per Fish</t>
  </si>
  <si>
    <t>≥78</t>
  </si>
  <si>
    <t>&lt;78</t>
  </si>
  <si>
    <t>* Fishery closed Oct 21, reopened Nov 5</t>
  </si>
  <si>
    <t>Sucker</t>
  </si>
  <si>
    <t>\</t>
  </si>
  <si>
    <t>Hatch</t>
  </si>
  <si>
    <t>% Hatch</t>
  </si>
  <si>
    <t>duck</t>
  </si>
  <si>
    <t>January</t>
  </si>
  <si>
    <t>February</t>
  </si>
  <si>
    <t>Season</t>
  </si>
  <si>
    <t>March</t>
  </si>
  <si>
    <t>Survey_Date</t>
  </si>
  <si>
    <t>Return_Yr</t>
  </si>
  <si>
    <t>GEAR_TYPE_LUT_Id</t>
  </si>
  <si>
    <t>STREAM_LUT_Id</t>
  </si>
  <si>
    <t>POINT_LOCATIONS_LUT_Id</t>
  </si>
  <si>
    <t>POINT_LOCATIONS_Description</t>
  </si>
  <si>
    <t>STREAM_REACH_Id</t>
  </si>
  <si>
    <t>Samplers_Txt</t>
  </si>
  <si>
    <t>HeaderComments</t>
  </si>
  <si>
    <t>Disposition</t>
  </si>
  <si>
    <t>Scale_Card_Num_Txt</t>
  </si>
  <si>
    <t>Position_Pos</t>
  </si>
  <si>
    <t>Scale_Card_Front_Autonumber_Serial</t>
  </si>
  <si>
    <t>SPECIES_Id</t>
  </si>
  <si>
    <t>RUN_LUT_Id</t>
  </si>
  <si>
    <t>TAG_TYPE_SAMPLE_LUT_Id</t>
  </si>
  <si>
    <t>FISH_STATUS_LUT_Id</t>
  </si>
  <si>
    <t>Sample_Rate_Num</t>
  </si>
  <si>
    <t>CWT_Sample_Size_Qty</t>
  </si>
  <si>
    <t>Plus_Count_Qty</t>
  </si>
  <si>
    <t>Number_CWT_Qty</t>
  </si>
  <si>
    <t>ScaleCardComments</t>
  </si>
  <si>
    <t>Scale_Age_Code</t>
  </si>
  <si>
    <t>Fork_Length_Meas</t>
  </si>
  <si>
    <t>POHP</t>
  </si>
  <si>
    <t>CWT_Tag_Code</t>
  </si>
  <si>
    <t>CWT_Age_Code</t>
  </si>
  <si>
    <t>CWT_Status_Code</t>
  </si>
  <si>
    <t>SEX_TYPE_LUT_Id</t>
  </si>
  <si>
    <t>MARK_TYPE_LUT_Id</t>
  </si>
  <si>
    <t>SAMPLE_TYPE_CATEGORY_LUT_Id</t>
  </si>
  <si>
    <t>Snout_Collection_Identification_Code</t>
  </si>
  <si>
    <t>FISH_REPRODUCTIVE_CONDITION_TYPE_LUT_Id</t>
  </si>
  <si>
    <t>Otolith_Sample_Code</t>
  </si>
  <si>
    <t>Otolith_Age_Code</t>
  </si>
  <si>
    <t>OTOLITH_ORIGIN_TYPE_LUT_Id</t>
  </si>
  <si>
    <t>Total_Fecundity</t>
  </si>
  <si>
    <t>Fecundity_EggsSampled</t>
  </si>
  <si>
    <t>Fecundity_SampleEggWeight</t>
  </si>
  <si>
    <t>Fecundity_TotalEggWeight</t>
  </si>
  <si>
    <t>+1</t>
  </si>
  <si>
    <t>+2</t>
  </si>
  <si>
    <t>+0</t>
  </si>
  <si>
    <t>September</t>
  </si>
  <si>
    <t>October</t>
  </si>
  <si>
    <t>Sept</t>
  </si>
  <si>
    <t>2024 McNary Reservoir Harvest Model</t>
  </si>
  <si>
    <t>Monday</t>
  </si>
  <si>
    <t>Aug 1-4</t>
  </si>
  <si>
    <t>Aug 5-11</t>
  </si>
  <si>
    <t>Aug 12-18</t>
  </si>
  <si>
    <t>Aug 19-25</t>
  </si>
  <si>
    <t>Aug 26-Sept 1</t>
  </si>
  <si>
    <t>Sept 2-8</t>
  </si>
  <si>
    <t>Sept 9-15</t>
  </si>
  <si>
    <t>Sept 23-29</t>
  </si>
  <si>
    <t>Sept 30-Oct 6</t>
  </si>
  <si>
    <t>Oct 7-13</t>
  </si>
  <si>
    <t>Oct 14-20</t>
  </si>
  <si>
    <t>Oct 21-27</t>
  </si>
  <si>
    <t>Oct 28-Nov 3</t>
  </si>
  <si>
    <t>Nov 4-10</t>
  </si>
  <si>
    <t>Nov 11-17</t>
  </si>
  <si>
    <t>Nov 18-24</t>
  </si>
  <si>
    <t>Nov 25-Dec 1</t>
  </si>
  <si>
    <t>Dec 2-31</t>
  </si>
  <si>
    <t>Estimated Steelhead Harvest in the McNary Reservoir, September 1 - Oct 31, 2024</t>
  </si>
  <si>
    <t>Sept 16-22</t>
  </si>
  <si>
    <t>Oct 7- 13</t>
  </si>
  <si>
    <t>October 14-20</t>
  </si>
  <si>
    <t>October 21-27</t>
  </si>
  <si>
    <t>Oct 28- Nov 3</t>
  </si>
  <si>
    <t>Nov 4- 10</t>
  </si>
  <si>
    <t>Nov 18- 24</t>
  </si>
  <si>
    <t>Nov 25 Dec 1</t>
  </si>
  <si>
    <t>Estimated Sport Harvest in the McNary Reservoir, December 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</si>
</sst>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m/d"/>
    <numFmt numFmtId="165" formatCode="0.0"/>
    <numFmt numFmtId="166" formatCode="0.000"/>
    <numFmt numFmtId="167" formatCode="0.0000"/>
    <numFmt numFmtId="168" formatCode="0.0%"/>
    <numFmt numFmtId="169" formatCode="mmm\ d"/>
    <numFmt numFmtId="170" formatCode="mmm\ dd"/>
    <numFmt numFmtId="171" formatCode="#,##0.000"/>
    <numFmt numFmtId="172" formatCode="#,##0.0"/>
  </numFmts>
  <fonts count="10" x14ac:knownFonts="1">
    <font>
      <sz val="12"/>
      <name val="Times New Roman"/>
    </font>
    <font>
      <b/>
      <sz val="12"/>
      <name val="Times New Roman"/>
      <family val="1"/>
    </font>
    <font>
      <b/>
      <sz val="10"/>
      <name val="MS Sans Serif"/>
      <family val="2"/>
    </font>
    <font>
      <b/>
      <sz val="10"/>
      <name val="Arial"/>
      <family val="2"/>
    </font>
    <font>
      <b/>
      <sz val="14"/>
      <name val="Times New Roman"/>
      <family val="1"/>
    </font>
    <font>
      <b/>
      <sz val="10"/>
      <color indexed="10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9"/>
      </patternFill>
    </fill>
    <fill>
      <patternFill patternType="solid">
        <fgColor rgb="FF00FFFF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44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167" fontId="6" fillId="0" borderId="0" xfId="0" applyNumberFormat="1" applyFont="1"/>
    <xf numFmtId="0" fontId="0" fillId="0" borderId="9" xfId="0" applyBorder="1"/>
    <xf numFmtId="2" fontId="0" fillId="0" borderId="0" xfId="0" applyNumberFormat="1"/>
    <xf numFmtId="165" fontId="0" fillId="0" borderId="0" xfId="0" applyNumberFormat="1"/>
    <xf numFmtId="165" fontId="0" fillId="0" borderId="9" xfId="0" applyNumberFormat="1" applyBorder="1"/>
    <xf numFmtId="0" fontId="6" fillId="0" borderId="4" xfId="0" applyFont="1" applyBorder="1" applyAlignment="1">
      <alignment horizontal="center"/>
    </xf>
    <xf numFmtId="0" fontId="6" fillId="0" borderId="10" xfId="0" applyFont="1" applyBorder="1"/>
    <xf numFmtId="0" fontId="7" fillId="0" borderId="0" xfId="0" applyFont="1"/>
    <xf numFmtId="0" fontId="7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165" fontId="7" fillId="0" borderId="0" xfId="0" applyNumberFormat="1" applyFont="1"/>
    <xf numFmtId="0" fontId="0" fillId="0" borderId="3" xfId="0" applyBorder="1" applyAlignment="1">
      <alignment horizontal="center"/>
    </xf>
    <xf numFmtId="169" fontId="1" fillId="0" borderId="0" xfId="0" applyNumberFormat="1" applyFont="1" applyAlignment="1">
      <alignment horizontal="left"/>
    </xf>
    <xf numFmtId="0" fontId="1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0" fontId="7" fillId="0" borderId="13" xfId="0" applyFont="1" applyBorder="1"/>
    <xf numFmtId="166" fontId="7" fillId="0" borderId="0" xfId="0" applyNumberFormat="1" applyFont="1"/>
    <xf numFmtId="1" fontId="0" fillId="0" borderId="8" xfId="0" applyNumberFormat="1" applyBorder="1"/>
    <xf numFmtId="0" fontId="1" fillId="0" borderId="0" xfId="0" applyFont="1" applyAlignment="1">
      <alignment horizontal="center"/>
    </xf>
    <xf numFmtId="0" fontId="0" fillId="0" borderId="17" xfId="0" applyBorder="1"/>
    <xf numFmtId="0" fontId="0" fillId="0" borderId="18" xfId="0" applyBorder="1"/>
    <xf numFmtId="0" fontId="7" fillId="0" borderId="9" xfId="0" applyFont="1" applyBorder="1"/>
    <xf numFmtId="0" fontId="7" fillId="0" borderId="27" xfId="0" applyFont="1" applyBorder="1"/>
    <xf numFmtId="1" fontId="7" fillId="0" borderId="0" xfId="0" applyNumberFormat="1" applyFont="1"/>
    <xf numFmtId="1" fontId="7" fillId="0" borderId="13" xfId="0" applyNumberFormat="1" applyFont="1" applyBorder="1"/>
    <xf numFmtId="0" fontId="7" fillId="0" borderId="23" xfId="0" applyFont="1" applyBorder="1"/>
    <xf numFmtId="165" fontId="7" fillId="0" borderId="9" xfId="0" applyNumberFormat="1" applyFont="1" applyBorder="1"/>
    <xf numFmtId="168" fontId="7" fillId="0" borderId="36" xfId="0" applyNumberFormat="1" applyFont="1" applyBorder="1"/>
    <xf numFmtId="3" fontId="7" fillId="0" borderId="12" xfId="0" applyNumberFormat="1" applyFont="1" applyBorder="1"/>
    <xf numFmtId="0" fontId="1" fillId="0" borderId="1" xfId="0" applyFont="1" applyBorder="1" applyAlignment="1">
      <alignment horizontal="center"/>
    </xf>
    <xf numFmtId="2" fontId="0" fillId="0" borderId="6" xfId="0" applyNumberFormat="1" applyBorder="1"/>
    <xf numFmtId="165" fontId="0" fillId="0" borderId="6" xfId="0" applyNumberFormat="1" applyBorder="1"/>
    <xf numFmtId="0" fontId="7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0" fontId="6" fillId="0" borderId="13" xfId="0" applyFont="1" applyBorder="1" applyAlignment="1">
      <alignment horizontal="center"/>
    </xf>
    <xf numFmtId="0" fontId="7" fillId="0" borderId="12" xfId="0" applyFont="1" applyBorder="1"/>
    <xf numFmtId="0" fontId="7" fillId="0" borderId="12" xfId="0" quotePrefix="1" applyFont="1" applyBorder="1"/>
    <xf numFmtId="0" fontId="0" fillId="0" borderId="25" xfId="0" applyBorder="1"/>
    <xf numFmtId="168" fontId="1" fillId="0" borderId="37" xfId="0" applyNumberFormat="1" applyFont="1" applyBorder="1"/>
    <xf numFmtId="0" fontId="7" fillId="0" borderId="6" xfId="0" applyFont="1" applyBorder="1"/>
    <xf numFmtId="0" fontId="7" fillId="0" borderId="4" xfId="0" applyFont="1" applyBorder="1"/>
    <xf numFmtId="0" fontId="7" fillId="0" borderId="5" xfId="0" applyFont="1" applyBorder="1"/>
    <xf numFmtId="0" fontId="1" fillId="0" borderId="0" xfId="0" applyFont="1" applyAlignment="1">
      <alignment horizontal="left"/>
    </xf>
    <xf numFmtId="0" fontId="7" fillId="0" borderId="4" xfId="0" quotePrefix="1" applyFont="1" applyBorder="1"/>
    <xf numFmtId="1" fontId="7" fillId="0" borderId="6" xfId="0" applyNumberFormat="1" applyFont="1" applyBorder="1"/>
    <xf numFmtId="0" fontId="1" fillId="0" borderId="45" xfId="0" applyFont="1" applyBorder="1" applyAlignment="1">
      <alignment horizontal="left"/>
    </xf>
    <xf numFmtId="165" fontId="0" fillId="0" borderId="8" xfId="0" applyNumberFormat="1" applyBorder="1"/>
    <xf numFmtId="1" fontId="1" fillId="0" borderId="9" xfId="0" applyNumberFormat="1" applyFont="1" applyBorder="1"/>
    <xf numFmtId="1" fontId="1" fillId="0" borderId="24" xfId="0" applyNumberFormat="1" applyFont="1" applyBorder="1"/>
    <xf numFmtId="0" fontId="0" fillId="0" borderId="0" xfId="0" applyAlignment="1">
      <alignment horizontal="left"/>
    </xf>
    <xf numFmtId="1" fontId="1" fillId="0" borderId="23" xfId="0" applyNumberFormat="1" applyFont="1" applyBorder="1"/>
    <xf numFmtId="0" fontId="0" fillId="0" borderId="9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6" xfId="0" applyBorder="1"/>
    <xf numFmtId="0" fontId="0" fillId="0" borderId="11" xfId="0" applyBorder="1"/>
    <xf numFmtId="165" fontId="0" fillId="0" borderId="40" xfId="0" applyNumberFormat="1" applyBorder="1"/>
    <xf numFmtId="3" fontId="7" fillId="0" borderId="59" xfId="0" applyNumberFormat="1" applyFont="1" applyBorder="1"/>
    <xf numFmtId="1" fontId="7" fillId="0" borderId="58" xfId="0" applyNumberFormat="1" applyFont="1" applyBorder="1"/>
    <xf numFmtId="1" fontId="7" fillId="0" borderId="61" xfId="0" applyNumberFormat="1" applyFont="1" applyBorder="1"/>
    <xf numFmtId="16" fontId="1" fillId="0" borderId="0" xfId="0" quotePrefix="1" applyNumberFormat="1" applyFont="1" applyAlignment="1">
      <alignment horizontal="center"/>
    </xf>
    <xf numFmtId="0" fontId="1" fillId="3" borderId="0" xfId="0" applyFont="1" applyFill="1" applyAlignment="1">
      <alignment horizontal="center"/>
    </xf>
    <xf numFmtId="0" fontId="7" fillId="0" borderId="10" xfId="0" applyFont="1" applyBorder="1" applyAlignment="1">
      <alignment horizontal="center"/>
    </xf>
    <xf numFmtId="0" fontId="0" fillId="0" borderId="4" xfId="0" applyBorder="1"/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0" fillId="0" borderId="58" xfId="0" applyNumberFormat="1" applyBorder="1"/>
    <xf numFmtId="0" fontId="0" fillId="0" borderId="62" xfId="0" applyBorder="1"/>
    <xf numFmtId="0" fontId="7" fillId="0" borderId="18" xfId="0" applyFont="1" applyBorder="1"/>
    <xf numFmtId="0" fontId="0" fillId="0" borderId="30" xfId="0" applyBorder="1"/>
    <xf numFmtId="0" fontId="0" fillId="0" borderId="14" xfId="0" applyBorder="1"/>
    <xf numFmtId="0" fontId="0" fillId="0" borderId="19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/>
    <xf numFmtId="0" fontId="6" fillId="0" borderId="27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1" fontId="7" fillId="0" borderId="17" xfId="0" applyNumberFormat="1" applyFont="1" applyBorder="1"/>
    <xf numFmtId="1" fontId="7" fillId="0" borderId="56" xfId="0" applyNumberFormat="1" applyFont="1" applyBorder="1"/>
    <xf numFmtId="0" fontId="6" fillId="0" borderId="19" xfId="0" applyFont="1" applyBorder="1" applyAlignment="1">
      <alignment horizontal="center"/>
    </xf>
    <xf numFmtId="0" fontId="7" fillId="0" borderId="36" xfId="0" applyFont="1" applyBorder="1"/>
    <xf numFmtId="0" fontId="7" fillId="0" borderId="59" xfId="0" quotePrefix="1" applyFont="1" applyBorder="1"/>
    <xf numFmtId="0" fontId="7" fillId="0" borderId="59" xfId="0" applyFont="1" applyBorder="1"/>
    <xf numFmtId="0" fontId="1" fillId="0" borderId="39" xfId="0" applyFont="1" applyBorder="1"/>
    <xf numFmtId="0" fontId="7" fillId="0" borderId="60" xfId="0" applyFont="1" applyBorder="1"/>
    <xf numFmtId="0" fontId="7" fillId="0" borderId="32" xfId="0" applyFont="1" applyBorder="1"/>
    <xf numFmtId="0" fontId="7" fillId="0" borderId="63" xfId="0" applyFont="1" applyBorder="1"/>
    <xf numFmtId="0" fontId="6" fillId="0" borderId="31" xfId="0" applyFont="1" applyBorder="1" applyAlignment="1">
      <alignment horizontal="center"/>
    </xf>
    <xf numFmtId="0" fontId="0" fillId="0" borderId="15" xfId="0" applyBorder="1" applyAlignment="1">
      <alignment horizontal="center"/>
    </xf>
    <xf numFmtId="1" fontId="7" fillId="0" borderId="33" xfId="0" applyNumberFormat="1" applyFont="1" applyBorder="1"/>
    <xf numFmtId="1" fontId="7" fillId="0" borderId="42" xfId="0" applyNumberFormat="1" applyFont="1" applyBorder="1"/>
    <xf numFmtId="3" fontId="7" fillId="0" borderId="4" xfId="0" applyNumberFormat="1" applyFont="1" applyBorder="1"/>
    <xf numFmtId="0" fontId="0" fillId="0" borderId="5" xfId="0" applyBorder="1"/>
    <xf numFmtId="0" fontId="0" fillId="0" borderId="23" xfId="0" applyBorder="1"/>
    <xf numFmtId="0" fontId="6" fillId="0" borderId="26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165" fontId="7" fillId="0" borderId="7" xfId="0" applyNumberFormat="1" applyFont="1" applyBorder="1"/>
    <xf numFmtId="0" fontId="6" fillId="0" borderId="63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7" fillId="0" borderId="14" xfId="0" applyFont="1" applyBorder="1"/>
    <xf numFmtId="0" fontId="1" fillId="0" borderId="28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left"/>
    </xf>
    <xf numFmtId="0" fontId="7" fillId="0" borderId="46" xfId="0" applyFont="1" applyBorder="1" applyAlignment="1">
      <alignment horizontal="center"/>
    </xf>
    <xf numFmtId="169" fontId="7" fillId="0" borderId="17" xfId="0" applyNumberFormat="1" applyFont="1" applyBorder="1" applyAlignment="1">
      <alignment horizontal="left"/>
    </xf>
    <xf numFmtId="165" fontId="7" fillId="0" borderId="14" xfId="0" applyNumberFormat="1" applyFont="1" applyBorder="1"/>
    <xf numFmtId="165" fontId="7" fillId="0" borderId="36" xfId="0" applyNumberFormat="1" applyFont="1" applyBorder="1"/>
    <xf numFmtId="169" fontId="7" fillId="0" borderId="57" xfId="0" applyNumberFormat="1" applyFont="1" applyBorder="1" applyAlignment="1">
      <alignment horizontal="left"/>
    </xf>
    <xf numFmtId="165" fontId="7" fillId="0" borderId="60" xfId="0" applyNumberFormat="1" applyFont="1" applyBorder="1"/>
    <xf numFmtId="164" fontId="1" fillId="0" borderId="23" xfId="0" applyNumberFormat="1" applyFont="1" applyBorder="1" applyAlignment="1">
      <alignment horizontal="left"/>
    </xf>
    <xf numFmtId="0" fontId="1" fillId="0" borderId="39" xfId="0" quotePrefix="1" applyFont="1" applyBorder="1"/>
    <xf numFmtId="165" fontId="1" fillId="0" borderId="37" xfId="0" applyNumberFormat="1" applyFont="1" applyBorder="1"/>
    <xf numFmtId="0" fontId="7" fillId="0" borderId="20" xfId="0" applyFont="1" applyBorder="1"/>
    <xf numFmtId="0" fontId="7" fillId="0" borderId="21" xfId="0" applyFont="1" applyBorder="1"/>
    <xf numFmtId="0" fontId="7" fillId="0" borderId="22" xfId="0" applyFont="1" applyBorder="1"/>
    <xf numFmtId="166" fontId="7" fillId="0" borderId="17" xfId="0" applyNumberFormat="1" applyFont="1" applyBorder="1"/>
    <xf numFmtId="166" fontId="7" fillId="0" borderId="13" xfId="0" applyNumberFormat="1" applyFont="1" applyBorder="1"/>
    <xf numFmtId="166" fontId="7" fillId="0" borderId="56" xfId="0" applyNumberFormat="1" applyFont="1" applyBorder="1"/>
    <xf numFmtId="166" fontId="7" fillId="0" borderId="58" xfId="0" applyNumberFormat="1" applyFont="1" applyBorder="1"/>
    <xf numFmtId="166" fontId="7" fillId="0" borderId="61" xfId="0" applyNumberFormat="1" applyFont="1" applyBorder="1"/>
    <xf numFmtId="166" fontId="1" fillId="0" borderId="23" xfId="0" applyNumberFormat="1" applyFont="1" applyBorder="1"/>
    <xf numFmtId="166" fontId="1" fillId="0" borderId="9" xfId="0" applyNumberFormat="1" applyFont="1" applyBorder="1"/>
    <xf numFmtId="166" fontId="1" fillId="0" borderId="24" xfId="0" applyNumberFormat="1" applyFont="1" applyBorder="1"/>
    <xf numFmtId="165" fontId="1" fillId="0" borderId="0" xfId="0" applyNumberFormat="1" applyFont="1"/>
    <xf numFmtId="165" fontId="1" fillId="0" borderId="0" xfId="0" applyNumberFormat="1" applyFont="1" applyAlignment="1">
      <alignment horizontal="center"/>
    </xf>
    <xf numFmtId="0" fontId="1" fillId="0" borderId="17" xfId="0" applyFont="1" applyBorder="1" applyAlignment="1">
      <alignment horizontal="center"/>
    </xf>
    <xf numFmtId="165" fontId="1" fillId="0" borderId="13" xfId="0" applyNumberFormat="1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168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65" fontId="7" fillId="0" borderId="13" xfId="0" applyNumberFormat="1" applyFont="1" applyBorder="1" applyAlignment="1">
      <alignment horizontal="center"/>
    </xf>
    <xf numFmtId="169" fontId="7" fillId="0" borderId="45" xfId="0" applyNumberFormat="1" applyFont="1" applyBorder="1" applyAlignment="1">
      <alignment horizontal="left"/>
    </xf>
    <xf numFmtId="0" fontId="7" fillId="0" borderId="32" xfId="0" quotePrefix="1" applyFont="1" applyBorder="1"/>
    <xf numFmtId="165" fontId="7" fillId="0" borderId="63" xfId="0" applyNumberFormat="1" applyFont="1" applyBorder="1"/>
    <xf numFmtId="1" fontId="7" fillId="0" borderId="18" xfId="0" applyNumberFormat="1" applyFont="1" applyBorder="1"/>
    <xf numFmtId="1" fontId="7" fillId="0" borderId="27" xfId="0" applyNumberFormat="1" applyFont="1" applyBorder="1"/>
    <xf numFmtId="1" fontId="7" fillId="0" borderId="31" xfId="0" applyNumberFormat="1" applyFont="1" applyBorder="1"/>
    <xf numFmtId="164" fontId="1" fillId="0" borderId="0" xfId="0" applyNumberFormat="1" applyFont="1" applyAlignment="1">
      <alignment horizontal="left"/>
    </xf>
    <xf numFmtId="0" fontId="1" fillId="0" borderId="0" xfId="0" quotePrefix="1" applyFont="1"/>
    <xf numFmtId="168" fontId="1" fillId="0" borderId="0" xfId="0" applyNumberFormat="1" applyFont="1"/>
    <xf numFmtId="1" fontId="1" fillId="0" borderId="20" xfId="0" applyNumberFormat="1" applyFont="1" applyBorder="1"/>
    <xf numFmtId="1" fontId="1" fillId="0" borderId="21" xfId="0" applyNumberFormat="1" applyFont="1" applyBorder="1"/>
    <xf numFmtId="1" fontId="1" fillId="0" borderId="22" xfId="0" applyNumberFormat="1" applyFont="1" applyBorder="1"/>
    <xf numFmtId="1" fontId="7" fillId="0" borderId="23" xfId="0" applyNumberFormat="1" applyFont="1" applyBorder="1"/>
    <xf numFmtId="1" fontId="7" fillId="0" borderId="9" xfId="0" applyNumberFormat="1" applyFont="1" applyBorder="1"/>
    <xf numFmtId="1" fontId="7" fillId="0" borderId="24" xfId="0" applyNumberFormat="1" applyFont="1" applyBorder="1"/>
    <xf numFmtId="165" fontId="1" fillId="0" borderId="27" xfId="0" applyNumberFormat="1" applyFont="1" applyBorder="1" applyAlignment="1">
      <alignment horizontal="center"/>
    </xf>
    <xf numFmtId="165" fontId="1" fillId="0" borderId="24" xfId="0" applyNumberFormat="1" applyFont="1" applyBorder="1" applyAlignment="1">
      <alignment horizontal="center"/>
    </xf>
    <xf numFmtId="0" fontId="7" fillId="0" borderId="56" xfId="0" applyFont="1" applyBorder="1" applyAlignment="1">
      <alignment horizontal="center"/>
    </xf>
    <xf numFmtId="0" fontId="7" fillId="0" borderId="58" xfId="0" applyFont="1" applyBorder="1" applyAlignment="1">
      <alignment horizontal="center"/>
    </xf>
    <xf numFmtId="168" fontId="7" fillId="0" borderId="58" xfId="0" applyNumberFormat="1" applyFont="1" applyBorder="1" applyAlignment="1">
      <alignment horizontal="center"/>
    </xf>
    <xf numFmtId="165" fontId="7" fillId="0" borderId="58" xfId="0" applyNumberFormat="1" applyFont="1" applyBorder="1" applyAlignment="1">
      <alignment horizontal="center"/>
    </xf>
    <xf numFmtId="165" fontId="7" fillId="0" borderId="61" xfId="0" applyNumberFormat="1" applyFont="1" applyBorder="1" applyAlignment="1">
      <alignment horizontal="center"/>
    </xf>
    <xf numFmtId="169" fontId="0" fillId="0" borderId="18" xfId="0" applyNumberFormat="1" applyBorder="1" applyAlignment="1">
      <alignment horizontal="left"/>
    </xf>
    <xf numFmtId="169" fontId="0" fillId="0" borderId="17" xfId="0" applyNumberFormat="1" applyBorder="1" applyAlignment="1">
      <alignment horizontal="left"/>
    </xf>
    <xf numFmtId="0" fontId="1" fillId="0" borderId="64" xfId="0" applyFont="1" applyBorder="1"/>
    <xf numFmtId="0" fontId="7" fillId="0" borderId="18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168" fontId="7" fillId="0" borderId="27" xfId="0" applyNumberFormat="1" applyFont="1" applyBorder="1" applyAlignment="1">
      <alignment horizontal="center"/>
    </xf>
    <xf numFmtId="165" fontId="7" fillId="0" borderId="27" xfId="0" applyNumberFormat="1" applyFont="1" applyBorder="1" applyAlignment="1">
      <alignment horizontal="center"/>
    </xf>
    <xf numFmtId="165" fontId="7" fillId="0" borderId="31" xfId="0" applyNumberFormat="1" applyFont="1" applyBorder="1" applyAlignment="1">
      <alignment horizontal="center"/>
    </xf>
    <xf numFmtId="165" fontId="7" fillId="0" borderId="65" xfId="0" applyNumberFormat="1" applyFont="1" applyBorder="1"/>
    <xf numFmtId="165" fontId="7" fillId="0" borderId="65" xfId="0" applyNumberFormat="1" applyFont="1" applyBorder="1" applyAlignment="1">
      <alignment horizontal="center"/>
    </xf>
    <xf numFmtId="166" fontId="7" fillId="0" borderId="18" xfId="0" applyNumberFormat="1" applyFont="1" applyBorder="1"/>
    <xf numFmtId="166" fontId="7" fillId="0" borderId="27" xfId="0" applyNumberFormat="1" applyFont="1" applyBorder="1"/>
    <xf numFmtId="166" fontId="7" fillId="0" borderId="31" xfId="0" applyNumberFormat="1" applyFont="1" applyBorder="1"/>
    <xf numFmtId="0" fontId="6" fillId="0" borderId="40" xfId="0" applyFont="1" applyBorder="1" applyAlignment="1">
      <alignment horizontal="center"/>
    </xf>
    <xf numFmtId="0" fontId="6" fillId="0" borderId="51" xfId="0" applyFont="1" applyBorder="1" applyAlignment="1">
      <alignment horizontal="left"/>
    </xf>
    <xf numFmtId="0" fontId="0" fillId="0" borderId="24" xfId="0" applyBorder="1"/>
    <xf numFmtId="169" fontId="7" fillId="0" borderId="56" xfId="0" applyNumberFormat="1" applyFont="1" applyBorder="1" applyAlignment="1">
      <alignment horizontal="left"/>
    </xf>
    <xf numFmtId="0" fontId="0" fillId="0" borderId="11" xfId="0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6" fillId="0" borderId="10" xfId="0" applyFont="1" applyBorder="1" applyAlignment="1">
      <alignment horizontal="center"/>
    </xf>
    <xf numFmtId="168" fontId="7" fillId="0" borderId="14" xfId="0" applyNumberFormat="1" applyFont="1" applyBorder="1"/>
    <xf numFmtId="168" fontId="0" fillId="0" borderId="24" xfId="0" applyNumberFormat="1" applyBorder="1"/>
    <xf numFmtId="3" fontId="7" fillId="0" borderId="28" xfId="0" applyNumberFormat="1" applyFont="1" applyBorder="1"/>
    <xf numFmtId="3" fontId="7" fillId="0" borderId="26" xfId="0" applyNumberFormat="1" applyFont="1" applyBorder="1"/>
    <xf numFmtId="3" fontId="7" fillId="0" borderId="57" xfId="0" applyNumberFormat="1" applyFont="1" applyBorder="1"/>
    <xf numFmtId="3" fontId="7" fillId="0" borderId="62" xfId="0" applyNumberFormat="1" applyFont="1" applyBorder="1"/>
    <xf numFmtId="3" fontId="0" fillId="0" borderId="23" xfId="0" applyNumberFormat="1" applyBorder="1"/>
    <xf numFmtId="3" fontId="0" fillId="0" borderId="9" xfId="0" applyNumberFormat="1" applyBorder="1"/>
    <xf numFmtId="3" fontId="7" fillId="0" borderId="4" xfId="0" quotePrefix="1" applyNumberFormat="1" applyFont="1" applyBorder="1"/>
    <xf numFmtId="3" fontId="7" fillId="0" borderId="12" xfId="0" quotePrefix="1" applyNumberFormat="1" applyFont="1" applyBorder="1"/>
    <xf numFmtId="3" fontId="7" fillId="0" borderId="59" xfId="0" quotePrefix="1" applyNumberFormat="1" applyFont="1" applyBorder="1"/>
    <xf numFmtId="0" fontId="0" fillId="0" borderId="6" xfId="0" applyBorder="1" applyAlignment="1">
      <alignment horizontal="center"/>
    </xf>
    <xf numFmtId="0" fontId="0" fillId="0" borderId="41" xfId="0" applyBorder="1"/>
    <xf numFmtId="0" fontId="0" fillId="0" borderId="66" xfId="0" applyBorder="1"/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171" fontId="6" fillId="0" borderId="0" xfId="0" applyNumberFormat="1" applyFont="1"/>
    <xf numFmtId="165" fontId="1" fillId="5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165" fontId="1" fillId="0" borderId="1" xfId="0" applyNumberFormat="1" applyFont="1" applyBorder="1" applyAlignment="1">
      <alignment horizontal="center"/>
    </xf>
    <xf numFmtId="3" fontId="1" fillId="0" borderId="23" xfId="0" applyNumberFormat="1" applyFont="1" applyBorder="1"/>
    <xf numFmtId="3" fontId="1" fillId="0" borderId="9" xfId="0" applyNumberFormat="1" applyFont="1" applyBorder="1"/>
    <xf numFmtId="3" fontId="1" fillId="0" borderId="24" xfId="0" applyNumberFormat="1" applyFont="1" applyBorder="1"/>
    <xf numFmtId="3" fontId="1" fillId="0" borderId="38" xfId="0" applyNumberFormat="1" applyFont="1" applyBorder="1"/>
    <xf numFmtId="0" fontId="0" fillId="2" borderId="1" xfId="0" quotePrefix="1" applyFill="1" applyBorder="1" applyAlignment="1">
      <alignment horizontal="center"/>
    </xf>
    <xf numFmtId="2" fontId="0" fillId="0" borderId="8" xfId="0" applyNumberFormat="1" applyBorder="1"/>
    <xf numFmtId="0" fontId="0" fillId="0" borderId="58" xfId="0" applyBorder="1"/>
    <xf numFmtId="2" fontId="0" fillId="0" borderId="58" xfId="0" applyNumberFormat="1" applyBorder="1"/>
    <xf numFmtId="0" fontId="0" fillId="0" borderId="68" xfId="0" applyBorder="1"/>
    <xf numFmtId="0" fontId="7" fillId="0" borderId="6" xfId="0" applyFont="1" applyBorder="1" applyAlignment="1">
      <alignment horizontal="center"/>
    </xf>
    <xf numFmtId="9" fontId="0" fillId="0" borderId="6" xfId="0" applyNumberFormat="1" applyBorder="1"/>
    <xf numFmtId="9" fontId="0" fillId="0" borderId="0" xfId="0" applyNumberFormat="1"/>
    <xf numFmtId="0" fontId="0" fillId="0" borderId="21" xfId="0" applyBorder="1"/>
    <xf numFmtId="0" fontId="0" fillId="0" borderId="22" xfId="0" applyBorder="1"/>
    <xf numFmtId="3" fontId="0" fillId="0" borderId="0" xfId="0" applyNumberFormat="1"/>
    <xf numFmtId="172" fontId="1" fillId="0" borderId="0" xfId="0" applyNumberFormat="1" applyFont="1"/>
    <xf numFmtId="0" fontId="8" fillId="0" borderId="0" xfId="0" applyFont="1"/>
    <xf numFmtId="0" fontId="1" fillId="5" borderId="0" xfId="0" applyFont="1" applyFill="1" applyAlignment="1">
      <alignment horizontal="center"/>
    </xf>
    <xf numFmtId="165" fontId="1" fillId="5" borderId="24" xfId="0" applyNumberFormat="1" applyFont="1" applyFill="1" applyBorder="1" applyAlignment="1">
      <alignment horizontal="center"/>
    </xf>
    <xf numFmtId="0" fontId="0" fillId="0" borderId="13" xfId="0" applyBorder="1"/>
    <xf numFmtId="3" fontId="1" fillId="0" borderId="13" xfId="0" applyNumberFormat="1" applyFont="1" applyBorder="1"/>
    <xf numFmtId="168" fontId="0" fillId="0" borderId="0" xfId="0" applyNumberFormat="1"/>
    <xf numFmtId="169" fontId="7" fillId="0" borderId="28" xfId="0" applyNumberFormat="1" applyFont="1" applyBorder="1" applyAlignment="1">
      <alignment horizontal="left"/>
    </xf>
    <xf numFmtId="165" fontId="0" fillId="2" borderId="40" xfId="0" applyNumberFormat="1" applyFill="1" applyBorder="1"/>
    <xf numFmtId="166" fontId="7" fillId="2" borderId="17" xfId="0" applyNumberFormat="1" applyFont="1" applyFill="1" applyBorder="1"/>
    <xf numFmtId="166" fontId="7" fillId="2" borderId="0" xfId="0" applyNumberFormat="1" applyFont="1" applyFill="1"/>
    <xf numFmtId="166" fontId="7" fillId="2" borderId="13" xfId="0" applyNumberFormat="1" applyFont="1" applyFill="1" applyBorder="1"/>
    <xf numFmtId="0" fontId="1" fillId="0" borderId="23" xfId="0" applyFont="1" applyBorder="1"/>
    <xf numFmtId="0" fontId="1" fillId="0" borderId="24" xfId="0" applyFont="1" applyBorder="1"/>
    <xf numFmtId="168" fontId="1" fillId="0" borderId="24" xfId="0" applyNumberFormat="1" applyFont="1" applyBorder="1"/>
    <xf numFmtId="1" fontId="7" fillId="0" borderId="7" xfId="0" applyNumberFormat="1" applyFont="1" applyBorder="1"/>
    <xf numFmtId="1" fontId="7" fillId="0" borderId="68" xfId="0" applyNumberFormat="1" applyFont="1" applyBorder="1"/>
    <xf numFmtId="3" fontId="1" fillId="0" borderId="66" xfId="0" applyNumberFormat="1" applyFont="1" applyBorder="1"/>
    <xf numFmtId="168" fontId="7" fillId="0" borderId="60" xfId="0" applyNumberFormat="1" applyFont="1" applyBorder="1"/>
    <xf numFmtId="3" fontId="1" fillId="0" borderId="39" xfId="0" applyNumberFormat="1" applyFont="1" applyBorder="1"/>
    <xf numFmtId="0" fontId="0" fillId="3" borderId="0" xfId="0" applyFill="1"/>
    <xf numFmtId="165" fontId="7" fillId="3" borderId="0" xfId="0" quotePrefix="1" applyNumberFormat="1" applyFont="1" applyFill="1" applyAlignment="1">
      <alignment horizontal="center"/>
    </xf>
    <xf numFmtId="169" fontId="7" fillId="0" borderId="4" xfId="0" applyNumberFormat="1" applyFont="1" applyBorder="1" applyAlignment="1">
      <alignment horizontal="left"/>
    </xf>
    <xf numFmtId="169" fontId="7" fillId="0" borderId="12" xfId="0" applyNumberFormat="1" applyFont="1" applyBorder="1" applyAlignment="1">
      <alignment horizontal="left"/>
    </xf>
    <xf numFmtId="164" fontId="1" fillId="0" borderId="10" xfId="0" applyNumberFormat="1" applyFont="1" applyBorder="1" applyAlignment="1">
      <alignment horizontal="left"/>
    </xf>
    <xf numFmtId="0" fontId="4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169" fontId="7" fillId="0" borderId="0" xfId="0" applyNumberFormat="1" applyFont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59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169" fontId="0" fillId="0" borderId="27" xfId="0" applyNumberFormat="1" applyBorder="1" applyAlignment="1">
      <alignment horizontal="center"/>
    </xf>
    <xf numFmtId="0" fontId="1" fillId="0" borderId="67" xfId="0" applyFont="1" applyBorder="1" applyAlignment="1">
      <alignment horizontal="center"/>
    </xf>
    <xf numFmtId="169" fontId="0" fillId="0" borderId="0" xfId="0" applyNumberFormat="1" applyAlignment="1">
      <alignment horizontal="center"/>
    </xf>
    <xf numFmtId="0" fontId="1" fillId="0" borderId="27" xfId="0" applyFont="1" applyBorder="1" applyAlignment="1">
      <alignment horizontal="center"/>
    </xf>
    <xf numFmtId="0" fontId="7" fillId="0" borderId="4" xfId="0" quotePrefix="1" applyFont="1" applyBorder="1" applyAlignment="1">
      <alignment horizontal="center"/>
    </xf>
    <xf numFmtId="0" fontId="7" fillId="0" borderId="12" xfId="0" quotePrefix="1" applyFont="1" applyBorder="1" applyAlignment="1">
      <alignment horizontal="center"/>
    </xf>
    <xf numFmtId="0" fontId="7" fillId="0" borderId="59" xfId="0" quotePrefix="1" applyFont="1" applyBorder="1" applyAlignment="1">
      <alignment horizontal="center"/>
    </xf>
    <xf numFmtId="0" fontId="1" fillId="0" borderId="39" xfId="0" quotePrefix="1" applyFont="1" applyBorder="1" applyAlignment="1">
      <alignment horizontal="center"/>
    </xf>
    <xf numFmtId="0" fontId="1" fillId="0" borderId="0" xfId="0" quotePrefix="1" applyFont="1" applyAlignment="1">
      <alignment horizontal="center"/>
    </xf>
    <xf numFmtId="0" fontId="7" fillId="0" borderId="32" xfId="0" quotePrefix="1" applyFont="1" applyBorder="1" applyAlignment="1">
      <alignment horizontal="center"/>
    </xf>
    <xf numFmtId="0" fontId="1" fillId="0" borderId="69" xfId="0" applyFont="1" applyBorder="1"/>
    <xf numFmtId="3" fontId="1" fillId="0" borderId="18" xfId="0" applyNumberFormat="1" applyFont="1" applyBorder="1" applyAlignment="1">
      <alignment horizontal="center"/>
    </xf>
    <xf numFmtId="3" fontId="1" fillId="0" borderId="27" xfId="0" applyNumberFormat="1" applyFont="1" applyBorder="1" applyAlignment="1">
      <alignment horizontal="center"/>
    </xf>
    <xf numFmtId="3" fontId="1" fillId="0" borderId="31" xfId="0" applyNumberFormat="1" applyFont="1" applyBorder="1" applyAlignment="1">
      <alignment horizontal="center"/>
    </xf>
    <xf numFmtId="167" fontId="6" fillId="0" borderId="0" xfId="0" applyNumberFormat="1" applyFont="1" applyAlignment="1">
      <alignment horizontal="right"/>
    </xf>
    <xf numFmtId="1" fontId="7" fillId="2" borderId="0" xfId="0" applyNumberFormat="1" applyFont="1" applyFill="1"/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9" fontId="0" fillId="0" borderId="62" xfId="0" applyNumberFormat="1" applyBorder="1" applyAlignment="1">
      <alignment horizontal="center"/>
    </xf>
    <xf numFmtId="1" fontId="7" fillId="2" borderId="17" xfId="0" applyNumberFormat="1" applyFont="1" applyFill="1" applyBorder="1"/>
    <xf numFmtId="1" fontId="7" fillId="2" borderId="13" xfId="0" applyNumberFormat="1" applyFont="1" applyFill="1" applyBorder="1"/>
    <xf numFmtId="1" fontId="7" fillId="2" borderId="18" xfId="0" applyNumberFormat="1" applyFont="1" applyFill="1" applyBorder="1"/>
    <xf numFmtId="1" fontId="7" fillId="2" borderId="27" xfId="0" applyNumberFormat="1" applyFont="1" applyFill="1" applyBorder="1"/>
    <xf numFmtId="1" fontId="7" fillId="2" borderId="31" xfId="0" applyNumberFormat="1" applyFont="1" applyFill="1" applyBorder="1"/>
    <xf numFmtId="1" fontId="7" fillId="2" borderId="56" xfId="0" applyNumberFormat="1" applyFont="1" applyFill="1" applyBorder="1"/>
    <xf numFmtId="1" fontId="7" fillId="2" borderId="58" xfId="0" applyNumberFormat="1" applyFont="1" applyFill="1" applyBorder="1"/>
    <xf numFmtId="1" fontId="7" fillId="2" borderId="61" xfId="0" applyNumberFormat="1" applyFont="1" applyFill="1" applyBorder="1"/>
    <xf numFmtId="0" fontId="7" fillId="5" borderId="0" xfId="0" applyFont="1" applyFill="1" applyAlignment="1">
      <alignment horizontal="center"/>
    </xf>
    <xf numFmtId="1" fontId="7" fillId="0" borderId="28" xfId="0" applyNumberFormat="1" applyFont="1" applyBorder="1"/>
    <xf numFmtId="0" fontId="6" fillId="0" borderId="45" xfId="0" applyFont="1" applyBorder="1" applyAlignment="1">
      <alignment horizontal="center"/>
    </xf>
    <xf numFmtId="1" fontId="7" fillId="0" borderId="57" xfId="0" applyNumberFormat="1" applyFont="1" applyBorder="1"/>
    <xf numFmtId="1" fontId="1" fillId="0" borderId="29" xfId="0" applyNumberFormat="1" applyFont="1" applyBorder="1"/>
    <xf numFmtId="1" fontId="1" fillId="0" borderId="0" xfId="0" applyNumberFormat="1" applyFont="1"/>
    <xf numFmtId="1" fontId="7" fillId="0" borderId="45" xfId="0" applyNumberFormat="1" applyFont="1" applyBorder="1"/>
    <xf numFmtId="2" fontId="7" fillId="0" borderId="9" xfId="0" applyNumberFormat="1" applyFont="1" applyBorder="1"/>
    <xf numFmtId="1" fontId="7" fillId="2" borderId="28" xfId="0" applyNumberFormat="1" applyFont="1" applyFill="1" applyBorder="1"/>
    <xf numFmtId="165" fontId="1" fillId="2" borderId="24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164" fontId="4" fillId="3" borderId="0" xfId="0" applyNumberFormat="1" applyFont="1" applyFill="1" applyAlignment="1">
      <alignment horizontal="left"/>
    </xf>
    <xf numFmtId="165" fontId="0" fillId="0" borderId="6" xfId="0" quotePrefix="1" applyNumberFormat="1" applyBorder="1"/>
    <xf numFmtId="1" fontId="7" fillId="2" borderId="45" xfId="0" applyNumberFormat="1" applyFont="1" applyFill="1" applyBorder="1"/>
    <xf numFmtId="0" fontId="0" fillId="0" borderId="31" xfId="0" applyBorder="1"/>
    <xf numFmtId="0" fontId="0" fillId="0" borderId="20" xfId="0" applyBorder="1"/>
    <xf numFmtId="0" fontId="0" fillId="3" borderId="17" xfId="0" applyFill="1" applyBorder="1"/>
    <xf numFmtId="0" fontId="0" fillId="5" borderId="0" xfId="0" applyFill="1"/>
    <xf numFmtId="0" fontId="0" fillId="2" borderId="0" xfId="0" applyFill="1"/>
    <xf numFmtId="0" fontId="0" fillId="0" borderId="45" xfId="0" applyBorder="1"/>
    <xf numFmtId="0" fontId="0" fillId="0" borderId="32" xfId="0" applyBorder="1"/>
    <xf numFmtId="0" fontId="0" fillId="0" borderId="63" xfId="0" applyBorder="1"/>
    <xf numFmtId="0" fontId="0" fillId="0" borderId="28" xfId="0" applyBorder="1"/>
    <xf numFmtId="0" fontId="0" fillId="0" borderId="12" xfId="0" applyBorder="1"/>
    <xf numFmtId="0" fontId="0" fillId="0" borderId="36" xfId="0" applyBorder="1"/>
    <xf numFmtId="1" fontId="0" fillId="0" borderId="28" xfId="0" applyNumberFormat="1" applyBorder="1"/>
    <xf numFmtId="1" fontId="0" fillId="0" borderId="12" xfId="0" applyNumberFormat="1" applyBorder="1"/>
    <xf numFmtId="1" fontId="0" fillId="0" borderId="36" xfId="0" applyNumberFormat="1" applyBorder="1"/>
    <xf numFmtId="1" fontId="0" fillId="0" borderId="45" xfId="0" applyNumberFormat="1" applyBorder="1"/>
    <xf numFmtId="10" fontId="0" fillId="0" borderId="63" xfId="0" applyNumberFormat="1" applyBorder="1"/>
    <xf numFmtId="0" fontId="0" fillId="0" borderId="38" xfId="0" applyBorder="1"/>
    <xf numFmtId="0" fontId="1" fillId="0" borderId="38" xfId="0" applyFont="1" applyBorder="1"/>
    <xf numFmtId="10" fontId="1" fillId="0" borderId="24" xfId="0" applyNumberFormat="1" applyFont="1" applyBorder="1"/>
    <xf numFmtId="1" fontId="1" fillId="0" borderId="69" xfId="0" applyNumberFormat="1" applyFont="1" applyBorder="1"/>
    <xf numFmtId="1" fontId="1" fillId="0" borderId="65" xfId="0" applyNumberFormat="1" applyFont="1" applyBorder="1"/>
    <xf numFmtId="1" fontId="1" fillId="0" borderId="70" xfId="0" applyNumberFormat="1" applyFont="1" applyBorder="1"/>
    <xf numFmtId="0" fontId="7" fillId="0" borderId="28" xfId="0" applyFont="1" applyBorder="1"/>
    <xf numFmtId="1" fontId="7" fillId="2" borderId="57" xfId="0" applyNumberFormat="1" applyFont="1" applyFill="1" applyBorder="1"/>
    <xf numFmtId="164" fontId="1" fillId="0" borderId="64" xfId="0" applyNumberFormat="1" applyFont="1" applyBorder="1" applyAlignment="1">
      <alignment horizontal="left"/>
    </xf>
    <xf numFmtId="3" fontId="0" fillId="0" borderId="12" xfId="0" applyNumberFormat="1" applyBorder="1"/>
    <xf numFmtId="3" fontId="0" fillId="0" borderId="65" xfId="0" applyNumberFormat="1" applyBorder="1"/>
    <xf numFmtId="10" fontId="0" fillId="0" borderId="36" xfId="0" applyNumberFormat="1" applyBorder="1"/>
    <xf numFmtId="1" fontId="7" fillId="0" borderId="12" xfId="0" quotePrefix="1" applyNumberFormat="1" applyFont="1" applyBorder="1"/>
    <xf numFmtId="0" fontId="7" fillId="2" borderId="12" xfId="0" quotePrefix="1" applyFont="1" applyFill="1" applyBorder="1"/>
    <xf numFmtId="0" fontId="7" fillId="2" borderId="12" xfId="0" applyFont="1" applyFill="1" applyBorder="1"/>
    <xf numFmtId="165" fontId="7" fillId="2" borderId="36" xfId="0" applyNumberFormat="1" applyFont="1" applyFill="1" applyBorder="1"/>
    <xf numFmtId="165" fontId="7" fillId="0" borderId="68" xfId="0" applyNumberFormat="1" applyFont="1" applyBorder="1"/>
    <xf numFmtId="1" fontId="7" fillId="0" borderId="71" xfId="0" applyNumberFormat="1" applyFont="1" applyBorder="1"/>
    <xf numFmtId="0" fontId="7" fillId="0" borderId="56" xfId="0" applyFont="1" applyBorder="1"/>
    <xf numFmtId="0" fontId="0" fillId="0" borderId="61" xfId="0" applyBorder="1"/>
    <xf numFmtId="1" fontId="0" fillId="0" borderId="56" xfId="0" applyNumberFormat="1" applyBorder="1"/>
    <xf numFmtId="1" fontId="0" fillId="0" borderId="58" xfId="0" applyNumberFormat="1" applyBorder="1"/>
    <xf numFmtId="0" fontId="0" fillId="0" borderId="56" xfId="0" applyBorder="1"/>
    <xf numFmtId="0" fontId="0" fillId="2" borderId="6" xfId="0" applyFill="1" applyBorder="1"/>
    <xf numFmtId="0" fontId="7" fillId="2" borderId="59" xfId="0" quotePrefix="1" applyFont="1" applyFill="1" applyBorder="1"/>
    <xf numFmtId="0" fontId="7" fillId="2" borderId="59" xfId="0" applyFont="1" applyFill="1" applyBorder="1"/>
    <xf numFmtId="165" fontId="7" fillId="2" borderId="60" xfId="0" applyNumberFormat="1" applyFont="1" applyFill="1" applyBorder="1"/>
    <xf numFmtId="165" fontId="0" fillId="2" borderId="6" xfId="0" applyNumberFormat="1" applyFill="1" applyBorder="1"/>
    <xf numFmtId="165" fontId="0" fillId="2" borderId="0" xfId="0" applyNumberFormat="1" applyFill="1"/>
    <xf numFmtId="3" fontId="1" fillId="0" borderId="69" xfId="0" applyNumberFormat="1" applyFont="1" applyBorder="1"/>
    <xf numFmtId="3" fontId="1" fillId="0" borderId="65" xfId="0" applyNumberFormat="1" applyFont="1" applyBorder="1"/>
    <xf numFmtId="166" fontId="1" fillId="0" borderId="69" xfId="0" applyNumberFormat="1" applyFont="1" applyBorder="1"/>
    <xf numFmtId="166" fontId="1" fillId="0" borderId="65" xfId="0" applyNumberFormat="1" applyFont="1" applyBorder="1"/>
    <xf numFmtId="166" fontId="1" fillId="0" borderId="70" xfId="0" applyNumberFormat="1" applyFont="1" applyBorder="1"/>
    <xf numFmtId="3" fontId="7" fillId="0" borderId="36" xfId="0" quotePrefix="1" applyNumberFormat="1" applyFont="1" applyBorder="1"/>
    <xf numFmtId="3" fontId="7" fillId="0" borderId="36" xfId="0" applyNumberFormat="1" applyFont="1" applyBorder="1"/>
    <xf numFmtId="170" fontId="1" fillId="0" borderId="4" xfId="0" applyNumberFormat="1" applyFont="1" applyBorder="1" applyAlignment="1">
      <alignment horizontal="center" vertical="center" textRotation="90"/>
    </xf>
    <xf numFmtId="170" fontId="1" fillId="0" borderId="12" xfId="0" applyNumberFormat="1" applyFont="1" applyBorder="1" applyAlignment="1">
      <alignment horizontal="center" vertical="center" textRotation="90"/>
    </xf>
    <xf numFmtId="170" fontId="1" fillId="0" borderId="10" xfId="0" applyNumberFormat="1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6" fillId="0" borderId="25" xfId="0" applyFont="1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6" fillId="0" borderId="20" xfId="0" applyNumberFormat="1" applyFont="1" applyBorder="1" applyAlignment="1">
      <alignment horizontal="center"/>
    </xf>
    <xf numFmtId="164" fontId="6" fillId="0" borderId="21" xfId="0" applyNumberFormat="1" applyFont="1" applyBorder="1" applyAlignment="1">
      <alignment horizontal="center"/>
    </xf>
    <xf numFmtId="164" fontId="6" fillId="0" borderId="27" xfId="0" applyNumberFormat="1" applyFont="1" applyBorder="1" applyAlignment="1">
      <alignment horizontal="center"/>
    </xf>
    <xf numFmtId="164" fontId="6" fillId="0" borderId="22" xfId="0" applyNumberFormat="1" applyFont="1" applyBorder="1" applyAlignment="1">
      <alignment horizontal="center"/>
    </xf>
    <xf numFmtId="0" fontId="6" fillId="5" borderId="47" xfId="0" applyFont="1" applyFill="1" applyBorder="1" applyAlignment="1">
      <alignment horizontal="center"/>
    </xf>
    <xf numFmtId="0" fontId="6" fillId="5" borderId="48" xfId="0" applyFont="1" applyFill="1" applyBorder="1" applyAlignment="1">
      <alignment horizontal="center"/>
    </xf>
    <xf numFmtId="0" fontId="6" fillId="5" borderId="49" xfId="0" applyFont="1" applyFill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5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6" fillId="4" borderId="47" xfId="0" applyFont="1" applyFill="1" applyBorder="1" applyAlignment="1">
      <alignment horizontal="center"/>
    </xf>
    <xf numFmtId="0" fontId="6" fillId="4" borderId="48" xfId="0" applyFont="1" applyFill="1" applyBorder="1" applyAlignment="1">
      <alignment horizontal="center"/>
    </xf>
    <xf numFmtId="0" fontId="6" fillId="4" borderId="49" xfId="0" applyFont="1" applyFill="1" applyBorder="1" applyAlignment="1">
      <alignment horizontal="center"/>
    </xf>
    <xf numFmtId="0" fontId="6" fillId="0" borderId="55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7" fillId="0" borderId="43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49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54" xfId="0" applyFont="1" applyBorder="1" applyAlignment="1">
      <alignment horizontal="center"/>
    </xf>
    <xf numFmtId="0" fontId="6" fillId="0" borderId="0" xfId="0" applyFont="1" applyAlignment="1">
      <alignment horizontal="center"/>
    </xf>
    <xf numFmtId="3" fontId="1" fillId="0" borderId="20" xfId="0" applyNumberFormat="1" applyFont="1" applyBorder="1" applyAlignment="1">
      <alignment horizontal="center"/>
    </xf>
    <xf numFmtId="3" fontId="1" fillId="0" borderId="21" xfId="0" applyNumberFormat="1" applyFont="1" applyBorder="1" applyAlignment="1">
      <alignment horizontal="center"/>
    </xf>
    <xf numFmtId="3" fontId="1" fillId="0" borderId="22" xfId="0" applyNumberFormat="1" applyFont="1" applyBorder="1" applyAlignment="1">
      <alignment horizontal="center"/>
    </xf>
    <xf numFmtId="0" fontId="6" fillId="5" borderId="27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47" xfId="0" applyFont="1" applyBorder="1" applyAlignment="1">
      <alignment horizontal="center"/>
    </xf>
    <xf numFmtId="0" fontId="7" fillId="0" borderId="48" xfId="0" applyFont="1" applyBorder="1" applyAlignment="1">
      <alignment horizontal="center"/>
    </xf>
    <xf numFmtId="0" fontId="7" fillId="0" borderId="53" xfId="0" applyFont="1" applyBorder="1" applyAlignment="1">
      <alignment horizontal="center"/>
    </xf>
    <xf numFmtId="0" fontId="7" fillId="0" borderId="49" xfId="0" applyFont="1" applyBorder="1" applyAlignment="1">
      <alignment horizontal="center"/>
    </xf>
    <xf numFmtId="164" fontId="1" fillId="0" borderId="20" xfId="0" applyNumberFormat="1" applyFont="1" applyBorder="1" applyAlignment="1">
      <alignment horizontal="left"/>
    </xf>
    <xf numFmtId="164" fontId="1" fillId="0" borderId="21" xfId="0" applyNumberFormat="1" applyFont="1" applyBorder="1" applyAlignment="1">
      <alignment horizontal="left"/>
    </xf>
    <xf numFmtId="164" fontId="1" fillId="0" borderId="22" xfId="0" applyNumberFormat="1" applyFont="1" applyBorder="1" applyAlignment="1">
      <alignment horizontal="left"/>
    </xf>
    <xf numFmtId="0" fontId="2" fillId="0" borderId="54" xfId="0" applyFont="1" applyBorder="1" applyAlignment="1">
      <alignment horizontal="center"/>
    </xf>
    <xf numFmtId="0" fontId="3" fillId="0" borderId="4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FF"/>
      <color rgb="FF00FF00"/>
      <color rgb="FF96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N34"/>
  <sheetViews>
    <sheetView zoomScale="75" workbookViewId="0">
      <selection activeCell="C15" sqref="C15"/>
    </sheetView>
  </sheetViews>
  <sheetFormatPr defaultRowHeight="15.75" x14ac:dyDescent="0.25"/>
  <cols>
    <col min="9" max="9" width="4.125" customWidth="1"/>
  </cols>
  <sheetData>
    <row r="2" spans="2:14" x14ac:dyDescent="0.25">
      <c r="B2" s="1"/>
      <c r="M2" s="2"/>
    </row>
    <row r="3" spans="2:14" x14ac:dyDescent="0.25">
      <c r="B3" s="1" t="s">
        <v>148</v>
      </c>
      <c r="M3" s="2">
        <f t="shared" ref="M3:M17" ca="1" si="0">RANDBETWEEN(1,31)</f>
        <v>4</v>
      </c>
      <c r="N3">
        <v>30</v>
      </c>
    </row>
    <row r="4" spans="2:14" x14ac:dyDescent="0.25">
      <c r="B4" s="47" t="s">
        <v>0</v>
      </c>
      <c r="C4" s="47" t="s">
        <v>1</v>
      </c>
      <c r="D4" s="47" t="s">
        <v>2</v>
      </c>
      <c r="E4" s="47" t="s">
        <v>3</v>
      </c>
      <c r="F4" s="47" t="s">
        <v>4</v>
      </c>
      <c r="G4" s="47" t="s">
        <v>5</v>
      </c>
      <c r="H4" s="47" t="s">
        <v>6</v>
      </c>
      <c r="M4" s="2">
        <f t="shared" ca="1" si="0"/>
        <v>13</v>
      </c>
      <c r="N4">
        <v>5</v>
      </c>
    </row>
    <row r="5" spans="2:14" x14ac:dyDescent="0.25">
      <c r="B5" s="3"/>
      <c r="C5" s="3"/>
      <c r="D5" s="3"/>
      <c r="E5" s="3"/>
      <c r="F5" s="3"/>
      <c r="G5" s="3">
        <f t="shared" ref="C5:H6" si="1">F5+1</f>
        <v>1</v>
      </c>
      <c r="H5" s="3">
        <f>G5+1</f>
        <v>2</v>
      </c>
      <c r="K5" s="78"/>
      <c r="M5" s="2">
        <f t="shared" ca="1" si="0"/>
        <v>11</v>
      </c>
      <c r="N5">
        <v>14</v>
      </c>
    </row>
    <row r="6" spans="2:14" x14ac:dyDescent="0.25">
      <c r="B6" s="286">
        <f>H5+1</f>
        <v>3</v>
      </c>
      <c r="C6" s="3">
        <f t="shared" si="1"/>
        <v>4</v>
      </c>
      <c r="D6" s="3">
        <f t="shared" si="1"/>
        <v>5</v>
      </c>
      <c r="E6" s="286">
        <f t="shared" si="1"/>
        <v>6</v>
      </c>
      <c r="F6" s="286">
        <f t="shared" si="1"/>
        <v>7</v>
      </c>
      <c r="G6" s="286">
        <f t="shared" si="1"/>
        <v>8</v>
      </c>
      <c r="H6" s="286">
        <f t="shared" si="1"/>
        <v>9</v>
      </c>
      <c r="J6" s="234"/>
      <c r="K6" s="21"/>
      <c r="M6" s="2">
        <f t="shared" ca="1" si="0"/>
        <v>7</v>
      </c>
      <c r="N6">
        <v>26</v>
      </c>
    </row>
    <row r="7" spans="2:14" x14ac:dyDescent="0.25">
      <c r="B7" s="286">
        <f>H6+1</f>
        <v>10</v>
      </c>
      <c r="C7" s="3">
        <f t="shared" ref="C7:H7" si="2">B7+1</f>
        <v>11</v>
      </c>
      <c r="D7" s="286">
        <f t="shared" si="2"/>
        <v>12</v>
      </c>
      <c r="E7" s="286">
        <f t="shared" si="2"/>
        <v>13</v>
      </c>
      <c r="F7" s="286">
        <f t="shared" si="2"/>
        <v>14</v>
      </c>
      <c r="G7" s="3">
        <f t="shared" si="2"/>
        <v>15</v>
      </c>
      <c r="H7" s="286">
        <f t="shared" si="2"/>
        <v>16</v>
      </c>
      <c r="J7" s="79"/>
      <c r="K7" s="21"/>
      <c r="M7" s="2">
        <f t="shared" ca="1" si="0"/>
        <v>8</v>
      </c>
      <c r="N7">
        <v>7</v>
      </c>
    </row>
    <row r="8" spans="2:14" x14ac:dyDescent="0.25">
      <c r="B8" s="286">
        <f>H7+1</f>
        <v>17</v>
      </c>
      <c r="C8" s="286">
        <f t="shared" ref="C8:H9" si="3">B8+1</f>
        <v>18</v>
      </c>
      <c r="D8" s="3">
        <f t="shared" si="3"/>
        <v>19</v>
      </c>
      <c r="E8" s="286">
        <f t="shared" si="3"/>
        <v>20</v>
      </c>
      <c r="F8" s="286">
        <f t="shared" si="3"/>
        <v>21</v>
      </c>
      <c r="G8" s="3">
        <f t="shared" si="3"/>
        <v>22</v>
      </c>
      <c r="H8" s="286">
        <f t="shared" si="3"/>
        <v>23</v>
      </c>
      <c r="M8" s="2">
        <f t="shared" ca="1" si="0"/>
        <v>14</v>
      </c>
      <c r="N8">
        <v>3</v>
      </c>
    </row>
    <row r="9" spans="2:14" x14ac:dyDescent="0.25">
      <c r="B9" s="286">
        <f>H8+1</f>
        <v>24</v>
      </c>
      <c r="C9" s="286">
        <f>B9+1</f>
        <v>25</v>
      </c>
      <c r="D9" s="286">
        <f>C9+1</f>
        <v>26</v>
      </c>
      <c r="E9" s="3">
        <f t="shared" si="3"/>
        <v>27</v>
      </c>
      <c r="F9" s="3">
        <f t="shared" si="3"/>
        <v>28</v>
      </c>
      <c r="G9" s="286">
        <f t="shared" si="3"/>
        <v>29</v>
      </c>
      <c r="H9" s="286">
        <f>G9+1</f>
        <v>30</v>
      </c>
      <c r="M9" s="2">
        <f t="shared" ca="1" si="0"/>
        <v>28</v>
      </c>
      <c r="N9">
        <v>8</v>
      </c>
    </row>
    <row r="10" spans="2:14" x14ac:dyDescent="0.25">
      <c r="B10" s="3"/>
      <c r="C10" s="3"/>
      <c r="D10" s="3"/>
      <c r="E10" s="3"/>
      <c r="F10" s="3"/>
      <c r="G10" s="3"/>
      <c r="H10" s="3"/>
      <c r="M10" s="2">
        <f t="shared" ca="1" si="0"/>
        <v>29</v>
      </c>
      <c r="N10">
        <v>28</v>
      </c>
    </row>
    <row r="11" spans="2:14" x14ac:dyDescent="0.25">
      <c r="M11" s="2">
        <f t="shared" ca="1" si="0"/>
        <v>1</v>
      </c>
      <c r="N11">
        <v>24</v>
      </c>
    </row>
    <row r="12" spans="2:14" x14ac:dyDescent="0.25">
      <c r="B12" s="1" t="s">
        <v>149</v>
      </c>
      <c r="M12" s="2">
        <f t="shared" ca="1" si="0"/>
        <v>13</v>
      </c>
      <c r="N12">
        <v>17</v>
      </c>
    </row>
    <row r="13" spans="2:14" x14ac:dyDescent="0.25">
      <c r="B13" s="47" t="s">
        <v>0</v>
      </c>
      <c r="C13" s="47" t="s">
        <v>1</v>
      </c>
      <c r="D13" s="47" t="s">
        <v>2</v>
      </c>
      <c r="E13" s="47" t="s">
        <v>3</v>
      </c>
      <c r="F13" s="47" t="s">
        <v>4</v>
      </c>
      <c r="G13" s="47" t="s">
        <v>5</v>
      </c>
      <c r="H13" s="47" t="s">
        <v>6</v>
      </c>
      <c r="M13" s="2">
        <f t="shared" ca="1" si="0"/>
        <v>6</v>
      </c>
      <c r="N13">
        <v>14</v>
      </c>
    </row>
    <row r="14" spans="2:14" x14ac:dyDescent="0.25">
      <c r="B14" s="3">
        <v>1</v>
      </c>
      <c r="C14" s="3">
        <f t="shared" ref="C14:F17" si="4">B14+1</f>
        <v>2</v>
      </c>
      <c r="D14" s="3">
        <f t="shared" si="4"/>
        <v>3</v>
      </c>
      <c r="E14" s="3">
        <f t="shared" si="4"/>
        <v>4</v>
      </c>
      <c r="F14" s="3">
        <f t="shared" si="4"/>
        <v>5</v>
      </c>
      <c r="G14" s="3">
        <f t="shared" ref="G14:G17" si="5">F14+1</f>
        <v>6</v>
      </c>
      <c r="H14" s="3">
        <f>G14+1</f>
        <v>7</v>
      </c>
      <c r="M14" s="2">
        <f t="shared" ca="1" si="0"/>
        <v>22</v>
      </c>
      <c r="N14">
        <v>25</v>
      </c>
    </row>
    <row r="15" spans="2:14" x14ac:dyDescent="0.25">
      <c r="B15" s="3">
        <f>H14+1</f>
        <v>8</v>
      </c>
      <c r="C15" s="3">
        <f t="shared" si="4"/>
        <v>9</v>
      </c>
      <c r="D15" s="3">
        <f t="shared" ref="D15:D17" si="6">C15+1</f>
        <v>10</v>
      </c>
      <c r="E15" s="3">
        <f t="shared" ref="E15:E18" si="7">D15+1</f>
        <v>11</v>
      </c>
      <c r="F15" s="3">
        <f t="shared" ref="F15:F17" si="8">E15+1</f>
        <v>12</v>
      </c>
      <c r="G15" s="3">
        <f t="shared" si="5"/>
        <v>13</v>
      </c>
      <c r="H15" s="3">
        <f t="shared" ref="H15:H17" si="9">G15+1</f>
        <v>14</v>
      </c>
      <c r="M15" s="2">
        <f t="shared" ca="1" si="0"/>
        <v>20</v>
      </c>
      <c r="N15">
        <v>13</v>
      </c>
    </row>
    <row r="16" spans="2:14" x14ac:dyDescent="0.25">
      <c r="B16" s="3">
        <f>H15+1</f>
        <v>15</v>
      </c>
      <c r="C16" s="3">
        <f t="shared" si="4"/>
        <v>16</v>
      </c>
      <c r="D16" s="3">
        <f t="shared" si="6"/>
        <v>17</v>
      </c>
      <c r="E16" s="3">
        <f t="shared" si="7"/>
        <v>18</v>
      </c>
      <c r="F16" s="3">
        <f t="shared" si="8"/>
        <v>19</v>
      </c>
      <c r="G16" s="3">
        <f t="shared" si="5"/>
        <v>20</v>
      </c>
      <c r="H16" s="3">
        <f t="shared" si="9"/>
        <v>21</v>
      </c>
      <c r="M16" s="2">
        <f t="shared" ca="1" si="0"/>
        <v>22</v>
      </c>
      <c r="N16">
        <v>20</v>
      </c>
    </row>
    <row r="17" spans="2:14" x14ac:dyDescent="0.25">
      <c r="B17" s="3">
        <f>H16+1</f>
        <v>22</v>
      </c>
      <c r="C17" s="3">
        <f t="shared" si="4"/>
        <v>23</v>
      </c>
      <c r="D17" s="3">
        <f t="shared" si="6"/>
        <v>24</v>
      </c>
      <c r="E17" s="3">
        <f t="shared" si="7"/>
        <v>25</v>
      </c>
      <c r="F17" s="3">
        <f t="shared" si="8"/>
        <v>26</v>
      </c>
      <c r="G17" s="3">
        <f t="shared" si="5"/>
        <v>27</v>
      </c>
      <c r="H17" s="3">
        <f t="shared" si="9"/>
        <v>28</v>
      </c>
      <c r="M17" s="2">
        <f t="shared" ca="1" si="0"/>
        <v>22</v>
      </c>
      <c r="N17">
        <v>3</v>
      </c>
    </row>
    <row r="18" spans="2:14" x14ac:dyDescent="0.25">
      <c r="B18" s="3">
        <f>H17+1</f>
        <v>29</v>
      </c>
      <c r="C18" s="3">
        <f>B18+1</f>
        <v>30</v>
      </c>
      <c r="D18" s="3">
        <f>C18+1</f>
        <v>31</v>
      </c>
      <c r="E18" s="3">
        <f t="shared" si="7"/>
        <v>32</v>
      </c>
      <c r="F18" s="3"/>
      <c r="G18" s="3"/>
      <c r="H18" s="3"/>
    </row>
    <row r="20" spans="2:14" x14ac:dyDescent="0.25">
      <c r="B20" s="1" t="s">
        <v>102</v>
      </c>
    </row>
    <row r="21" spans="2:14" x14ac:dyDescent="0.25">
      <c r="B21" s="47" t="s">
        <v>0</v>
      </c>
      <c r="C21" s="47" t="s">
        <v>1</v>
      </c>
      <c r="D21" s="47" t="s">
        <v>2</v>
      </c>
      <c r="E21" s="47" t="s">
        <v>3</v>
      </c>
      <c r="F21" s="47" t="s">
        <v>4</v>
      </c>
      <c r="G21" s="47" t="s">
        <v>5</v>
      </c>
      <c r="H21" s="47" t="s">
        <v>6</v>
      </c>
    </row>
    <row r="22" spans="2:14" x14ac:dyDescent="0.25">
      <c r="B22" s="3"/>
      <c r="C22" s="3"/>
      <c r="D22" s="3"/>
      <c r="E22" s="3"/>
      <c r="F22" s="3">
        <v>1</v>
      </c>
      <c r="G22" s="3">
        <f t="shared" ref="G22:G25" si="10">F22+1</f>
        <v>2</v>
      </c>
      <c r="H22" s="285">
        <f>G22+1</f>
        <v>3</v>
      </c>
    </row>
    <row r="23" spans="2:14" x14ac:dyDescent="0.25">
      <c r="B23" s="286">
        <f>H22+1</f>
        <v>4</v>
      </c>
      <c r="C23" s="3">
        <f t="shared" ref="C23:C25" si="11">B23+1</f>
        <v>5</v>
      </c>
      <c r="D23" s="3">
        <f t="shared" ref="D23:D25" si="12">C23+1</f>
        <v>6</v>
      </c>
      <c r="E23" s="286">
        <f t="shared" ref="E23:E26" si="13">D23+1</f>
        <v>7</v>
      </c>
      <c r="F23" s="286">
        <f t="shared" ref="F23:F26" si="14">E23+1</f>
        <v>8</v>
      </c>
      <c r="G23" s="285">
        <f t="shared" si="10"/>
        <v>9</v>
      </c>
      <c r="H23" s="286">
        <f t="shared" ref="H23:H25" si="15">G23+1</f>
        <v>10</v>
      </c>
    </row>
    <row r="24" spans="2:14" x14ac:dyDescent="0.25">
      <c r="B24" s="285">
        <f>H23+1</f>
        <v>11</v>
      </c>
      <c r="C24" s="286">
        <f t="shared" si="11"/>
        <v>12</v>
      </c>
      <c r="D24" s="285">
        <f t="shared" si="12"/>
        <v>13</v>
      </c>
      <c r="E24" s="285">
        <f t="shared" si="13"/>
        <v>14</v>
      </c>
      <c r="F24" s="3">
        <f t="shared" si="14"/>
        <v>15</v>
      </c>
      <c r="G24" s="3">
        <f t="shared" si="10"/>
        <v>16</v>
      </c>
      <c r="H24" s="285">
        <f t="shared" si="15"/>
        <v>17</v>
      </c>
    </row>
    <row r="25" spans="2:14" x14ac:dyDescent="0.25">
      <c r="B25" s="286">
        <f>H24+1</f>
        <v>18</v>
      </c>
      <c r="C25" s="285">
        <f t="shared" si="11"/>
        <v>19</v>
      </c>
      <c r="D25" s="286">
        <f t="shared" si="12"/>
        <v>20</v>
      </c>
      <c r="E25" s="3">
        <f t="shared" si="13"/>
        <v>21</v>
      </c>
      <c r="F25" s="3">
        <f t="shared" si="14"/>
        <v>22</v>
      </c>
      <c r="G25" s="286">
        <f t="shared" si="10"/>
        <v>23</v>
      </c>
      <c r="H25" s="286">
        <f t="shared" si="15"/>
        <v>24</v>
      </c>
    </row>
    <row r="26" spans="2:14" x14ac:dyDescent="0.25">
      <c r="B26" s="285">
        <f>H25+1</f>
        <v>25</v>
      </c>
      <c r="C26" s="286">
        <f>B26+1</f>
        <v>26</v>
      </c>
      <c r="D26" s="3">
        <f>C26+1</f>
        <v>27</v>
      </c>
      <c r="E26" s="3">
        <f t="shared" si="13"/>
        <v>28</v>
      </c>
      <c r="F26" s="285">
        <f t="shared" si="14"/>
        <v>29</v>
      </c>
      <c r="G26" s="3"/>
      <c r="H26" s="3"/>
    </row>
    <row r="28" spans="2:14" x14ac:dyDescent="0.25">
      <c r="B28" s="1" t="s">
        <v>148</v>
      </c>
    </row>
    <row r="29" spans="2:14" x14ac:dyDescent="0.25">
      <c r="B29" s="47" t="s">
        <v>0</v>
      </c>
      <c r="C29" s="47" t="s">
        <v>1</v>
      </c>
      <c r="D29" s="47" t="s">
        <v>2</v>
      </c>
      <c r="E29" s="47" t="s">
        <v>3</v>
      </c>
      <c r="F29" s="47" t="s">
        <v>4</v>
      </c>
      <c r="G29" s="47" t="s">
        <v>5</v>
      </c>
      <c r="H29" s="47" t="s">
        <v>6</v>
      </c>
    </row>
    <row r="30" spans="2:14" x14ac:dyDescent="0.25">
      <c r="B30" s="3"/>
      <c r="C30" s="3"/>
      <c r="D30" s="3"/>
      <c r="E30" s="3"/>
      <c r="F30" s="3"/>
      <c r="G30" s="3">
        <f t="shared" ref="G30:G34" si="16">F30+1</f>
        <v>1</v>
      </c>
      <c r="H30" s="3">
        <f>G30+1</f>
        <v>2</v>
      </c>
    </row>
    <row r="31" spans="2:14" x14ac:dyDescent="0.25">
      <c r="B31" s="3">
        <f>H30+1</f>
        <v>3</v>
      </c>
      <c r="C31" s="3">
        <f t="shared" ref="C31:C33" si="17">B31+1</f>
        <v>4</v>
      </c>
      <c r="D31" s="3">
        <f t="shared" ref="D31:D33" si="18">C31+1</f>
        <v>5</v>
      </c>
      <c r="E31" s="3">
        <f t="shared" ref="E31:E34" si="19">D31+1</f>
        <v>6</v>
      </c>
      <c r="F31" s="3">
        <f t="shared" ref="F31:F34" si="20">E31+1</f>
        <v>7</v>
      </c>
      <c r="G31" s="3">
        <f t="shared" si="16"/>
        <v>8</v>
      </c>
      <c r="H31" s="3">
        <f t="shared" ref="H31:H33" si="21">G31+1</f>
        <v>9</v>
      </c>
    </row>
    <row r="32" spans="2:14" x14ac:dyDescent="0.25">
      <c r="B32" s="3">
        <f>H31+1</f>
        <v>10</v>
      </c>
      <c r="C32" s="3">
        <f t="shared" si="17"/>
        <v>11</v>
      </c>
      <c r="D32" s="3">
        <f t="shared" si="18"/>
        <v>12</v>
      </c>
      <c r="E32" s="3">
        <f t="shared" si="19"/>
        <v>13</v>
      </c>
      <c r="F32" s="3">
        <f t="shared" si="20"/>
        <v>14</v>
      </c>
      <c r="G32" s="3">
        <f t="shared" si="16"/>
        <v>15</v>
      </c>
      <c r="H32" s="3">
        <f t="shared" si="21"/>
        <v>16</v>
      </c>
    </row>
    <row r="33" spans="2:8" x14ac:dyDescent="0.25">
      <c r="B33" s="3">
        <f>H32+1</f>
        <v>17</v>
      </c>
      <c r="C33" s="3">
        <f t="shared" si="17"/>
        <v>18</v>
      </c>
      <c r="D33" s="3">
        <f t="shared" si="18"/>
        <v>19</v>
      </c>
      <c r="E33" s="3">
        <f t="shared" si="19"/>
        <v>20</v>
      </c>
      <c r="F33" s="3">
        <f t="shared" si="20"/>
        <v>21</v>
      </c>
      <c r="G33" s="3">
        <f t="shared" si="16"/>
        <v>22</v>
      </c>
      <c r="H33" s="3">
        <f t="shared" si="21"/>
        <v>23</v>
      </c>
    </row>
    <row r="34" spans="2:8" x14ac:dyDescent="0.25">
      <c r="B34" s="3">
        <f>H33+1</f>
        <v>24</v>
      </c>
      <c r="C34" s="3">
        <f>B34+1</f>
        <v>25</v>
      </c>
      <c r="D34" s="3">
        <f>C34+1</f>
        <v>26</v>
      </c>
      <c r="E34" s="3">
        <f t="shared" si="19"/>
        <v>27</v>
      </c>
      <c r="F34" s="3">
        <f t="shared" si="20"/>
        <v>28</v>
      </c>
      <c r="G34" s="3">
        <f t="shared" si="16"/>
        <v>29</v>
      </c>
      <c r="H34" s="3">
        <f>G34+1</f>
        <v>30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466"/>
  <sheetViews>
    <sheetView zoomScale="136" zoomScaleNormal="136" workbookViewId="0">
      <pane xSplit="3" ySplit="9" topLeftCell="D633" activePane="bottomRight" state="frozen"/>
      <selection pane="topRight" activeCell="D1" sqref="D1"/>
      <selection pane="bottomLeft" activeCell="A12" sqref="A12"/>
      <selection pane="bottomRight" activeCell="H634" sqref="H634"/>
    </sheetView>
  </sheetViews>
  <sheetFormatPr defaultRowHeight="15.75" x14ac:dyDescent="0.25"/>
  <cols>
    <col min="1" max="1" width="4.375" customWidth="1"/>
    <col min="2" max="2" width="4.875" customWidth="1"/>
    <col min="3" max="3" width="6.5" customWidth="1"/>
    <col min="4" max="4" width="7.5" customWidth="1"/>
    <col min="5" max="5" width="7.125" customWidth="1"/>
    <col min="7" max="7" width="8.75"/>
    <col min="10" max="10" width="3.875" customWidth="1"/>
    <col min="12" max="13" width="10.125" customWidth="1"/>
    <col min="14" max="14" width="8.75"/>
  </cols>
  <sheetData>
    <row r="1" spans="1:22" ht="18.75" x14ac:dyDescent="0.3">
      <c r="A1" s="10" t="s">
        <v>151</v>
      </c>
    </row>
    <row r="2" spans="1:22" x14ac:dyDescent="0.25">
      <c r="V2" t="s">
        <v>81</v>
      </c>
    </row>
    <row r="4" spans="1:22" x14ac:dyDescent="0.25">
      <c r="E4" s="11"/>
      <c r="F4" s="12"/>
      <c r="G4" s="12"/>
      <c r="H4" s="212" t="s">
        <v>85</v>
      </c>
      <c r="K4" t="s">
        <v>84</v>
      </c>
    </row>
    <row r="5" spans="1:22" x14ac:dyDescent="0.25">
      <c r="E5" s="11"/>
      <c r="F5" s="13"/>
      <c r="G5" s="13"/>
      <c r="H5" s="211" t="s">
        <v>80</v>
      </c>
      <c r="I5" s="213">
        <v>1.1000000000000001</v>
      </c>
      <c r="K5" t="s">
        <v>83</v>
      </c>
    </row>
    <row r="6" spans="1:22" x14ac:dyDescent="0.25">
      <c r="D6" s="252">
        <v>1.2849999999999999</v>
      </c>
      <c r="E6" s="11"/>
      <c r="F6" s="14"/>
      <c r="G6" s="14"/>
      <c r="H6" s="283" t="s">
        <v>150</v>
      </c>
      <c r="I6" s="213">
        <v>1.2849999999999999</v>
      </c>
      <c r="K6" t="s">
        <v>82</v>
      </c>
    </row>
    <row r="7" spans="1:22" x14ac:dyDescent="0.25">
      <c r="A7" t="s">
        <v>13</v>
      </c>
    </row>
    <row r="8" spans="1:22" x14ac:dyDescent="0.25">
      <c r="A8" s="110"/>
      <c r="B8" s="7"/>
      <c r="C8" s="208"/>
      <c r="D8" s="208" t="s">
        <v>14</v>
      </c>
      <c r="E8" s="208"/>
      <c r="F8" s="208" t="s">
        <v>15</v>
      </c>
      <c r="G8" s="226" t="s">
        <v>91</v>
      </c>
      <c r="H8" s="372" t="s">
        <v>79</v>
      </c>
      <c r="I8" s="372" t="s">
        <v>78</v>
      </c>
      <c r="K8" s="369" t="s">
        <v>29</v>
      </c>
      <c r="L8" s="370"/>
      <c r="M8" s="370"/>
      <c r="N8" s="370"/>
      <c r="O8" s="371"/>
    </row>
    <row r="9" spans="1:22" ht="16.5" thickBot="1" x14ac:dyDescent="0.3">
      <c r="A9" s="210" t="s">
        <v>18</v>
      </c>
      <c r="B9" s="15"/>
      <c r="C9" s="69" t="s">
        <v>19</v>
      </c>
      <c r="D9" s="69" t="s">
        <v>20</v>
      </c>
      <c r="E9" s="69" t="s">
        <v>16</v>
      </c>
      <c r="F9" s="69" t="s">
        <v>21</v>
      </c>
      <c r="G9" s="69"/>
      <c r="H9" s="373" t="s">
        <v>22</v>
      </c>
      <c r="I9" s="373"/>
      <c r="J9" s="9"/>
      <c r="K9" s="6" t="s">
        <v>27</v>
      </c>
      <c r="L9" s="22" t="s">
        <v>12</v>
      </c>
      <c r="M9" s="23" t="s">
        <v>87</v>
      </c>
      <c r="N9" s="22" t="s">
        <v>28</v>
      </c>
      <c r="O9" s="22" t="s">
        <v>86</v>
      </c>
    </row>
    <row r="10" spans="1:22" x14ac:dyDescent="0.25">
      <c r="A10" s="59"/>
      <c r="B10" s="70"/>
      <c r="C10" s="57" t="s">
        <v>72</v>
      </c>
      <c r="D10" s="7"/>
      <c r="E10" s="49"/>
      <c r="F10" s="48">
        <v>1</v>
      </c>
      <c r="G10" s="48"/>
      <c r="H10" s="49"/>
      <c r="I10" s="55"/>
      <c r="K10" s="3"/>
      <c r="L10" s="3"/>
      <c r="M10" s="3"/>
      <c r="N10" s="3"/>
      <c r="O10" s="3"/>
    </row>
    <row r="11" spans="1:22" x14ac:dyDescent="0.25">
      <c r="A11" s="8"/>
      <c r="B11" s="71"/>
      <c r="C11" s="21" t="s">
        <v>73</v>
      </c>
      <c r="E11" s="17"/>
      <c r="F11" s="16">
        <v>1</v>
      </c>
      <c r="G11" s="16"/>
      <c r="H11" s="17"/>
      <c r="I11" s="72"/>
      <c r="K11" s="209"/>
      <c r="L11" s="209"/>
      <c r="M11" s="209"/>
      <c r="N11" s="209"/>
      <c r="O11" s="209"/>
      <c r="P11" s="17"/>
    </row>
    <row r="12" spans="1:22" x14ac:dyDescent="0.25">
      <c r="A12" s="8"/>
      <c r="B12" s="71"/>
      <c r="E12" s="17"/>
      <c r="F12" s="16">
        <v>1.2</v>
      </c>
      <c r="G12" s="16"/>
      <c r="H12" s="17">
        <f>F12*D12</f>
        <v>0</v>
      </c>
      <c r="I12" s="72"/>
      <c r="K12" s="369" t="s">
        <v>23</v>
      </c>
      <c r="L12" s="370"/>
      <c r="M12" s="370"/>
      <c r="N12" s="370"/>
      <c r="O12" s="371"/>
    </row>
    <row r="13" spans="1:22" ht="16.5" thickBot="1" x14ac:dyDescent="0.3">
      <c r="A13" s="8"/>
      <c r="C13" s="21" t="s">
        <v>23</v>
      </c>
      <c r="E13" s="17"/>
      <c r="F13" s="16">
        <v>1.2</v>
      </c>
      <c r="G13" s="16"/>
      <c r="H13" s="18">
        <f>F13*D13</f>
        <v>0</v>
      </c>
      <c r="I13" s="72"/>
      <c r="K13" s="47" t="s">
        <v>27</v>
      </c>
      <c r="L13" s="47" t="s">
        <v>12</v>
      </c>
      <c r="M13" s="47" t="s">
        <v>87</v>
      </c>
      <c r="N13" s="47" t="s">
        <v>28</v>
      </c>
      <c r="O13" s="28" t="s">
        <v>86</v>
      </c>
    </row>
    <row r="14" spans="1:22" x14ac:dyDescent="0.25">
      <c r="A14" s="73"/>
      <c r="B14" s="9"/>
      <c r="C14" s="9"/>
      <c r="D14" s="9"/>
      <c r="E14" s="9"/>
      <c r="F14" s="64"/>
      <c r="G14" s="64"/>
      <c r="H14" s="35">
        <f>SUM(H10:H13)</f>
        <v>0</v>
      </c>
      <c r="I14" s="74">
        <f>H14*I$6*I$5</f>
        <v>0</v>
      </c>
      <c r="K14" s="214">
        <v>0</v>
      </c>
      <c r="L14" s="214">
        <v>0</v>
      </c>
      <c r="M14" s="214">
        <v>0</v>
      </c>
      <c r="N14" s="214">
        <v>0</v>
      </c>
      <c r="O14" s="214">
        <v>0</v>
      </c>
    </row>
    <row r="16" spans="1:22" x14ac:dyDescent="0.25">
      <c r="A16" s="59" t="s">
        <v>152</v>
      </c>
      <c r="B16" s="70">
        <v>45516</v>
      </c>
      <c r="C16" s="57" t="s">
        <v>72</v>
      </c>
      <c r="D16" s="7"/>
      <c r="E16" s="49"/>
      <c r="F16" s="48">
        <v>1</v>
      </c>
      <c r="G16" s="48"/>
      <c r="H16" s="49"/>
      <c r="I16" s="55"/>
      <c r="K16" s="3"/>
      <c r="L16" s="3"/>
      <c r="M16" s="3"/>
      <c r="N16" s="3"/>
      <c r="O16" s="3"/>
    </row>
    <row r="17" spans="1:16" x14ac:dyDescent="0.25">
      <c r="A17" s="8"/>
      <c r="B17" s="71"/>
      <c r="C17" s="21" t="s">
        <v>73</v>
      </c>
      <c r="E17" s="17"/>
      <c r="F17" s="16">
        <v>1</v>
      </c>
      <c r="G17" s="16"/>
      <c r="H17" s="17"/>
      <c r="I17" s="72"/>
      <c r="K17" s="209"/>
      <c r="L17" s="209"/>
      <c r="M17" s="209"/>
      <c r="N17" s="209"/>
      <c r="O17" s="209"/>
      <c r="P17" s="17"/>
    </row>
    <row r="18" spans="1:16" x14ac:dyDescent="0.25">
      <c r="A18" s="8"/>
      <c r="B18" s="71"/>
      <c r="E18" s="17"/>
      <c r="F18" s="16">
        <v>1.2</v>
      </c>
      <c r="G18" s="16"/>
      <c r="H18" s="17">
        <f>F18*D18</f>
        <v>0</v>
      </c>
      <c r="I18" s="72"/>
      <c r="K18" s="369" t="s">
        <v>23</v>
      </c>
      <c r="L18" s="370"/>
      <c r="M18" s="370"/>
      <c r="N18" s="370"/>
      <c r="O18" s="371"/>
    </row>
    <row r="19" spans="1:16" ht="16.5" thickBot="1" x14ac:dyDescent="0.3">
      <c r="A19" s="8"/>
      <c r="C19" s="21" t="s">
        <v>23</v>
      </c>
      <c r="E19" s="17"/>
      <c r="F19" s="16">
        <v>1.2</v>
      </c>
      <c r="G19" s="16"/>
      <c r="H19" s="18">
        <f>F19*D19</f>
        <v>0</v>
      </c>
      <c r="I19" s="72"/>
      <c r="K19" s="47" t="s">
        <v>27</v>
      </c>
      <c r="L19" s="47" t="s">
        <v>12</v>
      </c>
      <c r="M19" s="47" t="s">
        <v>87</v>
      </c>
      <c r="N19" s="47" t="s">
        <v>28</v>
      </c>
      <c r="O19" s="28" t="s">
        <v>86</v>
      </c>
    </row>
    <row r="20" spans="1:16" x14ac:dyDescent="0.25">
      <c r="A20" s="73"/>
      <c r="B20" s="9"/>
      <c r="C20" s="9"/>
      <c r="D20" s="9"/>
      <c r="E20" s="9"/>
      <c r="F20" s="64"/>
      <c r="G20" s="64"/>
      <c r="H20" s="35">
        <f>SUM(H16:H19)</f>
        <v>0</v>
      </c>
      <c r="I20" s="74">
        <f>H20*I$6*I$5</f>
        <v>0</v>
      </c>
      <c r="K20" s="214" t="e">
        <f>K16/SUM(K16:O16)*I20</f>
        <v>#DIV/0!</v>
      </c>
      <c r="L20" s="214" t="e">
        <f>L16/SUM(K16:O16)*$I20</f>
        <v>#DIV/0!</v>
      </c>
      <c r="M20" s="214" t="e">
        <f>M16/SUM(K16:O16)*$I20</f>
        <v>#DIV/0!</v>
      </c>
      <c r="N20" s="214" t="e">
        <f>N16/SUM(K16:O16)*$I20</f>
        <v>#DIV/0!</v>
      </c>
      <c r="O20" s="214" t="e">
        <f>O16/SUM(K16:O16)*$I20</f>
        <v>#DIV/0!</v>
      </c>
    </row>
    <row r="22" spans="1:16" x14ac:dyDescent="0.25">
      <c r="A22" s="59" t="s">
        <v>2</v>
      </c>
      <c r="B22" s="70">
        <f>B16+1</f>
        <v>45517</v>
      </c>
      <c r="C22" s="57" t="s">
        <v>72</v>
      </c>
      <c r="D22" s="7"/>
      <c r="E22" s="49"/>
      <c r="F22" s="48">
        <v>1</v>
      </c>
      <c r="G22" s="48"/>
      <c r="H22" s="49"/>
      <c r="I22" s="55"/>
      <c r="K22" s="3"/>
      <c r="L22" s="3"/>
      <c r="M22" s="3"/>
      <c r="N22" s="3"/>
      <c r="O22" s="3"/>
    </row>
    <row r="23" spans="1:16" x14ac:dyDescent="0.25">
      <c r="A23" s="8"/>
      <c r="B23" s="71"/>
      <c r="C23" s="21" t="s">
        <v>73</v>
      </c>
      <c r="E23" s="17"/>
      <c r="F23" s="16">
        <v>1</v>
      </c>
      <c r="G23" s="16"/>
      <c r="H23" s="17"/>
      <c r="I23" s="72"/>
      <c r="K23" s="209"/>
      <c r="L23" s="209"/>
      <c r="M23" s="209"/>
      <c r="N23" s="209"/>
      <c r="O23" s="209"/>
      <c r="P23" s="17"/>
    </row>
    <row r="24" spans="1:16" x14ac:dyDescent="0.25">
      <c r="A24" s="8"/>
      <c r="B24" s="71"/>
      <c r="E24" s="17"/>
      <c r="F24" s="16">
        <v>1.2</v>
      </c>
      <c r="G24" s="16"/>
      <c r="H24" s="17">
        <f>F24*D24</f>
        <v>0</v>
      </c>
      <c r="I24" s="72"/>
      <c r="K24" s="369" t="s">
        <v>23</v>
      </c>
      <c r="L24" s="370"/>
      <c r="M24" s="370"/>
      <c r="N24" s="370"/>
      <c r="O24" s="371"/>
    </row>
    <row r="25" spans="1:16" ht="16.5" thickBot="1" x14ac:dyDescent="0.3">
      <c r="A25" s="8"/>
      <c r="C25" s="21" t="s">
        <v>23</v>
      </c>
      <c r="E25" s="17"/>
      <c r="F25" s="16">
        <v>1.2</v>
      </c>
      <c r="G25" s="16"/>
      <c r="H25" s="18">
        <f>F25*D25</f>
        <v>0</v>
      </c>
      <c r="I25" s="72"/>
      <c r="K25" s="47" t="s">
        <v>27</v>
      </c>
      <c r="L25" s="47" t="s">
        <v>12</v>
      </c>
      <c r="M25" s="47" t="s">
        <v>87</v>
      </c>
      <c r="N25" s="47" t="s">
        <v>28</v>
      </c>
      <c r="O25" s="28" t="s">
        <v>86</v>
      </c>
    </row>
    <row r="26" spans="1:16" x14ac:dyDescent="0.25">
      <c r="A26" s="73"/>
      <c r="B26" s="9"/>
      <c r="C26" s="9"/>
      <c r="D26" s="9"/>
      <c r="E26" s="9"/>
      <c r="F26" s="64"/>
      <c r="G26" s="64"/>
      <c r="H26" s="35">
        <f>SUM(H22:H25)</f>
        <v>0</v>
      </c>
      <c r="I26" s="74">
        <f>H26*I$6*I$5</f>
        <v>0</v>
      </c>
      <c r="K26" s="214" t="e">
        <f>K22/SUM(K22:O22)*I26</f>
        <v>#DIV/0!</v>
      </c>
      <c r="L26" s="214" t="e">
        <f>L22/SUM(K22:O22)*$I26</f>
        <v>#DIV/0!</v>
      </c>
      <c r="M26" s="214" t="e">
        <f>M22/SUM(K22:O22)*$I26</f>
        <v>#DIV/0!</v>
      </c>
      <c r="N26" s="214" t="e">
        <f>N22/SUM(K22:O22)*$I26</f>
        <v>#DIV/0!</v>
      </c>
      <c r="O26" s="214" t="e">
        <f>O22/SUM(K22:O22)*$I26</f>
        <v>#DIV/0!</v>
      </c>
    </row>
    <row r="28" spans="1:16" x14ac:dyDescent="0.25">
      <c r="A28" s="59" t="s">
        <v>3</v>
      </c>
      <c r="B28" s="70">
        <f>B22+1</f>
        <v>45518</v>
      </c>
      <c r="C28" s="57" t="s">
        <v>72</v>
      </c>
      <c r="D28" s="7"/>
      <c r="E28" s="49"/>
      <c r="F28" s="48">
        <v>1</v>
      </c>
      <c r="G28" s="48"/>
      <c r="H28" s="49"/>
      <c r="I28" s="55"/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1:16" x14ac:dyDescent="0.25">
      <c r="A29" s="8"/>
      <c r="B29" s="71"/>
      <c r="C29" s="21" t="s">
        <v>73</v>
      </c>
      <c r="E29" s="17"/>
      <c r="F29" s="16">
        <v>1</v>
      </c>
      <c r="G29" s="16"/>
      <c r="H29" s="17"/>
      <c r="I29" s="72"/>
      <c r="K29" s="209"/>
      <c r="L29" s="209"/>
      <c r="M29" s="209"/>
      <c r="N29" s="209"/>
      <c r="O29" s="209"/>
      <c r="P29" s="17"/>
    </row>
    <row r="30" spans="1:16" x14ac:dyDescent="0.25">
      <c r="A30" s="8"/>
      <c r="B30" s="71"/>
      <c r="E30" s="17"/>
      <c r="F30" s="16">
        <v>1.2</v>
      </c>
      <c r="G30" s="16"/>
      <c r="H30" s="17">
        <f>F30*D30</f>
        <v>0</v>
      </c>
      <c r="I30" s="72"/>
      <c r="K30" s="369" t="s">
        <v>23</v>
      </c>
      <c r="L30" s="370"/>
      <c r="M30" s="370"/>
      <c r="N30" s="370"/>
      <c r="O30" s="371"/>
    </row>
    <row r="31" spans="1:16" ht="16.5" thickBot="1" x14ac:dyDescent="0.3">
      <c r="A31" s="8"/>
      <c r="C31" s="21" t="s">
        <v>23</v>
      </c>
      <c r="E31" s="17"/>
      <c r="F31" s="16">
        <v>1.2</v>
      </c>
      <c r="G31" s="16"/>
      <c r="H31" s="18">
        <f>F31*D31</f>
        <v>0</v>
      </c>
      <c r="I31" s="72"/>
      <c r="K31" s="47" t="s">
        <v>27</v>
      </c>
      <c r="L31" s="47" t="s">
        <v>12</v>
      </c>
      <c r="M31" s="47" t="s">
        <v>87</v>
      </c>
      <c r="N31" s="47" t="s">
        <v>28</v>
      </c>
      <c r="O31" s="28" t="s">
        <v>86</v>
      </c>
    </row>
    <row r="32" spans="1:16" x14ac:dyDescent="0.25">
      <c r="A32" s="73"/>
      <c r="B32" s="9"/>
      <c r="C32" s="9"/>
      <c r="D32" s="9"/>
      <c r="E32" s="9"/>
      <c r="F32" s="64"/>
      <c r="G32" s="64"/>
      <c r="H32" s="35">
        <f>SUM(H28:H31)</f>
        <v>0</v>
      </c>
      <c r="I32" s="74">
        <f>H32*I$6*I$5</f>
        <v>0</v>
      </c>
      <c r="K32" s="214">
        <v>0</v>
      </c>
      <c r="L32" s="214">
        <v>0</v>
      </c>
      <c r="M32" s="214">
        <v>0</v>
      </c>
      <c r="N32" s="214">
        <v>0</v>
      </c>
      <c r="O32" s="214">
        <v>0</v>
      </c>
    </row>
    <row r="34" spans="1:16" x14ac:dyDescent="0.25">
      <c r="A34" s="59" t="s">
        <v>4</v>
      </c>
      <c r="B34" s="70">
        <f>B28+1</f>
        <v>45519</v>
      </c>
      <c r="C34" s="57" t="s">
        <v>72</v>
      </c>
      <c r="D34" s="7"/>
      <c r="E34" s="49"/>
      <c r="F34" s="48">
        <v>1</v>
      </c>
      <c r="G34" s="48"/>
      <c r="H34" s="49"/>
      <c r="I34" s="55"/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1:16" x14ac:dyDescent="0.25">
      <c r="A35" s="8"/>
      <c r="B35" s="71"/>
      <c r="C35" s="21" t="s">
        <v>73</v>
      </c>
      <c r="E35" s="17"/>
      <c r="F35" s="16">
        <v>1</v>
      </c>
      <c r="G35" s="16"/>
      <c r="H35" s="17"/>
      <c r="I35" s="72"/>
      <c r="K35" s="209"/>
      <c r="L35" s="209"/>
      <c r="M35" s="209"/>
      <c r="N35" s="209"/>
      <c r="O35" s="209"/>
      <c r="P35" s="17"/>
    </row>
    <row r="36" spans="1:16" x14ac:dyDescent="0.25">
      <c r="A36" s="8"/>
      <c r="B36" s="71"/>
      <c r="E36" s="17"/>
      <c r="F36" s="16">
        <v>1.2</v>
      </c>
      <c r="G36" s="16"/>
      <c r="H36" s="17">
        <f>F36*D36</f>
        <v>0</v>
      </c>
      <c r="I36" s="72"/>
      <c r="K36" s="369" t="s">
        <v>23</v>
      </c>
      <c r="L36" s="370"/>
      <c r="M36" s="370"/>
      <c r="N36" s="370"/>
      <c r="O36" s="371"/>
    </row>
    <row r="37" spans="1:16" ht="16.5" thickBot="1" x14ac:dyDescent="0.3">
      <c r="A37" s="8"/>
      <c r="C37" s="21" t="s">
        <v>23</v>
      </c>
      <c r="E37" s="17"/>
      <c r="F37" s="16">
        <v>1.2</v>
      </c>
      <c r="G37" s="16"/>
      <c r="H37" s="18">
        <f>F37*D37</f>
        <v>0</v>
      </c>
      <c r="I37" s="72"/>
      <c r="K37" s="47" t="s">
        <v>27</v>
      </c>
      <c r="L37" s="47" t="s">
        <v>12</v>
      </c>
      <c r="M37" s="47" t="s">
        <v>87</v>
      </c>
      <c r="N37" s="47" t="s">
        <v>28</v>
      </c>
      <c r="O37" s="28" t="s">
        <v>86</v>
      </c>
    </row>
    <row r="38" spans="1:16" x14ac:dyDescent="0.25">
      <c r="A38" s="73"/>
      <c r="B38" s="9"/>
      <c r="C38" s="9"/>
      <c r="D38" s="9"/>
      <c r="E38" s="9"/>
      <c r="F38" s="64"/>
      <c r="G38" s="64"/>
      <c r="H38" s="35">
        <f>SUM(H34:H37)</f>
        <v>0</v>
      </c>
      <c r="I38" s="74">
        <f>H38*I$6*I$5</f>
        <v>0</v>
      </c>
      <c r="K38" s="214">
        <v>0</v>
      </c>
      <c r="L38" s="214">
        <v>0</v>
      </c>
      <c r="M38" s="214">
        <v>0</v>
      </c>
      <c r="N38" s="214">
        <v>0</v>
      </c>
      <c r="O38" s="214">
        <v>0</v>
      </c>
    </row>
    <row r="39" spans="1:16" x14ac:dyDescent="0.25">
      <c r="H39" s="209"/>
    </row>
    <row r="40" spans="1:16" x14ac:dyDescent="0.25">
      <c r="A40" s="59" t="s">
        <v>5</v>
      </c>
      <c r="B40" s="70">
        <f>B34+1</f>
        <v>45520</v>
      </c>
      <c r="C40" s="57" t="s">
        <v>72</v>
      </c>
      <c r="D40" s="7"/>
      <c r="E40" s="49"/>
      <c r="F40" s="48">
        <v>1</v>
      </c>
      <c r="G40" s="48"/>
      <c r="H40" s="17">
        <f>F40*D40*G40</f>
        <v>0</v>
      </c>
      <c r="I40" s="55"/>
      <c r="K40" s="3"/>
      <c r="L40" s="3"/>
      <c r="M40" s="3"/>
      <c r="N40" s="3"/>
      <c r="O40" s="3"/>
    </row>
    <row r="41" spans="1:16" x14ac:dyDescent="0.25">
      <c r="A41" s="8"/>
      <c r="B41" s="71"/>
      <c r="C41" s="21" t="s">
        <v>73</v>
      </c>
      <c r="E41" s="17"/>
      <c r="F41" s="16">
        <v>1</v>
      </c>
      <c r="G41" s="16"/>
      <c r="H41" s="17">
        <f>F41*D41</f>
        <v>0</v>
      </c>
      <c r="I41" s="72"/>
      <c r="K41" s="209"/>
      <c r="L41" s="209"/>
      <c r="M41" s="209"/>
      <c r="N41" s="209"/>
      <c r="O41" s="209"/>
      <c r="P41" s="17"/>
    </row>
    <row r="42" spans="1:16" x14ac:dyDescent="0.25">
      <c r="A42" s="8"/>
      <c r="B42" s="71"/>
      <c r="E42" s="17"/>
      <c r="F42" s="16">
        <v>1.2</v>
      </c>
      <c r="G42" s="16"/>
      <c r="H42" s="17">
        <f>F42*D42</f>
        <v>0</v>
      </c>
      <c r="I42" s="72"/>
      <c r="K42" s="369" t="s">
        <v>23</v>
      </c>
      <c r="L42" s="370"/>
      <c r="M42" s="370"/>
      <c r="N42" s="370"/>
      <c r="O42" s="371"/>
    </row>
    <row r="43" spans="1:16" ht="16.5" thickBot="1" x14ac:dyDescent="0.3">
      <c r="A43" s="8"/>
      <c r="C43" s="21" t="s">
        <v>23</v>
      </c>
      <c r="E43" s="17"/>
      <c r="F43" s="16">
        <v>1</v>
      </c>
      <c r="G43" s="16">
        <v>100</v>
      </c>
      <c r="H43" s="18">
        <f>F43*D43</f>
        <v>0</v>
      </c>
      <c r="I43" s="72"/>
      <c r="K43" s="47" t="s">
        <v>27</v>
      </c>
      <c r="L43" s="47" t="s">
        <v>12</v>
      </c>
      <c r="M43" s="47" t="s">
        <v>87</v>
      </c>
      <c r="N43" s="47" t="s">
        <v>28</v>
      </c>
      <c r="O43" s="28" t="s">
        <v>86</v>
      </c>
    </row>
    <row r="44" spans="1:16" x14ac:dyDescent="0.25">
      <c r="A44" s="73"/>
      <c r="B44" s="9"/>
      <c r="C44" s="9"/>
      <c r="D44" s="9"/>
      <c r="E44" s="9"/>
      <c r="F44" s="64"/>
      <c r="G44" s="64"/>
      <c r="H44" s="35">
        <f>SUM(H40:H43)</f>
        <v>0</v>
      </c>
      <c r="I44" s="74">
        <f>H44*I$6*I$5</f>
        <v>0</v>
      </c>
      <c r="K44" s="214" t="e">
        <f>K40/SUM(K40:O40)*I44</f>
        <v>#DIV/0!</v>
      </c>
      <c r="L44" s="214" t="e">
        <f>L40/SUM(K40:O40)*$I44</f>
        <v>#DIV/0!</v>
      </c>
      <c r="M44" s="214" t="e">
        <f>M40/SUM(K40:O40)*$I44</f>
        <v>#DIV/0!</v>
      </c>
      <c r="N44" s="214" t="e">
        <f>N40/SUM(K40:O40)*$I44</f>
        <v>#DIV/0!</v>
      </c>
      <c r="O44" s="214" t="e">
        <f>O40/SUM(K40:O40)*$I44</f>
        <v>#DIV/0!</v>
      </c>
    </row>
    <row r="46" spans="1:16" x14ac:dyDescent="0.25">
      <c r="A46" s="59" t="s">
        <v>6</v>
      </c>
      <c r="B46" s="70">
        <f>B40+1</f>
        <v>45521</v>
      </c>
      <c r="C46" s="57" t="s">
        <v>72</v>
      </c>
      <c r="D46" s="7"/>
      <c r="E46" s="49"/>
      <c r="F46" s="48">
        <v>1</v>
      </c>
      <c r="G46" s="48"/>
      <c r="H46" s="49">
        <f>D46*F46*G46</f>
        <v>0</v>
      </c>
      <c r="I46" s="55"/>
      <c r="K46" s="3"/>
      <c r="L46" s="3">
        <v>1</v>
      </c>
      <c r="M46" s="3"/>
      <c r="N46" s="3"/>
      <c r="O46" s="3"/>
    </row>
    <row r="47" spans="1:16" x14ac:dyDescent="0.25">
      <c r="A47" s="8"/>
      <c r="B47" s="71"/>
      <c r="C47" s="21" t="s">
        <v>73</v>
      </c>
      <c r="E47" s="17"/>
      <c r="F47" s="16">
        <v>1</v>
      </c>
      <c r="G47" s="16"/>
      <c r="H47" s="17">
        <f>D47*F47*G47</f>
        <v>0</v>
      </c>
      <c r="I47" s="72"/>
      <c r="K47" s="209"/>
      <c r="L47" s="209"/>
      <c r="M47" s="209"/>
      <c r="N47" s="209"/>
      <c r="O47" s="209"/>
      <c r="P47" s="17"/>
    </row>
    <row r="48" spans="1:16" x14ac:dyDescent="0.25">
      <c r="A48" s="8"/>
      <c r="B48" s="71"/>
      <c r="E48" s="17"/>
      <c r="F48" s="16">
        <v>1.2</v>
      </c>
      <c r="G48" s="16"/>
      <c r="H48" s="17">
        <f>F48*D48</f>
        <v>0</v>
      </c>
      <c r="I48" s="72"/>
      <c r="K48" s="369" t="s">
        <v>23</v>
      </c>
      <c r="L48" s="370"/>
      <c r="M48" s="370"/>
      <c r="N48" s="370"/>
      <c r="O48" s="371"/>
    </row>
    <row r="49" spans="1:16" ht="16.5" thickBot="1" x14ac:dyDescent="0.3">
      <c r="A49" s="8"/>
      <c r="C49" s="21" t="s">
        <v>23</v>
      </c>
      <c r="E49" s="17"/>
      <c r="F49" s="16">
        <v>1.2</v>
      </c>
      <c r="G49" s="16">
        <f>0/2</f>
        <v>0</v>
      </c>
      <c r="H49" s="18">
        <f>F49*D49</f>
        <v>0</v>
      </c>
      <c r="I49" s="72"/>
      <c r="K49" s="47" t="s">
        <v>27</v>
      </c>
      <c r="L49" s="47" t="s">
        <v>12</v>
      </c>
      <c r="M49" s="47" t="s">
        <v>87</v>
      </c>
      <c r="N49" s="47" t="s">
        <v>28</v>
      </c>
      <c r="O49" s="28" t="s">
        <v>86</v>
      </c>
    </row>
    <row r="50" spans="1:16" x14ac:dyDescent="0.25">
      <c r="A50" s="73"/>
      <c r="B50" s="9"/>
      <c r="C50" s="9"/>
      <c r="D50" s="9"/>
      <c r="E50" s="9"/>
      <c r="F50" s="64"/>
      <c r="G50" s="64"/>
      <c r="H50" s="35">
        <f>SUM(H46:H49)</f>
        <v>0</v>
      </c>
      <c r="I50" s="74">
        <f>H50*I$6*I$5</f>
        <v>0</v>
      </c>
      <c r="K50" s="214">
        <f>K46/SUM(K46:O46)*I50</f>
        <v>0</v>
      </c>
      <c r="L50" s="214">
        <f>L46/SUM(K46:O46)*$I50</f>
        <v>0</v>
      </c>
      <c r="M50" s="214">
        <f>M46/SUM(K46:O46)*$I50</f>
        <v>0</v>
      </c>
      <c r="N50" s="214">
        <f>N46/SUM(K46:O46)*$I50</f>
        <v>0</v>
      </c>
      <c r="O50" s="214">
        <f>O46/SUM(K46:O46)*$I50</f>
        <v>0</v>
      </c>
    </row>
    <row r="52" spans="1:16" x14ac:dyDescent="0.25">
      <c r="A52" s="59" t="s">
        <v>0</v>
      </c>
      <c r="B52" s="70">
        <f>B46+1</f>
        <v>45522</v>
      </c>
      <c r="C52" s="57" t="s">
        <v>72</v>
      </c>
      <c r="D52" s="7">
        <v>1</v>
      </c>
      <c r="E52" s="49">
        <v>7.3</v>
      </c>
      <c r="F52" s="48">
        <v>1</v>
      </c>
      <c r="G52" s="48">
        <v>100</v>
      </c>
      <c r="H52" s="49">
        <f>F52*D52</f>
        <v>1</v>
      </c>
      <c r="I52" s="55"/>
      <c r="K52" s="3"/>
      <c r="L52" s="3"/>
      <c r="M52" s="3"/>
      <c r="N52" s="3"/>
      <c r="O52" s="3"/>
    </row>
    <row r="53" spans="1:16" x14ac:dyDescent="0.25">
      <c r="A53" s="8"/>
      <c r="B53" s="71"/>
      <c r="C53" s="21" t="s">
        <v>73</v>
      </c>
      <c r="D53">
        <v>0</v>
      </c>
      <c r="E53" s="17">
        <v>7.1</v>
      </c>
      <c r="F53" s="16">
        <v>1</v>
      </c>
      <c r="G53" s="16">
        <v>100</v>
      </c>
      <c r="H53" s="17">
        <f>F53*D53</f>
        <v>0</v>
      </c>
      <c r="I53" s="72"/>
      <c r="K53" s="209"/>
      <c r="L53" s="209"/>
      <c r="M53" s="209"/>
      <c r="N53" s="209"/>
      <c r="O53" s="209"/>
      <c r="P53" s="17"/>
    </row>
    <row r="54" spans="1:16" x14ac:dyDescent="0.25">
      <c r="A54" s="8"/>
      <c r="B54" s="71"/>
      <c r="E54" s="17"/>
      <c r="F54" s="16">
        <v>1.2</v>
      </c>
      <c r="G54" s="16"/>
      <c r="H54" s="17">
        <f>F54*D54</f>
        <v>0</v>
      </c>
      <c r="I54" s="72"/>
      <c r="K54" s="369" t="s">
        <v>23</v>
      </c>
      <c r="L54" s="370"/>
      <c r="M54" s="370"/>
      <c r="N54" s="370"/>
      <c r="O54" s="371"/>
    </row>
    <row r="55" spans="1:16" ht="16.5" thickBot="1" x14ac:dyDescent="0.3">
      <c r="A55" s="8"/>
      <c r="C55" s="21" t="s">
        <v>23</v>
      </c>
      <c r="E55" s="17"/>
      <c r="F55" s="16">
        <v>1.2</v>
      </c>
      <c r="G55" s="16"/>
      <c r="H55" s="18">
        <f>F55*D55</f>
        <v>0</v>
      </c>
      <c r="I55" s="72"/>
      <c r="K55" s="47" t="s">
        <v>27</v>
      </c>
      <c r="L55" s="47" t="s">
        <v>12</v>
      </c>
      <c r="M55" s="47" t="s">
        <v>87</v>
      </c>
      <c r="N55" s="47" t="s">
        <v>28</v>
      </c>
      <c r="O55" s="28" t="s">
        <v>86</v>
      </c>
    </row>
    <row r="56" spans="1:16" x14ac:dyDescent="0.25">
      <c r="A56" s="73"/>
      <c r="B56" s="9"/>
      <c r="C56" s="9"/>
      <c r="D56" s="9"/>
      <c r="E56" s="9"/>
      <c r="F56" s="64"/>
      <c r="G56" s="64"/>
      <c r="H56" s="35">
        <f>SUM(H52:H55)</f>
        <v>1</v>
      </c>
      <c r="I56" s="74">
        <f>H56*I$6*I$5</f>
        <v>1.4135</v>
      </c>
      <c r="K56" s="214">
        <v>0</v>
      </c>
      <c r="L56" s="214">
        <v>0</v>
      </c>
      <c r="M56" s="214">
        <v>0</v>
      </c>
      <c r="N56" s="214">
        <v>0</v>
      </c>
      <c r="O56" s="214">
        <v>0</v>
      </c>
    </row>
    <row r="58" spans="1:16" x14ac:dyDescent="0.25">
      <c r="A58" s="59" t="s">
        <v>152</v>
      </c>
      <c r="B58" s="70">
        <f>B52+1</f>
        <v>45523</v>
      </c>
      <c r="C58" s="57" t="s">
        <v>72</v>
      </c>
      <c r="D58" s="7"/>
      <c r="E58" s="49"/>
      <c r="F58" s="48">
        <v>1</v>
      </c>
      <c r="G58" s="48"/>
      <c r="H58" s="49">
        <f>F58*D58</f>
        <v>0</v>
      </c>
      <c r="I58" s="55"/>
      <c r="K58" s="3"/>
      <c r="L58" s="3"/>
      <c r="M58" s="3"/>
      <c r="N58" s="3"/>
      <c r="O58" s="3"/>
    </row>
    <row r="59" spans="1:16" x14ac:dyDescent="0.25">
      <c r="A59" s="8"/>
      <c r="B59" s="71"/>
      <c r="C59" s="21" t="s">
        <v>73</v>
      </c>
      <c r="E59" s="17"/>
      <c r="F59" s="16">
        <v>1</v>
      </c>
      <c r="G59" s="16"/>
      <c r="H59" s="17">
        <f>F59*D59</f>
        <v>0</v>
      </c>
      <c r="I59" s="72"/>
      <c r="K59" s="209"/>
      <c r="L59" s="209"/>
      <c r="M59" s="209"/>
      <c r="N59" s="209"/>
      <c r="O59" s="209"/>
      <c r="P59" s="17"/>
    </row>
    <row r="60" spans="1:16" x14ac:dyDescent="0.25">
      <c r="A60" s="8"/>
      <c r="B60" s="71"/>
      <c r="E60" s="17"/>
      <c r="F60" s="16">
        <v>1.2</v>
      </c>
      <c r="G60" s="16"/>
      <c r="H60" s="17">
        <f>F60*D60</f>
        <v>0</v>
      </c>
      <c r="I60" s="72"/>
      <c r="K60" s="369" t="s">
        <v>23</v>
      </c>
      <c r="L60" s="370"/>
      <c r="M60" s="370"/>
      <c r="N60" s="370"/>
      <c r="O60" s="371"/>
    </row>
    <row r="61" spans="1:16" ht="16.5" thickBot="1" x14ac:dyDescent="0.3">
      <c r="A61" s="8"/>
      <c r="C61" s="21" t="s">
        <v>23</v>
      </c>
      <c r="E61" s="17"/>
      <c r="F61" s="16">
        <v>1.2</v>
      </c>
      <c r="G61" s="16"/>
      <c r="H61" s="18">
        <f>F61*D61</f>
        <v>0</v>
      </c>
      <c r="I61" s="72"/>
      <c r="K61" s="47" t="s">
        <v>27</v>
      </c>
      <c r="L61" s="47" t="s">
        <v>12</v>
      </c>
      <c r="M61" s="47" t="s">
        <v>87</v>
      </c>
      <c r="N61" s="47" t="s">
        <v>28</v>
      </c>
      <c r="O61" s="28" t="s">
        <v>86</v>
      </c>
    </row>
    <row r="62" spans="1:16" x14ac:dyDescent="0.25">
      <c r="A62" s="73"/>
      <c r="B62" s="9"/>
      <c r="C62" s="9"/>
      <c r="D62" s="9"/>
      <c r="E62" s="9"/>
      <c r="F62" s="64"/>
      <c r="G62" s="64"/>
      <c r="H62" s="35">
        <f>SUM(H58:H61)</f>
        <v>0</v>
      </c>
      <c r="I62" s="74">
        <f>H62*I$6*I$5</f>
        <v>0</v>
      </c>
      <c r="K62" s="214" t="e">
        <f>K58/SUM(K58:O58)*I62</f>
        <v>#DIV/0!</v>
      </c>
      <c r="L62" s="214" t="e">
        <f>L58/SUM(K58:O58)*$I62</f>
        <v>#DIV/0!</v>
      </c>
      <c r="M62" s="214" t="e">
        <f>M58/SUM(K58:O58)*$I62</f>
        <v>#DIV/0!</v>
      </c>
      <c r="N62" s="214" t="e">
        <f>N58/SUM(K58:O58)*$I62</f>
        <v>#DIV/0!</v>
      </c>
      <c r="O62" s="214" t="e">
        <f>O58/SUM(K58:O58)*$I62</f>
        <v>#DIV/0!</v>
      </c>
    </row>
    <row r="64" spans="1:16" x14ac:dyDescent="0.25">
      <c r="A64" s="59" t="s">
        <v>2</v>
      </c>
      <c r="B64" s="70">
        <f>B58+1</f>
        <v>45524</v>
      </c>
      <c r="C64" s="57" t="s">
        <v>72</v>
      </c>
      <c r="D64" s="7"/>
      <c r="E64" s="49"/>
      <c r="F64" s="48">
        <v>1</v>
      </c>
      <c r="G64" s="48"/>
      <c r="H64" s="49"/>
      <c r="I64" s="55"/>
      <c r="K64" s="3"/>
      <c r="L64" s="3"/>
      <c r="M64" s="3"/>
      <c r="N64" s="3"/>
      <c r="O64" s="3"/>
    </row>
    <row r="65" spans="1:16" x14ac:dyDescent="0.25">
      <c r="A65" s="8"/>
      <c r="B65" s="71"/>
      <c r="C65" s="21" t="s">
        <v>73</v>
      </c>
      <c r="E65" s="17"/>
      <c r="F65" s="16">
        <v>1</v>
      </c>
      <c r="G65" s="16"/>
      <c r="H65" s="17"/>
      <c r="I65" s="72"/>
      <c r="K65" s="209"/>
      <c r="L65" s="209"/>
      <c r="M65" s="209"/>
      <c r="N65" s="209"/>
      <c r="O65" s="209"/>
      <c r="P65" s="17"/>
    </row>
    <row r="66" spans="1:16" x14ac:dyDescent="0.25">
      <c r="A66" s="8"/>
      <c r="B66" s="71"/>
      <c r="E66" s="17"/>
      <c r="F66" s="16">
        <v>1.2</v>
      </c>
      <c r="G66" s="16"/>
      <c r="H66" s="17">
        <f>F66*D66</f>
        <v>0</v>
      </c>
      <c r="I66" s="72"/>
      <c r="K66" s="369" t="s">
        <v>23</v>
      </c>
      <c r="L66" s="370"/>
      <c r="M66" s="370"/>
      <c r="N66" s="370"/>
      <c r="O66" s="371"/>
    </row>
    <row r="67" spans="1:16" ht="16.5" thickBot="1" x14ac:dyDescent="0.3">
      <c r="A67" s="8"/>
      <c r="C67" s="21" t="s">
        <v>23</v>
      </c>
      <c r="E67" s="17"/>
      <c r="F67" s="16">
        <v>1.2</v>
      </c>
      <c r="G67" s="16"/>
      <c r="H67" s="18">
        <f>F67*D67</f>
        <v>0</v>
      </c>
      <c r="I67" s="72"/>
      <c r="K67" s="47" t="s">
        <v>27</v>
      </c>
      <c r="L67" s="47" t="s">
        <v>12</v>
      </c>
      <c r="M67" s="47" t="s">
        <v>87</v>
      </c>
      <c r="N67" s="47" t="s">
        <v>28</v>
      </c>
      <c r="O67" s="28" t="s">
        <v>86</v>
      </c>
    </row>
    <row r="68" spans="1:16" x14ac:dyDescent="0.25">
      <c r="A68" s="73"/>
      <c r="B68" s="9"/>
      <c r="C68" s="9"/>
      <c r="D68" s="9"/>
      <c r="E68" s="9"/>
      <c r="F68" s="64"/>
      <c r="G68" s="64"/>
      <c r="H68" s="35">
        <f>SUM(H64:H67)</f>
        <v>0</v>
      </c>
      <c r="I68" s="74">
        <f>H68*I$6*I$5</f>
        <v>0</v>
      </c>
      <c r="K68" s="214" t="e">
        <f>K64/SUM(K64:O64)*I68</f>
        <v>#DIV/0!</v>
      </c>
      <c r="L68" s="214" t="e">
        <f>L64/SUM(K64:O64)*$I68</f>
        <v>#DIV/0!</v>
      </c>
      <c r="M68" s="214" t="e">
        <f>M64/SUM(K64:O64)*$I68</f>
        <v>#DIV/0!</v>
      </c>
      <c r="N68" s="214" t="e">
        <f>N64/SUM(K64:O64)*$I68</f>
        <v>#DIV/0!</v>
      </c>
      <c r="O68" s="214" t="e">
        <f>O64/SUM(K64:O64)*$I68</f>
        <v>#DIV/0!</v>
      </c>
    </row>
    <row r="70" spans="1:16" x14ac:dyDescent="0.25">
      <c r="A70" s="59" t="s">
        <v>3</v>
      </c>
      <c r="B70" s="70">
        <f>B64+1</f>
        <v>45525</v>
      </c>
      <c r="C70" s="57" t="s">
        <v>72</v>
      </c>
      <c r="D70" s="7"/>
      <c r="E70" s="49"/>
      <c r="F70" s="48">
        <v>1</v>
      </c>
      <c r="G70" s="48"/>
      <c r="H70" s="49"/>
      <c r="I70" s="55"/>
      <c r="K70" s="3"/>
      <c r="L70" s="3"/>
      <c r="M70" s="3"/>
      <c r="N70" s="3"/>
      <c r="O70" s="3"/>
    </row>
    <row r="71" spans="1:16" x14ac:dyDescent="0.25">
      <c r="A71" s="8"/>
      <c r="B71" s="71"/>
      <c r="C71" s="21" t="s">
        <v>73</v>
      </c>
      <c r="E71" s="17"/>
      <c r="F71" s="16">
        <v>1</v>
      </c>
      <c r="G71" s="16"/>
      <c r="H71" s="17"/>
      <c r="I71" s="72"/>
      <c r="K71" s="209"/>
      <c r="L71" s="209"/>
      <c r="M71" s="209"/>
      <c r="N71" s="209"/>
      <c r="O71" s="209"/>
      <c r="P71" s="17"/>
    </row>
    <row r="72" spans="1:16" x14ac:dyDescent="0.25">
      <c r="A72" s="8"/>
      <c r="B72" s="71"/>
      <c r="E72" s="17"/>
      <c r="F72" s="16">
        <v>1.2</v>
      </c>
      <c r="G72" s="16"/>
      <c r="H72" s="17">
        <f>F72*D72</f>
        <v>0</v>
      </c>
      <c r="I72" s="72"/>
      <c r="K72" s="369" t="s">
        <v>23</v>
      </c>
      <c r="L72" s="370"/>
      <c r="M72" s="370"/>
      <c r="N72" s="370"/>
      <c r="O72" s="371"/>
    </row>
    <row r="73" spans="1:16" ht="16.5" thickBot="1" x14ac:dyDescent="0.3">
      <c r="A73" s="8"/>
      <c r="C73" s="21" t="s">
        <v>23</v>
      </c>
      <c r="E73" s="17"/>
      <c r="F73" s="16">
        <v>1.2</v>
      </c>
      <c r="G73" s="16"/>
      <c r="H73" s="18">
        <f>F73*D73</f>
        <v>0</v>
      </c>
      <c r="I73" s="72"/>
      <c r="K73" s="47" t="s">
        <v>27</v>
      </c>
      <c r="L73" s="47" t="s">
        <v>12</v>
      </c>
      <c r="M73" s="47" t="s">
        <v>87</v>
      </c>
      <c r="N73" s="47" t="s">
        <v>28</v>
      </c>
      <c r="O73" s="28" t="s">
        <v>86</v>
      </c>
    </row>
    <row r="74" spans="1:16" x14ac:dyDescent="0.25">
      <c r="A74" s="73"/>
      <c r="B74" s="9"/>
      <c r="C74" s="9"/>
      <c r="D74" s="9"/>
      <c r="E74" s="9"/>
      <c r="F74" s="64"/>
      <c r="G74" s="64"/>
      <c r="H74" s="35">
        <f>SUM(H70:H73)</f>
        <v>0</v>
      </c>
      <c r="I74" s="74">
        <f>H74*I$6*I$5</f>
        <v>0</v>
      </c>
      <c r="K74" s="214" t="e">
        <f>K70/SUM(K70:O70)*I74</f>
        <v>#DIV/0!</v>
      </c>
      <c r="L74" s="214" t="e">
        <f>L70/SUM(K70:O70)*$I74</f>
        <v>#DIV/0!</v>
      </c>
      <c r="M74" s="214" t="e">
        <f>M70/SUM(K70:O70)*$I74</f>
        <v>#DIV/0!</v>
      </c>
      <c r="N74" s="214" t="e">
        <f>N70/SUM(K70:O70)*$I74</f>
        <v>#DIV/0!</v>
      </c>
      <c r="O74" s="214" t="e">
        <f>O70/SUM(K70:O70)*$I74</f>
        <v>#DIV/0!</v>
      </c>
    </row>
    <row r="76" spans="1:16" x14ac:dyDescent="0.25">
      <c r="A76" s="59" t="s">
        <v>4</v>
      </c>
      <c r="B76" s="70">
        <f>B70+1</f>
        <v>45526</v>
      </c>
      <c r="C76" s="57" t="s">
        <v>72</v>
      </c>
      <c r="D76" s="7"/>
      <c r="E76" s="49"/>
      <c r="F76" s="48">
        <v>1</v>
      </c>
      <c r="G76" s="48"/>
      <c r="H76" s="49"/>
      <c r="I76" s="55"/>
      <c r="K76" s="3"/>
      <c r="L76" s="3"/>
      <c r="M76" s="3"/>
      <c r="N76" s="3"/>
      <c r="O76" s="3"/>
    </row>
    <row r="77" spans="1:16" x14ac:dyDescent="0.25">
      <c r="A77" s="8"/>
      <c r="B77" s="71"/>
      <c r="C77" s="21" t="s">
        <v>73</v>
      </c>
      <c r="E77" s="17"/>
      <c r="F77" s="16">
        <v>1</v>
      </c>
      <c r="G77" s="16"/>
      <c r="H77" s="17"/>
      <c r="I77" s="72"/>
      <c r="K77" s="209"/>
      <c r="L77" s="209"/>
      <c r="M77" s="209"/>
      <c r="N77" s="209"/>
      <c r="O77" s="209"/>
      <c r="P77" s="17"/>
    </row>
    <row r="78" spans="1:16" x14ac:dyDescent="0.25">
      <c r="A78" s="8"/>
      <c r="B78" s="71"/>
      <c r="C78" s="21"/>
      <c r="E78" s="17"/>
      <c r="F78" s="16">
        <v>1</v>
      </c>
      <c r="G78" s="16"/>
      <c r="H78" s="17">
        <f>F78*D78</f>
        <v>0</v>
      </c>
      <c r="I78" s="72"/>
      <c r="K78" s="369" t="s">
        <v>23</v>
      </c>
      <c r="L78" s="370"/>
      <c r="M78" s="370"/>
      <c r="N78" s="370"/>
      <c r="O78" s="371"/>
    </row>
    <row r="79" spans="1:16" ht="16.5" thickBot="1" x14ac:dyDescent="0.3">
      <c r="A79" s="8"/>
      <c r="C79" s="21" t="s">
        <v>47</v>
      </c>
      <c r="E79" s="17"/>
      <c r="F79" s="16">
        <v>1</v>
      </c>
      <c r="G79" s="16"/>
      <c r="H79" s="85">
        <f>F79*D79</f>
        <v>0</v>
      </c>
      <c r="I79" s="86"/>
      <c r="K79" s="47" t="s">
        <v>27</v>
      </c>
      <c r="L79" s="47" t="s">
        <v>12</v>
      </c>
      <c r="M79" s="47" t="s">
        <v>87</v>
      </c>
      <c r="N79" s="47" t="s">
        <v>28</v>
      </c>
      <c r="O79" s="28" t="s">
        <v>86</v>
      </c>
    </row>
    <row r="80" spans="1:16" ht="16.5" thickTop="1" x14ac:dyDescent="0.25">
      <c r="A80" s="73"/>
      <c r="B80" s="9"/>
      <c r="C80" s="9"/>
      <c r="D80" s="9"/>
      <c r="E80" s="9"/>
      <c r="F80" s="64"/>
      <c r="G80" s="64"/>
      <c r="H80" s="35">
        <f>SUM(H76:H79)</f>
        <v>0</v>
      </c>
      <c r="I80" s="74">
        <f>H80*I$6*I$5</f>
        <v>0</v>
      </c>
      <c r="K80" s="214">
        <v>0</v>
      </c>
      <c r="L80" s="214">
        <v>0</v>
      </c>
      <c r="M80" s="214">
        <v>0</v>
      </c>
      <c r="N80" s="214">
        <v>0</v>
      </c>
      <c r="O80" s="214">
        <v>0</v>
      </c>
    </row>
    <row r="82" spans="1:16" x14ac:dyDescent="0.25">
      <c r="A82" s="59" t="s">
        <v>5</v>
      </c>
      <c r="B82" s="70">
        <f>B76+1</f>
        <v>45527</v>
      </c>
      <c r="C82" s="57" t="s">
        <v>72</v>
      </c>
      <c r="D82" s="7"/>
      <c r="E82" s="49"/>
      <c r="F82" s="48">
        <v>1</v>
      </c>
      <c r="G82" s="48">
        <v>0</v>
      </c>
      <c r="H82" s="49">
        <f>D82*F82*G82</f>
        <v>0</v>
      </c>
      <c r="I82" s="55"/>
      <c r="K82" s="3"/>
      <c r="L82" s="3">
        <v>1</v>
      </c>
      <c r="M82" s="3"/>
      <c r="N82" s="3"/>
      <c r="O82" s="3"/>
    </row>
    <row r="83" spans="1:16" x14ac:dyDescent="0.25">
      <c r="A83" s="8"/>
      <c r="B83" s="71"/>
      <c r="C83" s="21" t="s">
        <v>73</v>
      </c>
      <c r="E83" s="17"/>
      <c r="F83" s="16">
        <v>1</v>
      </c>
      <c r="G83" s="16"/>
      <c r="H83" s="17">
        <f>F83*D83</f>
        <v>0</v>
      </c>
      <c r="I83" s="72"/>
      <c r="K83" s="209"/>
      <c r="L83" s="209"/>
      <c r="M83" s="209"/>
      <c r="N83" s="209"/>
      <c r="O83" s="209"/>
      <c r="P83" s="17"/>
    </row>
    <row r="84" spans="1:16" x14ac:dyDescent="0.25">
      <c r="A84" s="8"/>
      <c r="B84" s="71"/>
      <c r="C84" s="21"/>
      <c r="E84" s="17"/>
      <c r="F84" s="16">
        <v>1</v>
      </c>
      <c r="G84" s="16"/>
      <c r="H84" s="17">
        <f>F84*D84</f>
        <v>0</v>
      </c>
      <c r="I84" s="72"/>
      <c r="K84" s="369" t="s">
        <v>23</v>
      </c>
      <c r="L84" s="370"/>
      <c r="M84" s="370"/>
      <c r="N84" s="370"/>
      <c r="O84" s="371"/>
    </row>
    <row r="85" spans="1:16" ht="16.5" thickBot="1" x14ac:dyDescent="0.3">
      <c r="A85" s="8"/>
      <c r="C85" s="21" t="s">
        <v>47</v>
      </c>
      <c r="E85" s="17"/>
      <c r="F85" s="16">
        <v>1</v>
      </c>
      <c r="G85" s="16"/>
      <c r="H85" s="85">
        <f>F85*D85</f>
        <v>0</v>
      </c>
      <c r="I85" s="86"/>
      <c r="K85" s="47" t="s">
        <v>27</v>
      </c>
      <c r="L85" s="47" t="s">
        <v>12</v>
      </c>
      <c r="M85" s="47" t="s">
        <v>87</v>
      </c>
      <c r="N85" s="47" t="s">
        <v>28</v>
      </c>
      <c r="O85" s="28" t="s">
        <v>86</v>
      </c>
    </row>
    <row r="86" spans="1:16" ht="16.5" thickTop="1" x14ac:dyDescent="0.25">
      <c r="A86" s="73"/>
      <c r="B86" s="9"/>
      <c r="C86" s="9"/>
      <c r="D86" s="9"/>
      <c r="E86" s="9"/>
      <c r="F86" s="64"/>
      <c r="G86" s="64"/>
      <c r="H86" s="35">
        <f>SUM(H82:H85)</f>
        <v>0</v>
      </c>
      <c r="I86" s="74">
        <f>H86*I$6*I$5</f>
        <v>0</v>
      </c>
      <c r="K86" s="214">
        <f>K82/SUM(K82:O82)*I86</f>
        <v>0</v>
      </c>
      <c r="L86" s="214">
        <f>L82/SUM(K82:O82)*$I86</f>
        <v>0</v>
      </c>
      <c r="M86" s="214">
        <f>M82/SUM(K82:O82)*$I86</f>
        <v>0</v>
      </c>
      <c r="N86" s="214">
        <f>N82/SUM(K82:O82)*$I86</f>
        <v>0</v>
      </c>
      <c r="O86" s="214">
        <f>O82/SUM(K82:O82)*$I86</f>
        <v>0</v>
      </c>
    </row>
    <row r="88" spans="1:16" x14ac:dyDescent="0.25">
      <c r="A88" s="59" t="s">
        <v>6</v>
      </c>
      <c r="B88" s="70">
        <f>B82+1</f>
        <v>45528</v>
      </c>
      <c r="C88" s="57" t="s">
        <v>72</v>
      </c>
      <c r="D88" s="7"/>
      <c r="E88" s="49"/>
      <c r="F88" s="48">
        <v>1</v>
      </c>
      <c r="G88" s="48"/>
      <c r="H88" s="49">
        <f>F88*D88</f>
        <v>0</v>
      </c>
      <c r="I88" s="55"/>
      <c r="K88" s="3"/>
      <c r="L88" s="3"/>
      <c r="M88" s="3"/>
      <c r="N88" s="3"/>
      <c r="O88" s="3"/>
    </row>
    <row r="89" spans="1:16" x14ac:dyDescent="0.25">
      <c r="A89" s="8"/>
      <c r="B89" s="71"/>
      <c r="C89" s="21" t="s">
        <v>73</v>
      </c>
      <c r="E89" s="17"/>
      <c r="F89" s="16">
        <v>1</v>
      </c>
      <c r="G89" s="16"/>
      <c r="H89" s="17">
        <f>F89*D89</f>
        <v>0</v>
      </c>
      <c r="I89" s="72"/>
      <c r="K89" s="209"/>
      <c r="L89" s="209"/>
      <c r="M89" s="209"/>
      <c r="N89" s="209"/>
      <c r="O89" s="209"/>
      <c r="P89" s="17"/>
    </row>
    <row r="90" spans="1:16" x14ac:dyDescent="0.25">
      <c r="A90" s="8"/>
      <c r="B90" s="71"/>
      <c r="C90" s="21"/>
      <c r="E90" s="17"/>
      <c r="F90" s="16">
        <v>1</v>
      </c>
      <c r="G90" s="16"/>
      <c r="H90" s="17">
        <f>F90*D90</f>
        <v>0</v>
      </c>
      <c r="I90" s="72"/>
      <c r="K90" s="369" t="s">
        <v>23</v>
      </c>
      <c r="L90" s="370"/>
      <c r="M90" s="370"/>
      <c r="N90" s="370"/>
      <c r="O90" s="371"/>
    </row>
    <row r="91" spans="1:16" ht="16.5" thickBot="1" x14ac:dyDescent="0.3">
      <c r="A91" s="8"/>
      <c r="C91" s="21" t="s">
        <v>47</v>
      </c>
      <c r="E91" s="17"/>
      <c r="F91" s="16">
        <v>1</v>
      </c>
      <c r="G91" s="16"/>
      <c r="H91" s="85">
        <f>F91*D91</f>
        <v>0</v>
      </c>
      <c r="I91" s="86"/>
      <c r="K91" s="47" t="s">
        <v>27</v>
      </c>
      <c r="L91" s="47" t="s">
        <v>12</v>
      </c>
      <c r="M91" s="47" t="s">
        <v>87</v>
      </c>
      <c r="N91" s="47" t="s">
        <v>28</v>
      </c>
      <c r="O91" s="28" t="s">
        <v>86</v>
      </c>
    </row>
    <row r="92" spans="1:16" ht="16.5" thickTop="1" x14ac:dyDescent="0.25">
      <c r="A92" s="73"/>
      <c r="B92" s="9"/>
      <c r="C92" s="9"/>
      <c r="D92" s="9"/>
      <c r="E92" s="9"/>
      <c r="F92" s="64"/>
      <c r="G92" s="64"/>
      <c r="H92" s="35">
        <f>SUM(H88:H91)</f>
        <v>0</v>
      </c>
      <c r="I92" s="74">
        <f>H92*I$6*I$5</f>
        <v>0</v>
      </c>
      <c r="K92" s="214" t="e">
        <f>K88/SUM(K88:O88)*I92</f>
        <v>#DIV/0!</v>
      </c>
      <c r="L92" s="214" t="e">
        <f>L88/SUM(K88:O88)*$I92</f>
        <v>#DIV/0!</v>
      </c>
      <c r="M92" s="214" t="e">
        <f>M88/SUM(K88:O88)*$I92</f>
        <v>#DIV/0!</v>
      </c>
      <c r="N92" s="214" t="e">
        <f>N88/SUM(K88:O88)*$I92</f>
        <v>#DIV/0!</v>
      </c>
      <c r="O92" s="214" t="e">
        <f>O88/SUM(K88:O88)*$I92</f>
        <v>#DIV/0!</v>
      </c>
    </row>
    <row r="94" spans="1:16" x14ac:dyDescent="0.25">
      <c r="A94" s="59" t="s">
        <v>0</v>
      </c>
      <c r="B94" s="70">
        <f>B88+1</f>
        <v>45529</v>
      </c>
      <c r="C94" s="57" t="s">
        <v>72</v>
      </c>
      <c r="D94" s="7"/>
      <c r="E94" s="49"/>
      <c r="F94" s="48">
        <v>1.2</v>
      </c>
      <c r="G94" s="48"/>
      <c r="H94" s="49">
        <f>F94*D94</f>
        <v>0</v>
      </c>
      <c r="I94" s="55"/>
      <c r="K94" s="3"/>
      <c r="L94" s="3"/>
      <c r="M94" s="3"/>
      <c r="N94" s="3"/>
      <c r="O94" s="3"/>
    </row>
    <row r="95" spans="1:16" x14ac:dyDescent="0.25">
      <c r="A95" s="8"/>
      <c r="B95" s="71"/>
      <c r="C95" s="21" t="s">
        <v>73</v>
      </c>
      <c r="E95" s="17"/>
      <c r="F95" s="16">
        <v>0.1</v>
      </c>
      <c r="G95" s="16"/>
      <c r="H95" s="17">
        <f>F95*D95</f>
        <v>0</v>
      </c>
      <c r="I95" s="72"/>
      <c r="K95" s="209"/>
      <c r="L95" s="209"/>
      <c r="M95" s="209"/>
      <c r="N95" s="209"/>
      <c r="O95" s="209"/>
      <c r="P95" s="17"/>
    </row>
    <row r="96" spans="1:16" x14ac:dyDescent="0.25">
      <c r="A96" s="8"/>
      <c r="B96" s="71"/>
      <c r="E96" s="17"/>
      <c r="F96" s="16">
        <v>1.2</v>
      </c>
      <c r="G96" s="16"/>
      <c r="H96" s="17">
        <f>F96*D96</f>
        <v>0</v>
      </c>
      <c r="I96" s="72"/>
      <c r="K96" s="369" t="s">
        <v>23</v>
      </c>
      <c r="L96" s="370"/>
      <c r="M96" s="370"/>
      <c r="N96" s="370"/>
      <c r="O96" s="371"/>
    </row>
    <row r="97" spans="1:16" ht="16.5" thickBot="1" x14ac:dyDescent="0.3">
      <c r="A97" s="8"/>
      <c r="E97" s="17"/>
      <c r="F97" s="16">
        <v>1.2</v>
      </c>
      <c r="G97" s="16"/>
      <c r="H97" s="85">
        <f>F97*D97</f>
        <v>0</v>
      </c>
      <c r="I97" s="86"/>
      <c r="K97" s="47" t="s">
        <v>27</v>
      </c>
      <c r="L97" s="47" t="s">
        <v>12</v>
      </c>
      <c r="M97" s="47" t="s">
        <v>87</v>
      </c>
      <c r="N97" s="47" t="s">
        <v>28</v>
      </c>
      <c r="O97" s="28" t="s">
        <v>86</v>
      </c>
    </row>
    <row r="98" spans="1:16" ht="16.5" thickTop="1" x14ac:dyDescent="0.25">
      <c r="A98" s="73"/>
      <c r="B98" s="9"/>
      <c r="C98" s="9"/>
      <c r="D98" s="9"/>
      <c r="E98" s="9"/>
      <c r="F98" s="64"/>
      <c r="G98" s="64"/>
      <c r="H98" s="35">
        <f>SUM(H94:H97)</f>
        <v>0</v>
      </c>
      <c r="I98" s="74">
        <f>H98*I$6*I$5</f>
        <v>0</v>
      </c>
      <c r="K98" s="214" t="e">
        <f>K94/SUM(K94:O94)*I98</f>
        <v>#DIV/0!</v>
      </c>
      <c r="L98" s="214" t="e">
        <f>L94/SUM(K94:O94)*$I98</f>
        <v>#DIV/0!</v>
      </c>
      <c r="M98" s="214" t="e">
        <f>M94/SUM(K94:O94)*$I98</f>
        <v>#DIV/0!</v>
      </c>
      <c r="N98" s="214" t="e">
        <f>N94/SUM(K94:O94)*$I98</f>
        <v>#DIV/0!</v>
      </c>
      <c r="O98" s="214" t="e">
        <f>O94/SUM(K94:O94)*$I98</f>
        <v>#DIV/0!</v>
      </c>
    </row>
    <row r="100" spans="1:16" x14ac:dyDescent="0.25">
      <c r="A100" s="59" t="s">
        <v>152</v>
      </c>
      <c r="B100" s="70">
        <f>B94+1</f>
        <v>45530</v>
      </c>
      <c r="C100" s="57" t="s">
        <v>72</v>
      </c>
      <c r="D100" s="7"/>
      <c r="E100" s="49"/>
      <c r="F100" s="48">
        <v>1.2</v>
      </c>
      <c r="G100" s="48"/>
      <c r="H100" s="49">
        <f>F100*D100</f>
        <v>0</v>
      </c>
      <c r="I100" s="55"/>
      <c r="K100" s="3"/>
      <c r="L100" s="3"/>
      <c r="M100" s="3"/>
      <c r="N100" s="3"/>
      <c r="O100" s="3"/>
    </row>
    <row r="101" spans="1:16" x14ac:dyDescent="0.25">
      <c r="A101" s="8"/>
      <c r="B101" s="71"/>
      <c r="C101" s="21" t="s">
        <v>73</v>
      </c>
      <c r="E101" s="17"/>
      <c r="F101" s="16">
        <v>1</v>
      </c>
      <c r="G101" s="16"/>
      <c r="H101" s="17">
        <f>F101*D101</f>
        <v>0</v>
      </c>
      <c r="I101" s="72"/>
      <c r="K101" s="209"/>
      <c r="L101" s="209"/>
      <c r="M101" s="209"/>
      <c r="N101" s="209"/>
      <c r="O101" s="209"/>
      <c r="P101" s="17"/>
    </row>
    <row r="102" spans="1:16" x14ac:dyDescent="0.25">
      <c r="A102" s="8"/>
      <c r="B102" s="71"/>
      <c r="E102" s="17"/>
      <c r="F102" s="16">
        <v>1.2</v>
      </c>
      <c r="G102" s="16"/>
      <c r="H102" s="17">
        <f>F102*D102</f>
        <v>0</v>
      </c>
      <c r="I102" s="72"/>
      <c r="K102" s="369" t="s">
        <v>23</v>
      </c>
      <c r="L102" s="370"/>
      <c r="M102" s="370"/>
      <c r="N102" s="370"/>
      <c r="O102" s="371"/>
    </row>
    <row r="103" spans="1:16" ht="16.5" thickBot="1" x14ac:dyDescent="0.3">
      <c r="A103" s="8"/>
      <c r="E103" s="17"/>
      <c r="F103" s="16">
        <v>1.2</v>
      </c>
      <c r="G103" s="16"/>
      <c r="H103" s="18">
        <f>F103*D103</f>
        <v>0</v>
      </c>
      <c r="I103" s="72"/>
      <c r="K103" s="47" t="s">
        <v>27</v>
      </c>
      <c r="L103" s="47" t="s">
        <v>12</v>
      </c>
      <c r="M103" s="47" t="s">
        <v>87</v>
      </c>
      <c r="N103" s="47" t="s">
        <v>28</v>
      </c>
      <c r="O103" s="28" t="s">
        <v>86</v>
      </c>
    </row>
    <row r="104" spans="1:16" x14ac:dyDescent="0.25">
      <c r="A104" s="73"/>
      <c r="B104" s="9"/>
      <c r="C104" s="9"/>
      <c r="D104" s="9"/>
      <c r="E104" s="9"/>
      <c r="F104" s="64"/>
      <c r="G104" s="64"/>
      <c r="H104" s="35">
        <f>SUM(H100:H103)</f>
        <v>0</v>
      </c>
      <c r="I104" s="74">
        <f>H104*I$6*I$5</f>
        <v>0</v>
      </c>
      <c r="K104" s="214" t="e">
        <f>K100/SUM(K100:O100)*I104</f>
        <v>#DIV/0!</v>
      </c>
      <c r="L104" s="214" t="e">
        <f>L100/SUM(K100:O100)*$I104</f>
        <v>#DIV/0!</v>
      </c>
      <c r="M104" s="214" t="e">
        <f>M100/SUM(K100:O100)*$I104</f>
        <v>#DIV/0!</v>
      </c>
      <c r="N104" s="214" t="e">
        <f>N100/SUM(K100:O100)*$I104</f>
        <v>#DIV/0!</v>
      </c>
      <c r="O104" s="214" t="e">
        <f>O100/SUM(K100:O100)*$I104</f>
        <v>#DIV/0!</v>
      </c>
    </row>
    <row r="106" spans="1:16" x14ac:dyDescent="0.25">
      <c r="A106" s="59" t="s">
        <v>2</v>
      </c>
      <c r="B106" s="70">
        <f>B100+1</f>
        <v>45531</v>
      </c>
      <c r="C106" s="57" t="s">
        <v>72</v>
      </c>
      <c r="D106" s="7"/>
      <c r="E106" s="49"/>
      <c r="F106" s="48">
        <v>1.2</v>
      </c>
      <c r="G106" s="48"/>
      <c r="H106" s="49">
        <f>F106*D106</f>
        <v>0</v>
      </c>
      <c r="I106" s="55"/>
      <c r="K106" s="3"/>
      <c r="L106" s="3"/>
      <c r="M106" s="3"/>
      <c r="N106" s="3"/>
      <c r="O106" s="3"/>
    </row>
    <row r="107" spans="1:16" x14ac:dyDescent="0.25">
      <c r="A107" s="8"/>
      <c r="B107" s="71"/>
      <c r="C107" s="21" t="s">
        <v>73</v>
      </c>
      <c r="E107" s="17"/>
      <c r="F107" s="16">
        <v>1.2</v>
      </c>
      <c r="G107" s="16"/>
      <c r="H107" s="17">
        <f>F107*D107</f>
        <v>0</v>
      </c>
      <c r="I107" s="72"/>
      <c r="K107" s="209"/>
      <c r="L107" s="209"/>
      <c r="M107" s="209"/>
      <c r="N107" s="209"/>
      <c r="O107" s="209"/>
      <c r="P107" s="17"/>
    </row>
    <row r="108" spans="1:16" x14ac:dyDescent="0.25">
      <c r="A108" s="8"/>
      <c r="B108" s="71"/>
      <c r="E108" s="17"/>
      <c r="F108" s="16">
        <v>1.2</v>
      </c>
      <c r="G108" s="16"/>
      <c r="H108" s="17">
        <f>F108*D108</f>
        <v>0</v>
      </c>
      <c r="I108" s="72"/>
      <c r="K108" s="369" t="s">
        <v>23</v>
      </c>
      <c r="L108" s="370"/>
      <c r="M108" s="370"/>
      <c r="N108" s="370"/>
      <c r="O108" s="371"/>
    </row>
    <row r="109" spans="1:16" ht="16.5" thickBot="1" x14ac:dyDescent="0.3">
      <c r="A109" s="8"/>
      <c r="E109" s="17"/>
      <c r="F109" s="16">
        <v>1.2</v>
      </c>
      <c r="G109" s="16"/>
      <c r="H109" s="18">
        <f>F109*D109</f>
        <v>0</v>
      </c>
      <c r="I109" s="72"/>
      <c r="K109" s="47" t="s">
        <v>27</v>
      </c>
      <c r="L109" s="47" t="s">
        <v>12</v>
      </c>
      <c r="M109" s="47" t="s">
        <v>87</v>
      </c>
      <c r="N109" s="47" t="s">
        <v>28</v>
      </c>
      <c r="O109" s="28" t="s">
        <v>86</v>
      </c>
    </row>
    <row r="110" spans="1:16" x14ac:dyDescent="0.25">
      <c r="A110" s="73"/>
      <c r="B110" s="9"/>
      <c r="C110" s="9"/>
      <c r="D110" s="9"/>
      <c r="E110" s="9"/>
      <c r="F110" s="64"/>
      <c r="G110" s="64"/>
      <c r="H110" s="35">
        <f>SUM(H106:H109)</f>
        <v>0</v>
      </c>
      <c r="I110" s="74">
        <f>H110*I$6*I$5</f>
        <v>0</v>
      </c>
      <c r="K110" s="214" t="e">
        <f>K106/SUM(K106:O106)*I110</f>
        <v>#DIV/0!</v>
      </c>
      <c r="L110" s="214" t="e">
        <f>L106/SUM(K106:O106)*$I110</f>
        <v>#DIV/0!</v>
      </c>
      <c r="M110" s="214" t="e">
        <f>M106/SUM(K106:O106)*$I110</f>
        <v>#DIV/0!</v>
      </c>
      <c r="N110" s="214" t="e">
        <f>N106/SUM(K106:O106)*$I110</f>
        <v>#DIV/0!</v>
      </c>
      <c r="O110" s="214" t="e">
        <f>O106/SUM(K106:O106)*$I110</f>
        <v>#DIV/0!</v>
      </c>
    </row>
    <row r="112" spans="1:16" x14ac:dyDescent="0.25">
      <c r="A112" s="59" t="s">
        <v>3</v>
      </c>
      <c r="B112" s="70">
        <f>B106+1</f>
        <v>45532</v>
      </c>
      <c r="C112" s="57" t="s">
        <v>72</v>
      </c>
      <c r="D112" s="7"/>
      <c r="E112" s="49"/>
      <c r="F112" s="48">
        <v>1.2</v>
      </c>
      <c r="G112" s="48"/>
      <c r="H112" s="49"/>
      <c r="I112" s="55"/>
      <c r="K112" s="3"/>
      <c r="L112" s="3"/>
      <c r="M112" s="3"/>
      <c r="N112" s="3"/>
      <c r="O112" s="3"/>
    </row>
    <row r="113" spans="1:16" x14ac:dyDescent="0.25">
      <c r="A113" s="8"/>
      <c r="B113" s="71"/>
      <c r="C113" s="21" t="s">
        <v>73</v>
      </c>
      <c r="E113" s="17"/>
      <c r="F113" s="16">
        <v>1.2</v>
      </c>
      <c r="G113" s="16"/>
      <c r="H113" s="17">
        <f>F113*D113</f>
        <v>0</v>
      </c>
      <c r="I113" s="72"/>
      <c r="K113" s="209"/>
      <c r="L113" s="209"/>
      <c r="M113" s="209"/>
      <c r="N113" s="209"/>
      <c r="O113" s="209"/>
      <c r="P113" s="17"/>
    </row>
    <row r="114" spans="1:16" x14ac:dyDescent="0.25">
      <c r="A114" s="8"/>
      <c r="B114" s="71"/>
      <c r="E114" s="17"/>
      <c r="F114" s="16">
        <v>1.2</v>
      </c>
      <c r="G114" s="16"/>
      <c r="H114" s="17">
        <f>F114*D114</f>
        <v>0</v>
      </c>
      <c r="I114" s="72"/>
      <c r="K114" s="369" t="s">
        <v>23</v>
      </c>
      <c r="L114" s="370"/>
      <c r="M114" s="370"/>
      <c r="N114" s="370"/>
      <c r="O114" s="371"/>
    </row>
    <row r="115" spans="1:16" ht="16.5" thickBot="1" x14ac:dyDescent="0.3">
      <c r="A115" s="8"/>
      <c r="C115" s="21" t="s">
        <v>47</v>
      </c>
      <c r="E115" s="17"/>
      <c r="F115" s="16">
        <v>1.2</v>
      </c>
      <c r="G115" s="16"/>
      <c r="H115" s="18">
        <f>F115*D115</f>
        <v>0</v>
      </c>
      <c r="I115" s="72"/>
      <c r="K115" s="47" t="s">
        <v>27</v>
      </c>
      <c r="L115" s="47" t="s">
        <v>12</v>
      </c>
      <c r="M115" s="47" t="s">
        <v>87</v>
      </c>
      <c r="N115" s="47" t="s">
        <v>28</v>
      </c>
      <c r="O115" s="28" t="s">
        <v>86</v>
      </c>
    </row>
    <row r="116" spans="1:16" x14ac:dyDescent="0.25">
      <c r="A116" s="73"/>
      <c r="B116" s="9"/>
      <c r="C116" s="9"/>
      <c r="D116" s="9"/>
      <c r="E116" s="9"/>
      <c r="F116" s="64"/>
      <c r="G116" s="64"/>
      <c r="H116" s="35">
        <f>SUM(H112:H115)</f>
        <v>0</v>
      </c>
      <c r="I116" s="74">
        <v>0</v>
      </c>
      <c r="K116" s="214" t="e">
        <f>K112/SUM(K112:O112)*I116</f>
        <v>#DIV/0!</v>
      </c>
      <c r="L116" s="214" t="e">
        <f>L112/SUM(K112:O112)*$I116</f>
        <v>#DIV/0!</v>
      </c>
      <c r="M116" s="214" t="e">
        <f>M112/SUM(K112:O112)*$I116</f>
        <v>#DIV/0!</v>
      </c>
      <c r="N116" s="214" t="e">
        <f>N112/SUM(K112:O112)*$I116</f>
        <v>#DIV/0!</v>
      </c>
      <c r="O116" s="214" t="e">
        <f>O112/SUM(K112:O112)*$I116</f>
        <v>#DIV/0!</v>
      </c>
    </row>
    <row r="118" spans="1:16" x14ac:dyDescent="0.25">
      <c r="A118" s="59" t="s">
        <v>4</v>
      </c>
      <c r="B118" s="70">
        <f>B112+1</f>
        <v>45533</v>
      </c>
      <c r="C118" s="57" t="s">
        <v>72</v>
      </c>
      <c r="D118" s="7"/>
      <c r="E118" s="49"/>
      <c r="F118" s="48">
        <v>1.2</v>
      </c>
      <c r="G118" s="48"/>
      <c r="H118" s="49">
        <f>F118*D118</f>
        <v>0</v>
      </c>
      <c r="I118" s="55"/>
      <c r="K118" s="3"/>
      <c r="L118" s="3"/>
      <c r="M118" s="3"/>
      <c r="N118" s="3"/>
      <c r="O118" s="3"/>
    </row>
    <row r="119" spans="1:16" x14ac:dyDescent="0.25">
      <c r="A119" s="8"/>
      <c r="B119" s="71"/>
      <c r="C119" s="21" t="s">
        <v>73</v>
      </c>
      <c r="E119" s="17"/>
      <c r="F119" s="16">
        <v>1.2</v>
      </c>
      <c r="G119" s="16"/>
      <c r="H119" s="17">
        <f>F119*D119</f>
        <v>0</v>
      </c>
      <c r="I119" s="72"/>
      <c r="K119" s="209"/>
      <c r="L119" s="209"/>
      <c r="M119" s="209"/>
      <c r="N119" s="209"/>
      <c r="O119" s="209"/>
      <c r="P119" s="17"/>
    </row>
    <row r="120" spans="1:16" x14ac:dyDescent="0.25">
      <c r="A120" s="8"/>
      <c r="B120" s="71"/>
      <c r="E120" s="17"/>
      <c r="F120" s="16">
        <v>1.2</v>
      </c>
      <c r="G120" s="16"/>
      <c r="H120" s="17">
        <f>F120*D120</f>
        <v>0</v>
      </c>
      <c r="I120" s="72"/>
      <c r="K120" s="369" t="s">
        <v>23</v>
      </c>
      <c r="L120" s="370"/>
      <c r="M120" s="370"/>
      <c r="N120" s="370"/>
      <c r="O120" s="371"/>
    </row>
    <row r="121" spans="1:16" ht="16.5" thickBot="1" x14ac:dyDescent="0.3">
      <c r="A121" s="8"/>
      <c r="E121" s="17"/>
      <c r="F121" s="16">
        <v>1.2</v>
      </c>
      <c r="G121" s="16"/>
      <c r="H121" s="18">
        <f>F121*D121</f>
        <v>0</v>
      </c>
      <c r="I121" s="72"/>
      <c r="K121" s="47" t="s">
        <v>27</v>
      </c>
      <c r="L121" s="47" t="s">
        <v>12</v>
      </c>
      <c r="M121" s="47" t="s">
        <v>87</v>
      </c>
      <c r="N121" s="47" t="s">
        <v>28</v>
      </c>
      <c r="O121" s="28" t="s">
        <v>86</v>
      </c>
    </row>
    <row r="122" spans="1:16" x14ac:dyDescent="0.25">
      <c r="A122" s="73"/>
      <c r="B122" s="9"/>
      <c r="C122" s="9"/>
      <c r="D122" s="9"/>
      <c r="E122" s="9"/>
      <c r="F122" s="64"/>
      <c r="G122" s="64"/>
      <c r="H122" s="35">
        <f>SUM(H118:H121)</f>
        <v>0</v>
      </c>
      <c r="I122" s="74">
        <f>H122*I$6*I$5</f>
        <v>0</v>
      </c>
      <c r="K122" s="214">
        <v>0</v>
      </c>
      <c r="L122" s="214">
        <v>0</v>
      </c>
      <c r="M122" s="214">
        <v>0</v>
      </c>
      <c r="N122" s="214">
        <v>0</v>
      </c>
      <c r="O122" s="214">
        <v>0</v>
      </c>
    </row>
    <row r="124" spans="1:16" x14ac:dyDescent="0.25">
      <c r="A124" s="59" t="s">
        <v>5</v>
      </c>
      <c r="B124" s="70">
        <f>B118+1</f>
        <v>45534</v>
      </c>
      <c r="C124" s="57" t="s">
        <v>72</v>
      </c>
      <c r="D124" s="7"/>
      <c r="E124" s="49"/>
      <c r="F124" s="48">
        <v>1</v>
      </c>
      <c r="G124" s="48"/>
      <c r="H124" s="49"/>
      <c r="I124" s="55"/>
      <c r="K124" s="3"/>
      <c r="L124" s="3"/>
      <c r="M124" s="3"/>
      <c r="N124" s="3"/>
      <c r="O124" s="3"/>
    </row>
    <row r="125" spans="1:16" x14ac:dyDescent="0.25">
      <c r="A125" s="8"/>
      <c r="B125" s="71"/>
      <c r="C125" s="21" t="s">
        <v>73</v>
      </c>
      <c r="E125" s="17"/>
      <c r="F125" s="16">
        <v>1</v>
      </c>
      <c r="G125" s="16"/>
      <c r="H125" s="17"/>
      <c r="I125" s="72"/>
      <c r="K125" s="209"/>
      <c r="L125" s="209"/>
      <c r="M125" s="209"/>
      <c r="N125" s="209"/>
      <c r="O125" s="209"/>
      <c r="P125" s="17"/>
    </row>
    <row r="126" spans="1:16" x14ac:dyDescent="0.25">
      <c r="A126" s="8"/>
      <c r="B126" s="71"/>
      <c r="E126" s="17"/>
      <c r="F126" s="16">
        <v>1</v>
      </c>
      <c r="G126" s="16"/>
      <c r="H126" s="17">
        <f>F126*D126</f>
        <v>0</v>
      </c>
      <c r="I126" s="72"/>
      <c r="K126" s="374" t="s">
        <v>23</v>
      </c>
      <c r="L126" s="375"/>
      <c r="M126" s="375"/>
      <c r="N126" s="375"/>
      <c r="O126" s="376"/>
    </row>
    <row r="127" spans="1:16" ht="16.5" thickBot="1" x14ac:dyDescent="0.3">
      <c r="A127" s="8"/>
      <c r="C127" s="21" t="s">
        <v>23</v>
      </c>
      <c r="E127" s="17"/>
      <c r="F127" s="16">
        <v>1</v>
      </c>
      <c r="G127" s="16"/>
      <c r="H127" s="18">
        <f>F127*D127</f>
        <v>0</v>
      </c>
      <c r="I127" s="72"/>
      <c r="K127" s="47" t="s">
        <v>27</v>
      </c>
      <c r="L127" s="47" t="s">
        <v>12</v>
      </c>
      <c r="M127" s="47" t="s">
        <v>87</v>
      </c>
      <c r="N127" s="47" t="s">
        <v>28</v>
      </c>
      <c r="O127" s="28" t="s">
        <v>86</v>
      </c>
    </row>
    <row r="128" spans="1:16" x14ac:dyDescent="0.25">
      <c r="A128" s="73"/>
      <c r="B128" s="9"/>
      <c r="C128" s="9"/>
      <c r="D128" s="9"/>
      <c r="E128" s="9"/>
      <c r="F128" s="64"/>
      <c r="G128" s="64"/>
      <c r="H128" s="35">
        <f>SUM(H124:H127)</f>
        <v>0</v>
      </c>
      <c r="I128" s="74">
        <f>H128*I$6*I$5</f>
        <v>0</v>
      </c>
      <c r="K128" s="214" t="e">
        <f>K124/SUM(K124:O124)*I128</f>
        <v>#DIV/0!</v>
      </c>
      <c r="L128" s="214" t="e">
        <f>L124/SUM(K124:O124)*$I128</f>
        <v>#DIV/0!</v>
      </c>
      <c r="M128" s="214" t="e">
        <f>M124/SUM(K124:O124)*$I128</f>
        <v>#DIV/0!</v>
      </c>
      <c r="N128" s="214" t="e">
        <f>N124/SUM(K124:O124)*$I128</f>
        <v>#DIV/0!</v>
      </c>
      <c r="O128" s="214" t="e">
        <f>O124/SUM(K124:O124)*$I128</f>
        <v>#DIV/0!</v>
      </c>
    </row>
    <row r="130" spans="1:16" x14ac:dyDescent="0.25">
      <c r="A130" s="59" t="s">
        <v>6</v>
      </c>
      <c r="B130" s="70">
        <f>B124+1</f>
        <v>45535</v>
      </c>
      <c r="C130" s="57" t="s">
        <v>72</v>
      </c>
      <c r="D130" s="7"/>
      <c r="E130" s="49"/>
      <c r="F130" s="48">
        <v>1</v>
      </c>
      <c r="G130" s="48"/>
      <c r="H130" s="49"/>
      <c r="I130" s="55"/>
      <c r="K130" s="3"/>
      <c r="L130" s="3"/>
      <c r="M130" s="3"/>
      <c r="N130" s="3"/>
      <c r="O130" s="3"/>
    </row>
    <row r="131" spans="1:16" x14ac:dyDescent="0.25">
      <c r="A131" s="8"/>
      <c r="B131" s="71"/>
      <c r="C131" s="21" t="s">
        <v>73</v>
      </c>
      <c r="E131" s="17"/>
      <c r="F131" s="16">
        <v>1</v>
      </c>
      <c r="G131" s="16"/>
      <c r="H131" s="17"/>
      <c r="I131" s="72"/>
      <c r="K131" s="209"/>
      <c r="L131" s="209"/>
      <c r="M131" s="209"/>
      <c r="N131" s="209"/>
      <c r="O131" s="209"/>
      <c r="P131" s="17"/>
    </row>
    <row r="132" spans="1:16" x14ac:dyDescent="0.25">
      <c r="A132" s="8"/>
      <c r="B132" s="71"/>
      <c r="C132" s="21"/>
      <c r="E132" s="17"/>
      <c r="F132" s="16">
        <v>1</v>
      </c>
      <c r="G132" s="16"/>
      <c r="H132" s="17"/>
      <c r="I132" s="72"/>
      <c r="K132" s="374" t="s">
        <v>23</v>
      </c>
      <c r="L132" s="375"/>
      <c r="M132" s="375"/>
      <c r="N132" s="375"/>
      <c r="O132" s="376"/>
    </row>
    <row r="133" spans="1:16" ht="16.5" thickBot="1" x14ac:dyDescent="0.3">
      <c r="A133" s="8"/>
      <c r="C133" s="21" t="s">
        <v>23</v>
      </c>
      <c r="E133" s="17"/>
      <c r="F133" s="16">
        <v>1</v>
      </c>
      <c r="G133" s="16"/>
      <c r="H133" s="85">
        <f>F133*D133</f>
        <v>0</v>
      </c>
      <c r="I133" s="72"/>
      <c r="K133" s="47" t="s">
        <v>27</v>
      </c>
      <c r="L133" s="47" t="s">
        <v>12</v>
      </c>
      <c r="M133" s="47" t="s">
        <v>87</v>
      </c>
      <c r="N133" s="47" t="s">
        <v>28</v>
      </c>
      <c r="O133" s="28" t="s">
        <v>86</v>
      </c>
    </row>
    <row r="134" spans="1:16" ht="16.5" thickTop="1" x14ac:dyDescent="0.25">
      <c r="A134" s="73"/>
      <c r="B134" s="9"/>
      <c r="C134" s="9"/>
      <c r="D134" s="9"/>
      <c r="E134" s="9"/>
      <c r="F134" s="64"/>
      <c r="G134" s="64"/>
      <c r="H134" s="35">
        <f>SUM(H130:H133)</f>
        <v>0</v>
      </c>
      <c r="I134" s="74">
        <f>H134*I$6*I$5</f>
        <v>0</v>
      </c>
      <c r="K134" s="216" t="e">
        <f>K130/SUM(K130:O130)*I134</f>
        <v>#DIV/0!</v>
      </c>
      <c r="L134" s="216" t="e">
        <f>L130/SUM(K130:O130)*$I134</f>
        <v>#DIV/0!</v>
      </c>
      <c r="M134" s="216" t="e">
        <f>M130/SUM(K130:O130)*$I134</f>
        <v>#DIV/0!</v>
      </c>
      <c r="N134" s="216" t="e">
        <f>N130/SUM(K130:O130)*$I134</f>
        <v>#DIV/0!</v>
      </c>
      <c r="O134" s="216" t="e">
        <f>O130/SUM(K130:O130)*$I134</f>
        <v>#DIV/0!</v>
      </c>
    </row>
    <row r="136" spans="1:16" x14ac:dyDescent="0.25">
      <c r="A136" s="59" t="s">
        <v>0</v>
      </c>
      <c r="B136" s="70">
        <f>B130+1</f>
        <v>45536</v>
      </c>
      <c r="C136" s="57" t="s">
        <v>72</v>
      </c>
      <c r="D136" s="7">
        <v>1</v>
      </c>
      <c r="E136" s="49">
        <v>10</v>
      </c>
      <c r="F136" s="48">
        <v>1</v>
      </c>
      <c r="G136" s="48">
        <v>100</v>
      </c>
      <c r="H136" s="49">
        <f>F136*D136</f>
        <v>1</v>
      </c>
      <c r="I136" s="55"/>
      <c r="K136" s="3"/>
      <c r="L136" s="3"/>
      <c r="M136" s="3"/>
      <c r="N136" s="3"/>
      <c r="O136" s="3"/>
    </row>
    <row r="137" spans="1:16" x14ac:dyDescent="0.25">
      <c r="A137" s="8"/>
      <c r="B137" s="71"/>
      <c r="C137" s="21" t="s">
        <v>73</v>
      </c>
      <c r="D137">
        <v>0</v>
      </c>
      <c r="E137" s="17">
        <v>9.9</v>
      </c>
      <c r="F137" s="16">
        <v>1</v>
      </c>
      <c r="G137" s="16">
        <v>100</v>
      </c>
      <c r="H137" s="17">
        <f>F137*D137</f>
        <v>0</v>
      </c>
      <c r="I137" s="72"/>
      <c r="K137" s="209"/>
      <c r="L137" s="209"/>
      <c r="M137" s="209"/>
      <c r="N137" s="209"/>
      <c r="O137" s="209"/>
      <c r="P137" s="17"/>
    </row>
    <row r="138" spans="1:16" x14ac:dyDescent="0.25">
      <c r="A138" s="8"/>
      <c r="B138" s="71"/>
      <c r="E138" s="17"/>
      <c r="F138" s="16">
        <v>1</v>
      </c>
      <c r="G138" s="16"/>
      <c r="H138" s="17">
        <f>F138*D138</f>
        <v>0</v>
      </c>
      <c r="I138" s="72"/>
      <c r="K138" s="374" t="s">
        <v>23</v>
      </c>
      <c r="L138" s="375"/>
      <c r="M138" s="375"/>
      <c r="N138" s="375"/>
      <c r="O138" s="376"/>
    </row>
    <row r="139" spans="1:16" ht="16.5" thickBot="1" x14ac:dyDescent="0.3">
      <c r="A139" s="8"/>
      <c r="C139" t="s">
        <v>47</v>
      </c>
      <c r="E139" s="17"/>
      <c r="F139" s="16">
        <v>1</v>
      </c>
      <c r="G139" s="16"/>
      <c r="H139" s="85"/>
      <c r="I139" s="86"/>
      <c r="K139" s="47" t="s">
        <v>27</v>
      </c>
      <c r="L139" s="47" t="s">
        <v>12</v>
      </c>
      <c r="M139" s="47" t="s">
        <v>87</v>
      </c>
      <c r="N139" s="47" t="s">
        <v>28</v>
      </c>
      <c r="O139" s="28" t="s">
        <v>86</v>
      </c>
    </row>
    <row r="140" spans="1:16" ht="16.5" thickTop="1" x14ac:dyDescent="0.25">
      <c r="A140" s="73"/>
      <c r="B140" s="9"/>
      <c r="C140" s="9"/>
      <c r="D140" s="9"/>
      <c r="E140" s="9"/>
      <c r="F140" s="64"/>
      <c r="G140" s="64"/>
      <c r="H140" s="64">
        <f>SUM(H136:H139)</f>
        <v>1</v>
      </c>
      <c r="I140" s="74">
        <f>H140*I$6*I$5</f>
        <v>1.4135</v>
      </c>
      <c r="K140" s="214" t="e">
        <f>K136/SUM(K136:O136)*I140</f>
        <v>#DIV/0!</v>
      </c>
      <c r="L140" s="214" t="e">
        <f>L136/SUM(K136:O136)*$I140</f>
        <v>#DIV/0!</v>
      </c>
      <c r="M140" s="214" t="e">
        <f>M136/SUM(K136:O136)*$I140</f>
        <v>#DIV/0!</v>
      </c>
      <c r="N140" s="214" t="e">
        <f>N136/SUM(K136:O136)*$I140</f>
        <v>#DIV/0!</v>
      </c>
      <c r="O140" s="214" t="e">
        <f>O136/SUM(K136:O136)*$I140</f>
        <v>#DIV/0!</v>
      </c>
    </row>
    <row r="142" spans="1:16" x14ac:dyDescent="0.25">
      <c r="A142" s="59" t="s">
        <v>152</v>
      </c>
      <c r="B142" s="70">
        <f>B136+1</f>
        <v>45537</v>
      </c>
      <c r="C142" s="57" t="s">
        <v>72</v>
      </c>
      <c r="D142" s="7"/>
      <c r="E142" s="49"/>
      <c r="F142" s="48">
        <v>1.2</v>
      </c>
      <c r="G142" s="48"/>
      <c r="H142" s="49">
        <f>F142*D142</f>
        <v>0</v>
      </c>
      <c r="I142" s="55"/>
      <c r="K142" s="3"/>
      <c r="L142" s="3"/>
      <c r="M142" s="3"/>
      <c r="N142" s="3"/>
      <c r="O142" s="3"/>
    </row>
    <row r="143" spans="1:16" x14ac:dyDescent="0.25">
      <c r="A143" s="8"/>
      <c r="B143" s="71"/>
      <c r="C143" s="21" t="s">
        <v>73</v>
      </c>
      <c r="E143" s="17"/>
      <c r="F143" s="16">
        <v>1.2</v>
      </c>
      <c r="G143" s="16"/>
      <c r="H143" s="17">
        <f>F143*D143</f>
        <v>0</v>
      </c>
      <c r="I143" s="72"/>
      <c r="K143" s="209"/>
      <c r="L143" s="209"/>
      <c r="M143" s="209"/>
      <c r="N143" s="209"/>
      <c r="O143" s="209"/>
      <c r="P143" s="17"/>
    </row>
    <row r="144" spans="1:16" x14ac:dyDescent="0.25">
      <c r="A144" s="8"/>
      <c r="B144" s="71"/>
      <c r="E144" s="17"/>
      <c r="F144" s="16">
        <v>1.2</v>
      </c>
      <c r="G144" s="16"/>
      <c r="H144" s="17">
        <f>F144*D144</f>
        <v>0</v>
      </c>
      <c r="I144" s="72"/>
      <c r="K144" s="374" t="s">
        <v>23</v>
      </c>
      <c r="L144" s="375"/>
      <c r="M144" s="375"/>
      <c r="N144" s="375"/>
      <c r="O144" s="376"/>
    </row>
    <row r="145" spans="1:16" ht="16.5" thickBot="1" x14ac:dyDescent="0.3">
      <c r="A145" s="8"/>
      <c r="E145" s="17"/>
      <c r="F145" s="16">
        <v>1.2</v>
      </c>
      <c r="G145" s="16"/>
      <c r="H145" s="85">
        <f>F145*D145</f>
        <v>0</v>
      </c>
      <c r="I145" s="86"/>
      <c r="K145" s="47" t="s">
        <v>27</v>
      </c>
      <c r="L145" s="47" t="s">
        <v>12</v>
      </c>
      <c r="M145" s="47" t="s">
        <v>87</v>
      </c>
      <c r="N145" s="47" t="s">
        <v>28</v>
      </c>
      <c r="O145" s="28" t="s">
        <v>86</v>
      </c>
    </row>
    <row r="146" spans="1:16" ht="16.5" thickTop="1" x14ac:dyDescent="0.25">
      <c r="A146" s="73"/>
      <c r="B146" s="9"/>
      <c r="C146" s="9"/>
      <c r="D146" s="9"/>
      <c r="E146" s="9"/>
      <c r="F146" s="64"/>
      <c r="G146" s="64"/>
      <c r="H146" s="64">
        <f>SUM(H142:H145)</f>
        <v>0</v>
      </c>
      <c r="I146" s="74">
        <f>H146*I$6*I$5</f>
        <v>0</v>
      </c>
      <c r="K146" s="214" t="e">
        <f>K142/SUM(K142:O142)*I146</f>
        <v>#DIV/0!</v>
      </c>
      <c r="L146" s="214" t="e">
        <f>L142/SUM(K142:O142)*$I146</f>
        <v>#DIV/0!</v>
      </c>
      <c r="M146" s="214" t="e">
        <f>M142/SUM(K142:O142)*$I146</f>
        <v>#DIV/0!</v>
      </c>
      <c r="N146" s="214" t="e">
        <f>N142/SUM(K142:O142)*$I146</f>
        <v>#DIV/0!</v>
      </c>
      <c r="O146" s="214" t="e">
        <f>O142/SUM(K142:O142)*$I146</f>
        <v>#DIV/0!</v>
      </c>
    </row>
    <row r="148" spans="1:16" x14ac:dyDescent="0.25">
      <c r="A148" s="59" t="s">
        <v>2</v>
      </c>
      <c r="B148" s="70">
        <f>B142+1</f>
        <v>45538</v>
      </c>
      <c r="C148" s="57" t="s">
        <v>72</v>
      </c>
      <c r="D148" s="7"/>
      <c r="E148" s="49"/>
      <c r="F148" s="48">
        <v>1.2</v>
      </c>
      <c r="G148" s="48"/>
      <c r="H148" s="49">
        <f>F148*D148</f>
        <v>0</v>
      </c>
      <c r="I148" s="55"/>
      <c r="K148" s="3"/>
      <c r="L148" s="3"/>
      <c r="M148" s="3"/>
      <c r="N148" s="3"/>
      <c r="O148" s="3"/>
    </row>
    <row r="149" spans="1:16" x14ac:dyDescent="0.25">
      <c r="A149" s="8"/>
      <c r="B149" s="71"/>
      <c r="C149" s="21" t="s">
        <v>73</v>
      </c>
      <c r="E149" s="17"/>
      <c r="F149" s="16">
        <v>0.1</v>
      </c>
      <c r="G149" s="16"/>
      <c r="H149" s="17">
        <f>F149*D149</f>
        <v>0</v>
      </c>
      <c r="I149" s="72"/>
      <c r="K149" s="209"/>
      <c r="L149" s="209"/>
      <c r="M149" s="209"/>
      <c r="N149" s="209"/>
      <c r="O149" s="209"/>
      <c r="P149" s="17"/>
    </row>
    <row r="150" spans="1:16" x14ac:dyDescent="0.25">
      <c r="A150" s="8"/>
      <c r="B150" s="71"/>
      <c r="E150" s="17"/>
      <c r="F150" s="16">
        <v>1.2</v>
      </c>
      <c r="G150" s="16"/>
      <c r="H150" s="17">
        <f>F150*D150</f>
        <v>0</v>
      </c>
      <c r="I150" s="72"/>
      <c r="K150" s="374" t="s">
        <v>23</v>
      </c>
      <c r="L150" s="375"/>
      <c r="M150" s="375"/>
      <c r="N150" s="375"/>
      <c r="O150" s="376"/>
    </row>
    <row r="151" spans="1:16" ht="16.5" thickBot="1" x14ac:dyDescent="0.3">
      <c r="A151" s="8"/>
      <c r="E151" s="17"/>
      <c r="F151" s="16">
        <v>1.2</v>
      </c>
      <c r="G151" s="16"/>
      <c r="H151" s="85">
        <f>F151*D151</f>
        <v>0</v>
      </c>
      <c r="I151" s="86"/>
      <c r="K151" s="47" t="s">
        <v>27</v>
      </c>
      <c r="L151" s="47" t="s">
        <v>12</v>
      </c>
      <c r="M151" s="47" t="s">
        <v>87</v>
      </c>
      <c r="N151" s="47" t="s">
        <v>28</v>
      </c>
      <c r="O151" s="28" t="s">
        <v>86</v>
      </c>
    </row>
    <row r="152" spans="1:16" ht="16.5" thickTop="1" x14ac:dyDescent="0.25">
      <c r="A152" s="73"/>
      <c r="B152" s="9"/>
      <c r="C152" s="9"/>
      <c r="D152" s="9"/>
      <c r="E152" s="9"/>
      <c r="F152" s="64"/>
      <c r="G152" s="64"/>
      <c r="H152" s="64">
        <f>SUM(H148:H151)</f>
        <v>0</v>
      </c>
      <c r="I152" s="74">
        <f>H152*I$6*I$5</f>
        <v>0</v>
      </c>
      <c r="K152" s="214" t="e">
        <f>K148/SUM(K148:O148)*I152</f>
        <v>#DIV/0!</v>
      </c>
      <c r="L152" s="214" t="e">
        <f>L148/SUM(K148:O148)*$I152</f>
        <v>#DIV/0!</v>
      </c>
      <c r="M152" s="214" t="e">
        <f>M148/SUM(K148:O148)*$I152</f>
        <v>#DIV/0!</v>
      </c>
      <c r="N152" s="214" t="e">
        <f>N148/SUM(K148:O148)*$I152</f>
        <v>#DIV/0!</v>
      </c>
      <c r="O152" s="214" t="e">
        <f>O148/SUM(K148:O148)*$I152</f>
        <v>#DIV/0!</v>
      </c>
    </row>
    <row r="154" spans="1:16" x14ac:dyDescent="0.25">
      <c r="A154" s="59" t="s">
        <v>3</v>
      </c>
      <c r="B154" s="70">
        <f>B148+1</f>
        <v>45539</v>
      </c>
      <c r="C154" s="57" t="s">
        <v>72</v>
      </c>
      <c r="D154" s="7">
        <v>5</v>
      </c>
      <c r="E154" s="49">
        <v>13.5</v>
      </c>
      <c r="F154" s="48">
        <v>1.2</v>
      </c>
      <c r="G154" s="48">
        <v>100</v>
      </c>
      <c r="H154" s="49">
        <f>F154*D154</f>
        <v>6</v>
      </c>
      <c r="I154" s="55"/>
      <c r="K154" s="3"/>
      <c r="L154" s="3"/>
      <c r="M154" s="3"/>
      <c r="N154" s="3"/>
      <c r="O154" s="3"/>
    </row>
    <row r="155" spans="1:16" x14ac:dyDescent="0.25">
      <c r="A155" s="8"/>
      <c r="B155" s="71"/>
      <c r="C155" s="21" t="s">
        <v>73</v>
      </c>
      <c r="D155">
        <v>2</v>
      </c>
      <c r="E155" s="17">
        <v>13</v>
      </c>
      <c r="F155" s="16">
        <v>0.1</v>
      </c>
      <c r="G155" s="16">
        <v>100</v>
      </c>
      <c r="H155" s="17">
        <f>F155*D155</f>
        <v>0.2</v>
      </c>
      <c r="I155" s="72"/>
      <c r="K155" s="209"/>
      <c r="L155" s="209"/>
      <c r="M155" s="209"/>
      <c r="N155" s="209"/>
      <c r="O155" s="209"/>
      <c r="P155" s="17"/>
    </row>
    <row r="156" spans="1:16" x14ac:dyDescent="0.25">
      <c r="A156" s="8"/>
      <c r="B156" s="71"/>
      <c r="C156" s="21"/>
      <c r="E156" s="17"/>
      <c r="F156" s="16">
        <v>0.1</v>
      </c>
      <c r="G156" s="16"/>
      <c r="H156" s="17">
        <f>F156*D156</f>
        <v>0</v>
      </c>
      <c r="I156" s="72"/>
      <c r="K156" s="369" t="s">
        <v>23</v>
      </c>
      <c r="L156" s="370"/>
      <c r="M156" s="370"/>
      <c r="N156" s="370"/>
      <c r="O156" s="371"/>
    </row>
    <row r="157" spans="1:16" ht="16.5" thickBot="1" x14ac:dyDescent="0.3">
      <c r="A157" s="8"/>
      <c r="E157" s="17"/>
      <c r="F157" s="16">
        <v>1.2</v>
      </c>
      <c r="G157" s="16"/>
      <c r="H157" s="85">
        <f>F157*D157</f>
        <v>0</v>
      </c>
      <c r="I157" s="86"/>
      <c r="K157" s="47" t="s">
        <v>27</v>
      </c>
      <c r="L157" s="47" t="s">
        <v>12</v>
      </c>
      <c r="M157" s="47" t="s">
        <v>87</v>
      </c>
      <c r="N157" s="47" t="s">
        <v>28</v>
      </c>
      <c r="O157" s="28" t="s">
        <v>86</v>
      </c>
    </row>
    <row r="158" spans="1:16" ht="16.5" thickTop="1" x14ac:dyDescent="0.25">
      <c r="A158" s="73"/>
      <c r="B158" s="9"/>
      <c r="C158" s="9"/>
      <c r="D158" s="9"/>
      <c r="E158" s="9"/>
      <c r="F158" s="64"/>
      <c r="G158" s="64"/>
      <c r="H158" s="64">
        <f>SUM(H154:H157)</f>
        <v>6.2</v>
      </c>
      <c r="I158" s="74">
        <f>H158*I$6*I$5</f>
        <v>8.7637</v>
      </c>
      <c r="K158" s="214" t="e">
        <f>K154/SUM(K154:O154)*I158</f>
        <v>#DIV/0!</v>
      </c>
      <c r="L158" s="214" t="e">
        <f>L154/SUM(K154:O154)*$I158</f>
        <v>#DIV/0!</v>
      </c>
      <c r="M158" s="214" t="e">
        <f>M154/SUM(K154:O154)*$I158</f>
        <v>#DIV/0!</v>
      </c>
      <c r="N158" s="214" t="e">
        <f>N154/SUM(K154:O154)*$I158</f>
        <v>#DIV/0!</v>
      </c>
      <c r="O158" s="214" t="e">
        <f>O154/SUM(K154:O154)*$I158</f>
        <v>#DIV/0!</v>
      </c>
    </row>
    <row r="160" spans="1:16" x14ac:dyDescent="0.25">
      <c r="A160" s="59" t="s">
        <v>4</v>
      </c>
      <c r="B160" s="70">
        <f>B154+1</f>
        <v>45540</v>
      </c>
      <c r="C160" s="57" t="s">
        <v>72</v>
      </c>
      <c r="D160" s="7"/>
      <c r="E160" s="49"/>
      <c r="F160" s="48">
        <v>1.2</v>
      </c>
      <c r="G160" s="48"/>
      <c r="H160" s="49">
        <f>F160*D160</f>
        <v>0</v>
      </c>
      <c r="I160" s="55"/>
      <c r="K160" s="3"/>
      <c r="L160" s="3"/>
      <c r="M160" s="3"/>
      <c r="N160" s="3"/>
      <c r="O160" s="3"/>
    </row>
    <row r="161" spans="1:16" x14ac:dyDescent="0.25">
      <c r="A161" s="8"/>
      <c r="B161" s="71"/>
      <c r="C161" s="21" t="s">
        <v>73</v>
      </c>
      <c r="E161" s="17"/>
      <c r="F161" s="16">
        <v>0.1</v>
      </c>
      <c r="G161" s="16"/>
      <c r="H161" s="17">
        <f>F161*D161</f>
        <v>0</v>
      </c>
      <c r="I161" s="72"/>
      <c r="K161" s="209"/>
      <c r="L161" s="209"/>
      <c r="M161" s="209"/>
      <c r="N161" s="209"/>
      <c r="O161" s="209"/>
      <c r="P161" s="17"/>
    </row>
    <row r="162" spans="1:16" x14ac:dyDescent="0.25">
      <c r="A162" s="8"/>
      <c r="B162" s="71"/>
      <c r="E162" s="17"/>
      <c r="F162" s="16">
        <v>1.2</v>
      </c>
      <c r="G162" s="16"/>
      <c r="H162" s="17">
        <f>F162*D162</f>
        <v>0</v>
      </c>
      <c r="I162" s="72"/>
      <c r="K162" s="369" t="s">
        <v>23</v>
      </c>
      <c r="L162" s="370"/>
      <c r="M162" s="370"/>
      <c r="N162" s="370"/>
      <c r="O162" s="371"/>
    </row>
    <row r="163" spans="1:16" ht="16.5" thickBot="1" x14ac:dyDescent="0.3">
      <c r="A163" s="8"/>
      <c r="C163" s="21" t="s">
        <v>47</v>
      </c>
      <c r="E163" s="17"/>
      <c r="F163" s="16">
        <v>1.2</v>
      </c>
      <c r="G163" s="16"/>
      <c r="H163" s="85">
        <f>F163*D163</f>
        <v>0</v>
      </c>
      <c r="I163" s="86"/>
      <c r="K163" s="47" t="s">
        <v>27</v>
      </c>
      <c r="L163" s="47" t="s">
        <v>12</v>
      </c>
      <c r="M163" s="47" t="s">
        <v>87</v>
      </c>
      <c r="N163" s="47" t="s">
        <v>28</v>
      </c>
      <c r="O163" s="28" t="s">
        <v>86</v>
      </c>
    </row>
    <row r="164" spans="1:16" ht="16.5" thickTop="1" x14ac:dyDescent="0.25">
      <c r="A164" s="73"/>
      <c r="B164" s="9"/>
      <c r="C164" s="9"/>
      <c r="D164" s="9"/>
      <c r="E164" s="9"/>
      <c r="F164" s="64"/>
      <c r="G164" s="64"/>
      <c r="H164" s="64">
        <f>SUM(H160:H163)</f>
        <v>0</v>
      </c>
      <c r="I164" s="74">
        <f>H164*I$6*I$5</f>
        <v>0</v>
      </c>
      <c r="K164" s="214" t="e">
        <f>K160/SUM(K160:O160)*I164</f>
        <v>#DIV/0!</v>
      </c>
      <c r="L164" s="214" t="e">
        <f>L160/SUM(K160:O160)*$I164</f>
        <v>#DIV/0!</v>
      </c>
      <c r="M164" s="214" t="e">
        <f>M160/SUM(K160:O160)*$I164</f>
        <v>#DIV/0!</v>
      </c>
      <c r="N164" s="214" t="e">
        <f>N160/SUM(K160:O160)*$I164</f>
        <v>#DIV/0!</v>
      </c>
      <c r="O164" s="214" t="e">
        <f>O160/SUM(K160:O160)*$I164</f>
        <v>#DIV/0!</v>
      </c>
    </row>
    <row r="166" spans="1:16" x14ac:dyDescent="0.25">
      <c r="A166" s="59" t="s">
        <v>5</v>
      </c>
      <c r="B166" s="70">
        <f>B160+1</f>
        <v>45541</v>
      </c>
      <c r="C166" s="57" t="s">
        <v>72</v>
      </c>
      <c r="D166" s="7">
        <v>9</v>
      </c>
      <c r="E166" s="49">
        <v>9.1999999999999993</v>
      </c>
      <c r="F166" s="48">
        <v>1.2</v>
      </c>
      <c r="G166" s="48">
        <v>100</v>
      </c>
      <c r="H166" s="49">
        <f>F166*D166</f>
        <v>10.799999999999999</v>
      </c>
      <c r="I166" s="55"/>
      <c r="K166" s="3"/>
      <c r="L166" s="3"/>
      <c r="M166" s="3"/>
      <c r="N166" s="3"/>
      <c r="O166" s="3"/>
    </row>
    <row r="167" spans="1:16" x14ac:dyDescent="0.25">
      <c r="A167" s="8"/>
      <c r="B167" s="71"/>
      <c r="C167" s="21" t="s">
        <v>73</v>
      </c>
      <c r="D167">
        <v>1</v>
      </c>
      <c r="E167" s="17">
        <v>9</v>
      </c>
      <c r="F167" s="16">
        <v>1.2</v>
      </c>
      <c r="G167" s="16">
        <v>100</v>
      </c>
      <c r="H167" s="17">
        <f>F167*D167</f>
        <v>1.2</v>
      </c>
      <c r="I167" s="72"/>
      <c r="K167" s="209"/>
      <c r="L167" s="209"/>
      <c r="M167" s="209"/>
      <c r="N167" s="209"/>
      <c r="O167" s="209"/>
      <c r="P167" s="17"/>
    </row>
    <row r="168" spans="1:16" x14ac:dyDescent="0.25">
      <c r="A168" s="8"/>
      <c r="B168" s="71"/>
      <c r="E168" s="17"/>
      <c r="F168" s="16">
        <v>1.2</v>
      </c>
      <c r="G168" s="16"/>
      <c r="H168" s="17">
        <f>F168*D168</f>
        <v>0</v>
      </c>
      <c r="I168" s="72"/>
      <c r="K168" s="369" t="s">
        <v>23</v>
      </c>
      <c r="L168" s="370"/>
      <c r="M168" s="370"/>
      <c r="N168" s="370"/>
      <c r="O168" s="371"/>
    </row>
    <row r="169" spans="1:16" ht="16.5" thickBot="1" x14ac:dyDescent="0.3">
      <c r="A169" s="8"/>
      <c r="B169" s="21" t="s">
        <v>47</v>
      </c>
      <c r="E169" s="17"/>
      <c r="F169" s="16">
        <v>1</v>
      </c>
      <c r="G169" s="16"/>
      <c r="H169" s="85">
        <f>F169*D169</f>
        <v>0</v>
      </c>
      <c r="I169" s="86"/>
      <c r="K169" s="47" t="s">
        <v>27</v>
      </c>
      <c r="L169" s="47" t="s">
        <v>12</v>
      </c>
      <c r="M169" s="47" t="s">
        <v>87</v>
      </c>
      <c r="N169" s="47" t="s">
        <v>28</v>
      </c>
      <c r="O169" s="28" t="s">
        <v>86</v>
      </c>
    </row>
    <row r="170" spans="1:16" ht="16.5" thickTop="1" x14ac:dyDescent="0.25">
      <c r="A170" s="73"/>
      <c r="B170" s="9"/>
      <c r="C170" s="9"/>
      <c r="D170" s="9"/>
      <c r="E170" s="9"/>
      <c r="F170" s="64"/>
      <c r="G170" s="64"/>
      <c r="H170" s="64">
        <f>SUM(H166:H169)</f>
        <v>11.999999999999998</v>
      </c>
      <c r="I170" s="74">
        <f>H170*I$6*I$5</f>
        <v>16.961999999999996</v>
      </c>
      <c r="K170" s="214" t="e">
        <f>K166/SUM(K166:O166)*I170</f>
        <v>#DIV/0!</v>
      </c>
      <c r="L170" s="214" t="e">
        <f>L166/SUM(K166:O166)*$I170</f>
        <v>#DIV/0!</v>
      </c>
      <c r="M170" s="214" t="e">
        <f>M166/SUM(K166:O166)*$I170</f>
        <v>#DIV/0!</v>
      </c>
      <c r="N170" s="214" t="e">
        <f>N166/SUM(K166:O166)*$I170</f>
        <v>#DIV/0!</v>
      </c>
      <c r="O170" s="214" t="e">
        <f>O166/SUM(K166:O166)*$I170</f>
        <v>#DIV/0!</v>
      </c>
    </row>
    <row r="172" spans="1:16" x14ac:dyDescent="0.25">
      <c r="A172" s="59" t="s">
        <v>6</v>
      </c>
      <c r="B172" s="70">
        <f>B166+1</f>
        <v>45542</v>
      </c>
      <c r="C172" s="57" t="s">
        <v>72</v>
      </c>
      <c r="D172" s="7">
        <v>11</v>
      </c>
      <c r="E172" s="49">
        <v>8.3000000000000007</v>
      </c>
      <c r="F172" s="48">
        <v>1</v>
      </c>
      <c r="G172" s="48">
        <v>100</v>
      </c>
      <c r="H172" s="17">
        <f>F172*D172</f>
        <v>11</v>
      </c>
      <c r="I172" s="55"/>
      <c r="K172" s="3"/>
      <c r="L172" s="3"/>
      <c r="M172" s="3"/>
      <c r="N172" s="3"/>
      <c r="O172" s="3"/>
    </row>
    <row r="173" spans="1:16" x14ac:dyDescent="0.25">
      <c r="A173" s="8"/>
      <c r="B173" s="71"/>
      <c r="C173" s="21" t="s">
        <v>73</v>
      </c>
      <c r="D173">
        <v>1</v>
      </c>
      <c r="E173" s="17">
        <v>8.1999999999999993</v>
      </c>
      <c r="F173" s="16">
        <v>1</v>
      </c>
      <c r="G173" s="16">
        <v>100</v>
      </c>
      <c r="H173" s="17">
        <f>F173*D173</f>
        <v>1</v>
      </c>
      <c r="I173" s="72"/>
      <c r="K173" s="209"/>
      <c r="L173" s="209"/>
      <c r="M173" s="209"/>
      <c r="N173" s="209"/>
      <c r="O173" s="209"/>
      <c r="P173" s="17"/>
    </row>
    <row r="174" spans="1:16" x14ac:dyDescent="0.25">
      <c r="A174" s="8"/>
      <c r="B174" s="71"/>
      <c r="E174" s="17"/>
      <c r="F174" s="16">
        <v>1</v>
      </c>
      <c r="G174" s="16"/>
      <c r="H174" s="17"/>
      <c r="I174" s="72"/>
      <c r="K174" s="369" t="s">
        <v>23</v>
      </c>
      <c r="L174" s="370"/>
      <c r="M174" s="370"/>
      <c r="N174" s="370"/>
      <c r="O174" s="371"/>
    </row>
    <row r="175" spans="1:16" ht="16.5" thickBot="1" x14ac:dyDescent="0.3">
      <c r="A175" s="8"/>
      <c r="B175" s="21" t="s">
        <v>47</v>
      </c>
      <c r="E175" s="17"/>
      <c r="F175" s="16">
        <v>1</v>
      </c>
      <c r="G175" s="16"/>
      <c r="H175" s="85">
        <f>F175*D175</f>
        <v>0</v>
      </c>
      <c r="I175" s="86"/>
      <c r="K175" s="47" t="s">
        <v>27</v>
      </c>
      <c r="L175" s="47" t="s">
        <v>12</v>
      </c>
      <c r="M175" s="47" t="s">
        <v>87</v>
      </c>
      <c r="N175" s="47" t="s">
        <v>28</v>
      </c>
      <c r="O175" s="28" t="s">
        <v>86</v>
      </c>
    </row>
    <row r="176" spans="1:16" ht="16.5" thickTop="1" x14ac:dyDescent="0.25">
      <c r="A176" s="73"/>
      <c r="B176" s="9"/>
      <c r="C176" s="9"/>
      <c r="D176" s="9"/>
      <c r="E176" s="9"/>
      <c r="F176" s="64"/>
      <c r="G176" s="64"/>
      <c r="H176" s="64">
        <f>SUM(H172:H175)</f>
        <v>12</v>
      </c>
      <c r="I176" s="74">
        <f>H176*I$6*I$5</f>
        <v>16.962</v>
      </c>
      <c r="K176" s="214" t="e">
        <f>K172/SUM(K172:O172)*I176</f>
        <v>#DIV/0!</v>
      </c>
      <c r="L176" s="214" t="e">
        <f>L172/SUM(K172:O172)*$I176</f>
        <v>#DIV/0!</v>
      </c>
      <c r="M176" s="214" t="e">
        <f>M172/SUM(K172:O172)*$I176</f>
        <v>#DIV/0!</v>
      </c>
      <c r="N176" s="214" t="e">
        <f>N172/SUM(K172:O172)*$I176</f>
        <v>#DIV/0!</v>
      </c>
      <c r="O176" s="214" t="e">
        <f>O172/SUM(K172:O172)*$I176</f>
        <v>#DIV/0!</v>
      </c>
    </row>
    <row r="178" spans="1:16" x14ac:dyDescent="0.25">
      <c r="A178" s="59" t="s">
        <v>0</v>
      </c>
      <c r="B178" s="70">
        <f>B172+1</f>
        <v>45543</v>
      </c>
      <c r="C178" s="57" t="s">
        <v>72</v>
      </c>
      <c r="D178" s="7">
        <v>10</v>
      </c>
      <c r="E178" s="49">
        <v>8.3000000000000007</v>
      </c>
      <c r="F178" s="48">
        <v>1</v>
      </c>
      <c r="G178" s="48">
        <v>100</v>
      </c>
      <c r="H178" s="17">
        <f>F178*D178</f>
        <v>10</v>
      </c>
      <c r="I178" s="55"/>
      <c r="K178" s="3"/>
      <c r="L178" s="3"/>
      <c r="M178" s="3"/>
      <c r="N178" s="3"/>
      <c r="O178" s="3"/>
    </row>
    <row r="179" spans="1:16" x14ac:dyDescent="0.25">
      <c r="A179" s="8"/>
      <c r="B179" s="71"/>
      <c r="C179" s="21" t="s">
        <v>73</v>
      </c>
      <c r="D179">
        <v>0</v>
      </c>
      <c r="E179" s="17">
        <v>8.1999999999999993</v>
      </c>
      <c r="F179" s="16">
        <v>1</v>
      </c>
      <c r="G179" s="16">
        <v>100</v>
      </c>
      <c r="H179" s="17">
        <f>F179*D179</f>
        <v>0</v>
      </c>
      <c r="I179" s="72"/>
      <c r="K179" s="209"/>
      <c r="L179" s="209"/>
      <c r="M179" s="209"/>
      <c r="N179" s="209"/>
      <c r="O179" s="209"/>
      <c r="P179" s="17"/>
    </row>
    <row r="180" spans="1:16" x14ac:dyDescent="0.25">
      <c r="A180" s="8"/>
      <c r="B180" s="71"/>
      <c r="E180" s="17"/>
      <c r="F180" s="16">
        <v>1.2</v>
      </c>
      <c r="G180" s="16"/>
      <c r="H180" s="17">
        <f>F180*D180</f>
        <v>0</v>
      </c>
      <c r="I180" s="72"/>
      <c r="K180" s="369" t="s">
        <v>23</v>
      </c>
      <c r="L180" s="370"/>
      <c r="M180" s="370"/>
      <c r="N180" s="370"/>
      <c r="O180" s="371"/>
    </row>
    <row r="181" spans="1:16" ht="16.5" thickBot="1" x14ac:dyDescent="0.3">
      <c r="A181" s="8"/>
      <c r="B181" s="21" t="s">
        <v>47</v>
      </c>
      <c r="E181" s="17"/>
      <c r="F181" s="16">
        <v>1</v>
      </c>
      <c r="G181" s="16"/>
      <c r="H181" s="85">
        <f>F181*D181</f>
        <v>0</v>
      </c>
      <c r="I181" s="86"/>
      <c r="K181" s="47" t="s">
        <v>27</v>
      </c>
      <c r="L181" s="47" t="s">
        <v>12</v>
      </c>
      <c r="M181" s="47" t="s">
        <v>87</v>
      </c>
      <c r="N181" s="47" t="s">
        <v>28</v>
      </c>
      <c r="O181" s="28" t="s">
        <v>86</v>
      </c>
    </row>
    <row r="182" spans="1:16" ht="16.5" thickTop="1" x14ac:dyDescent="0.25">
      <c r="A182" s="73"/>
      <c r="B182" s="9"/>
      <c r="C182" s="9"/>
      <c r="D182" s="9"/>
      <c r="E182" s="9"/>
      <c r="F182" s="64"/>
      <c r="G182" s="64"/>
      <c r="H182" s="64">
        <f>SUM(H178:H181)</f>
        <v>10</v>
      </c>
      <c r="I182" s="74">
        <f>H182*I$6*I$5</f>
        <v>14.135000000000002</v>
      </c>
      <c r="K182" s="214" t="e">
        <f>K178/SUM(K178:O178)*I182</f>
        <v>#DIV/0!</v>
      </c>
      <c r="L182" s="214" t="e">
        <f>L178/SUM(K178:O178)*$I182</f>
        <v>#DIV/0!</v>
      </c>
      <c r="M182" s="214" t="e">
        <f>M178/SUM(K178:O178)*$I182</f>
        <v>#DIV/0!</v>
      </c>
      <c r="N182" s="214" t="e">
        <f>N178/SUM(K178:O178)*$I182</f>
        <v>#DIV/0!</v>
      </c>
      <c r="O182" s="214" t="e">
        <f>O178/SUM(K178:O178)*$I182</f>
        <v>#DIV/0!</v>
      </c>
    </row>
    <row r="184" spans="1:16" x14ac:dyDescent="0.25">
      <c r="A184" s="59" t="s">
        <v>152</v>
      </c>
      <c r="B184" s="70">
        <f>B178+1</f>
        <v>45544</v>
      </c>
      <c r="C184" s="57" t="s">
        <v>72</v>
      </c>
      <c r="D184" s="7">
        <v>6</v>
      </c>
      <c r="E184" s="49">
        <v>8.6999999999999993</v>
      </c>
      <c r="F184" s="48">
        <v>1</v>
      </c>
      <c r="G184" s="48">
        <v>100</v>
      </c>
      <c r="H184" s="17">
        <f>F184*D184</f>
        <v>6</v>
      </c>
      <c r="I184" s="55"/>
      <c r="K184" s="3"/>
      <c r="L184" s="3"/>
      <c r="M184" s="3"/>
      <c r="N184" s="3"/>
      <c r="O184" s="3"/>
    </row>
    <row r="185" spans="1:16" x14ac:dyDescent="0.25">
      <c r="A185" s="8"/>
      <c r="B185" s="71"/>
      <c r="C185" s="21" t="s">
        <v>73</v>
      </c>
      <c r="D185">
        <v>1</v>
      </c>
      <c r="E185" s="17">
        <v>8.5</v>
      </c>
      <c r="F185" s="16">
        <v>1</v>
      </c>
      <c r="G185" s="16">
        <v>100</v>
      </c>
      <c r="H185" s="17">
        <f>F185*D185</f>
        <v>1</v>
      </c>
      <c r="I185" s="72"/>
      <c r="K185" s="209"/>
      <c r="L185" s="209"/>
      <c r="M185" s="209"/>
      <c r="N185" s="209"/>
      <c r="O185" s="209"/>
      <c r="P185" s="17"/>
    </row>
    <row r="186" spans="1:16" x14ac:dyDescent="0.25">
      <c r="A186" s="8"/>
      <c r="B186" s="71"/>
      <c r="E186" s="17"/>
      <c r="F186" s="16">
        <v>1</v>
      </c>
      <c r="G186" s="16"/>
      <c r="H186" s="17">
        <f>F186*D186</f>
        <v>0</v>
      </c>
      <c r="I186" s="72"/>
      <c r="K186" s="369" t="s">
        <v>23</v>
      </c>
      <c r="L186" s="370"/>
      <c r="M186" s="370"/>
      <c r="N186" s="370"/>
      <c r="O186" s="371"/>
    </row>
    <row r="187" spans="1:16" ht="16.5" thickBot="1" x14ac:dyDescent="0.3">
      <c r="A187" s="8"/>
      <c r="B187" s="21" t="s">
        <v>47</v>
      </c>
      <c r="E187" s="17"/>
      <c r="F187" s="16">
        <v>1</v>
      </c>
      <c r="G187" s="16"/>
      <c r="H187" s="85">
        <f>F187*D187</f>
        <v>0</v>
      </c>
      <c r="I187" s="86"/>
      <c r="K187" s="47" t="s">
        <v>27</v>
      </c>
      <c r="L187" s="47" t="s">
        <v>12</v>
      </c>
      <c r="M187" s="47" t="s">
        <v>87</v>
      </c>
      <c r="N187" s="47" t="s">
        <v>28</v>
      </c>
      <c r="O187" s="28" t="s">
        <v>86</v>
      </c>
    </row>
    <row r="188" spans="1:16" ht="16.5" thickTop="1" x14ac:dyDescent="0.25">
      <c r="A188" s="73"/>
      <c r="B188" s="9"/>
      <c r="C188" s="9"/>
      <c r="D188" s="9"/>
      <c r="E188" s="9"/>
      <c r="F188" s="64"/>
      <c r="G188" s="64"/>
      <c r="H188" s="64">
        <f>SUM(H184:H187)</f>
        <v>7</v>
      </c>
      <c r="I188" s="74">
        <f>H188*I$6*I$5</f>
        <v>9.8945000000000007</v>
      </c>
      <c r="K188" s="214" t="e">
        <f>K184/SUM(K184:O184)*I188</f>
        <v>#DIV/0!</v>
      </c>
      <c r="L188" s="214" t="e">
        <f>L184/SUM(K184:O184)*$I188</f>
        <v>#DIV/0!</v>
      </c>
      <c r="M188" s="214" t="e">
        <f>M184/SUM(K184:O184)*$I188</f>
        <v>#DIV/0!</v>
      </c>
      <c r="N188" s="214" t="e">
        <f>N184/SUM(K184:O184)*$I188</f>
        <v>#DIV/0!</v>
      </c>
      <c r="O188" s="214" t="e">
        <f>O184/SUM(K184:O184)*$I188</f>
        <v>#DIV/0!</v>
      </c>
    </row>
    <row r="190" spans="1:16" x14ac:dyDescent="0.25">
      <c r="A190" s="59" t="s">
        <v>2</v>
      </c>
      <c r="B190" s="70">
        <f>B184+1</f>
        <v>45545</v>
      </c>
      <c r="C190" s="57" t="s">
        <v>72</v>
      </c>
      <c r="D190" s="7">
        <v>7</v>
      </c>
      <c r="E190" s="49">
        <v>8</v>
      </c>
      <c r="F190" s="48">
        <v>1</v>
      </c>
      <c r="G190" s="48">
        <f>4/5</f>
        <v>0.8</v>
      </c>
      <c r="H190" s="49">
        <f>F190*D190</f>
        <v>7</v>
      </c>
      <c r="I190" s="55"/>
      <c r="K190" s="3"/>
      <c r="L190" s="3"/>
      <c r="M190" s="3"/>
      <c r="N190" s="3"/>
      <c r="O190" s="3"/>
    </row>
    <row r="191" spans="1:16" x14ac:dyDescent="0.25">
      <c r="A191" s="8"/>
      <c r="B191" s="71"/>
      <c r="C191" s="21" t="s">
        <v>73</v>
      </c>
      <c r="D191">
        <v>0</v>
      </c>
      <c r="E191" s="17">
        <v>7.7</v>
      </c>
      <c r="F191" s="16">
        <v>1</v>
      </c>
      <c r="G191" s="16">
        <v>0.8</v>
      </c>
      <c r="H191" s="17">
        <f>F191*D191</f>
        <v>0</v>
      </c>
      <c r="I191" s="72"/>
      <c r="K191" s="209"/>
      <c r="L191" s="209"/>
      <c r="M191" s="209"/>
      <c r="N191" s="209"/>
      <c r="O191" s="209"/>
      <c r="P191" s="17"/>
    </row>
    <row r="192" spans="1:16" x14ac:dyDescent="0.25">
      <c r="A192" s="8"/>
      <c r="B192" s="71"/>
      <c r="C192" s="21"/>
      <c r="E192" s="17"/>
      <c r="F192" s="16">
        <v>1</v>
      </c>
      <c r="G192" s="16"/>
      <c r="H192" s="17">
        <f>F192*D192</f>
        <v>0</v>
      </c>
      <c r="I192" s="72"/>
      <c r="K192" s="369" t="s">
        <v>23</v>
      </c>
      <c r="L192" s="370"/>
      <c r="M192" s="370"/>
      <c r="N192" s="370"/>
      <c r="O192" s="371"/>
    </row>
    <row r="193" spans="1:16" ht="16.5" thickBot="1" x14ac:dyDescent="0.3">
      <c r="A193" s="8"/>
      <c r="C193" s="21" t="s">
        <v>47</v>
      </c>
      <c r="E193" s="17"/>
      <c r="F193" s="16">
        <v>1</v>
      </c>
      <c r="G193" s="16"/>
      <c r="H193" s="85">
        <f>F193*D193</f>
        <v>0</v>
      </c>
      <c r="I193" s="86"/>
      <c r="K193" s="47" t="s">
        <v>27</v>
      </c>
      <c r="L193" s="47" t="s">
        <v>12</v>
      </c>
      <c r="M193" s="47" t="s">
        <v>87</v>
      </c>
      <c r="N193" s="47" t="s">
        <v>28</v>
      </c>
      <c r="O193" s="28" t="s">
        <v>86</v>
      </c>
    </row>
    <row r="194" spans="1:16" ht="16.5" thickTop="1" x14ac:dyDescent="0.25">
      <c r="A194" s="73"/>
      <c r="B194" s="9"/>
      <c r="C194" s="9"/>
      <c r="D194" s="9"/>
      <c r="E194" s="9"/>
      <c r="F194" s="64"/>
      <c r="G194" s="64"/>
      <c r="H194" s="64">
        <f>SUM(H190:H193)</f>
        <v>7</v>
      </c>
      <c r="I194" s="74">
        <f>H194*I$6*I$5</f>
        <v>9.8945000000000007</v>
      </c>
      <c r="K194" s="214" t="e">
        <f>K190/SUM(K190:O190)*I194</f>
        <v>#DIV/0!</v>
      </c>
      <c r="L194" s="214" t="e">
        <f>L190/SUM(K190:O190)*$I194</f>
        <v>#DIV/0!</v>
      </c>
      <c r="M194" s="214" t="e">
        <f>M190/SUM(K190:O190)*$I194</f>
        <v>#DIV/0!</v>
      </c>
      <c r="N194" s="214" t="e">
        <f>N190/SUM(K190:O190)*$I194</f>
        <v>#DIV/0!</v>
      </c>
      <c r="O194" s="214" t="e">
        <f>O190/SUM(K190:O190)*$I194</f>
        <v>#DIV/0!</v>
      </c>
    </row>
    <row r="196" spans="1:16" x14ac:dyDescent="0.25">
      <c r="A196" s="59" t="s">
        <v>3</v>
      </c>
      <c r="B196" s="70">
        <f>B190+1</f>
        <v>45546</v>
      </c>
      <c r="C196" s="57" t="s">
        <v>72</v>
      </c>
      <c r="D196" s="7">
        <v>3</v>
      </c>
      <c r="E196" s="49">
        <v>10</v>
      </c>
      <c r="F196" s="48">
        <v>1</v>
      </c>
      <c r="G196" s="48">
        <v>100</v>
      </c>
      <c r="H196" s="49">
        <f>F196*D196</f>
        <v>3</v>
      </c>
      <c r="I196" s="55"/>
      <c r="K196" s="3"/>
      <c r="L196" s="3"/>
      <c r="M196" s="3"/>
      <c r="N196" s="3"/>
      <c r="O196" s="3"/>
    </row>
    <row r="197" spans="1:16" x14ac:dyDescent="0.25">
      <c r="A197" s="8"/>
      <c r="B197" s="71"/>
      <c r="C197" s="21" t="s">
        <v>73</v>
      </c>
      <c r="D197">
        <v>0</v>
      </c>
      <c r="E197" s="17">
        <v>6.2</v>
      </c>
      <c r="F197" s="16">
        <v>1</v>
      </c>
      <c r="G197" s="16">
        <v>100</v>
      </c>
      <c r="H197" s="17">
        <f>F197*D197</f>
        <v>0</v>
      </c>
      <c r="I197" s="72"/>
      <c r="K197" s="209"/>
      <c r="L197" s="209"/>
      <c r="M197" s="209"/>
      <c r="N197" s="209"/>
      <c r="O197" s="209"/>
      <c r="P197" s="17"/>
    </row>
    <row r="198" spans="1:16" x14ac:dyDescent="0.25">
      <c r="A198" s="8"/>
      <c r="B198" s="71"/>
      <c r="C198" s="21"/>
      <c r="E198" s="17"/>
      <c r="F198" s="16">
        <v>1</v>
      </c>
      <c r="G198" s="16"/>
      <c r="H198" s="17">
        <f>F198*D198</f>
        <v>0</v>
      </c>
      <c r="I198" s="72"/>
      <c r="K198" s="369" t="s">
        <v>23</v>
      </c>
      <c r="L198" s="370"/>
      <c r="M198" s="370"/>
      <c r="N198" s="370"/>
      <c r="O198" s="371"/>
    </row>
    <row r="199" spans="1:16" ht="16.5" thickBot="1" x14ac:dyDescent="0.3">
      <c r="A199" s="8"/>
      <c r="E199" s="17"/>
      <c r="F199" s="16">
        <v>1</v>
      </c>
      <c r="G199" s="16"/>
      <c r="H199" s="85">
        <f>F199*D199</f>
        <v>0</v>
      </c>
      <c r="I199" s="86"/>
      <c r="K199" s="47" t="s">
        <v>27</v>
      </c>
      <c r="L199" s="47" t="s">
        <v>12</v>
      </c>
      <c r="M199" s="47" t="s">
        <v>87</v>
      </c>
      <c r="N199" s="47" t="s">
        <v>28</v>
      </c>
      <c r="O199" s="28" t="s">
        <v>86</v>
      </c>
    </row>
    <row r="200" spans="1:16" ht="16.5" thickTop="1" x14ac:dyDescent="0.25">
      <c r="A200" s="73"/>
      <c r="B200" s="9"/>
      <c r="C200" s="9"/>
      <c r="D200" s="9"/>
      <c r="E200" s="9"/>
      <c r="F200" s="64"/>
      <c r="G200" s="64"/>
      <c r="H200" s="64">
        <f>SUM(H196:H199)</f>
        <v>3</v>
      </c>
      <c r="I200" s="74">
        <f>H200*I$6*I$5</f>
        <v>4.2404999999999999</v>
      </c>
      <c r="K200" s="214" t="e">
        <f>K196/SUM(K196:O196)*I200</f>
        <v>#DIV/0!</v>
      </c>
      <c r="L200" s="214" t="e">
        <f>L196/SUM(K196:O196)*$I200</f>
        <v>#DIV/0!</v>
      </c>
      <c r="M200" s="214" t="e">
        <f>M196/SUM(K196:O196)*$I200</f>
        <v>#DIV/0!</v>
      </c>
      <c r="N200" s="214" t="e">
        <f>N196/SUM(K196:O196)*$I200</f>
        <v>#DIV/0!</v>
      </c>
      <c r="O200" s="214" t="e">
        <f>O196/SUM(K196:O196)*$I200</f>
        <v>#DIV/0!</v>
      </c>
    </row>
    <row r="202" spans="1:16" x14ac:dyDescent="0.25">
      <c r="A202" s="59" t="s">
        <v>4</v>
      </c>
      <c r="B202" s="70">
        <f>B196+1</f>
        <v>45547</v>
      </c>
      <c r="C202" s="57" t="s">
        <v>72</v>
      </c>
      <c r="D202" s="7"/>
      <c r="E202" s="49"/>
      <c r="F202" s="48">
        <v>1</v>
      </c>
      <c r="G202" s="48">
        <v>100</v>
      </c>
      <c r="H202" s="49">
        <f>F202*D202</f>
        <v>0</v>
      </c>
      <c r="I202" s="55"/>
      <c r="K202" s="3"/>
      <c r="L202" s="3"/>
      <c r="M202" s="3"/>
      <c r="N202" s="221"/>
      <c r="O202" s="3"/>
    </row>
    <row r="203" spans="1:16" x14ac:dyDescent="0.25">
      <c r="A203" s="8"/>
      <c r="B203" s="71"/>
      <c r="C203" s="21" t="s">
        <v>73</v>
      </c>
      <c r="E203" s="17"/>
      <c r="F203" s="16">
        <v>1</v>
      </c>
      <c r="G203" s="16">
        <v>100</v>
      </c>
      <c r="H203" s="17">
        <f>F203*D203</f>
        <v>0</v>
      </c>
      <c r="I203" s="72"/>
      <c r="K203" s="209"/>
      <c r="L203" s="209"/>
      <c r="M203" s="209"/>
      <c r="N203" s="209"/>
      <c r="O203" s="209"/>
      <c r="P203" s="17"/>
    </row>
    <row r="204" spans="1:16" x14ac:dyDescent="0.25">
      <c r="A204" s="8"/>
      <c r="B204" s="71"/>
      <c r="E204" s="17"/>
      <c r="F204" s="16">
        <v>1.2</v>
      </c>
      <c r="G204" s="16"/>
      <c r="H204" s="17">
        <f>F204*D204</f>
        <v>0</v>
      </c>
      <c r="I204" s="72"/>
      <c r="K204" s="369" t="s">
        <v>23</v>
      </c>
      <c r="L204" s="370"/>
      <c r="M204" s="370"/>
      <c r="N204" s="370"/>
      <c r="O204" s="371"/>
    </row>
    <row r="205" spans="1:16" ht="16.5" thickBot="1" x14ac:dyDescent="0.3">
      <c r="A205" s="8"/>
      <c r="C205" t="s">
        <v>47</v>
      </c>
      <c r="E205" s="17"/>
      <c r="F205" s="16">
        <v>1.2</v>
      </c>
      <c r="G205" s="16"/>
      <c r="H205" s="85">
        <f>F205*D205</f>
        <v>0</v>
      </c>
      <c r="I205" s="86"/>
      <c r="K205" s="47" t="s">
        <v>27</v>
      </c>
      <c r="L205" s="47" t="s">
        <v>12</v>
      </c>
      <c r="M205" s="47" t="s">
        <v>87</v>
      </c>
      <c r="N205" s="47" t="s">
        <v>28</v>
      </c>
      <c r="O205" s="28" t="s">
        <v>86</v>
      </c>
    </row>
    <row r="206" spans="1:16" ht="16.5" thickTop="1" x14ac:dyDescent="0.25">
      <c r="A206" s="73"/>
      <c r="B206" s="9"/>
      <c r="C206" s="9"/>
      <c r="D206" s="9"/>
      <c r="E206" s="9"/>
      <c r="F206" s="64"/>
      <c r="G206" s="64"/>
      <c r="H206" s="64">
        <f>SUM(H202:H205)</f>
        <v>0</v>
      </c>
      <c r="I206" s="74">
        <f>H206*I$6*I$5</f>
        <v>0</v>
      </c>
      <c r="K206" s="214" t="e">
        <f>K202/SUM(K202:O202)*I206</f>
        <v>#DIV/0!</v>
      </c>
      <c r="L206" s="214" t="e">
        <f>L202/SUM(K202:O202)*$I206</f>
        <v>#DIV/0!</v>
      </c>
      <c r="M206" s="214" t="e">
        <f>M202/SUM(K202:O202)*$I206</f>
        <v>#DIV/0!</v>
      </c>
      <c r="N206" s="214" t="e">
        <f>N202/SUM(K202:O202)*$I206</f>
        <v>#DIV/0!</v>
      </c>
      <c r="O206" s="214" t="e">
        <f>O202/SUM(K202:O202)*$I206</f>
        <v>#DIV/0!</v>
      </c>
    </row>
    <row r="208" spans="1:16" x14ac:dyDescent="0.25">
      <c r="A208" s="59" t="s">
        <v>5</v>
      </c>
      <c r="B208" s="70">
        <f>B202+1</f>
        <v>45548</v>
      </c>
      <c r="C208" s="57" t="s">
        <v>72</v>
      </c>
      <c r="D208" s="7"/>
      <c r="E208" s="49"/>
      <c r="F208" s="48">
        <v>1</v>
      </c>
      <c r="G208" s="48"/>
      <c r="H208" s="49">
        <f>F208*D208</f>
        <v>0</v>
      </c>
      <c r="I208" s="55"/>
      <c r="K208" s="3"/>
      <c r="L208" s="3"/>
      <c r="M208" s="3"/>
      <c r="N208" s="221"/>
      <c r="O208" s="3"/>
    </row>
    <row r="209" spans="1:16" x14ac:dyDescent="0.25">
      <c r="A209" s="8"/>
      <c r="B209" s="71"/>
      <c r="C209" s="21" t="s">
        <v>73</v>
      </c>
      <c r="E209" s="17"/>
      <c r="F209" s="16">
        <v>1</v>
      </c>
      <c r="G209" s="16"/>
      <c r="H209" s="17">
        <f>F209*D209</f>
        <v>0</v>
      </c>
      <c r="I209" s="72"/>
      <c r="K209" s="209"/>
      <c r="L209" s="209"/>
      <c r="M209" s="209"/>
      <c r="N209" s="209"/>
      <c r="O209" s="209"/>
      <c r="P209" s="17"/>
    </row>
    <row r="210" spans="1:16" x14ac:dyDescent="0.25">
      <c r="A210" s="8"/>
      <c r="B210" s="71"/>
      <c r="E210" s="17"/>
      <c r="F210" s="16">
        <v>1</v>
      </c>
      <c r="G210" s="16"/>
      <c r="H210" s="17">
        <f>F210*D210</f>
        <v>0</v>
      </c>
      <c r="I210" s="72"/>
      <c r="K210" s="369" t="s">
        <v>23</v>
      </c>
      <c r="L210" s="370"/>
      <c r="M210" s="370"/>
      <c r="N210" s="370"/>
      <c r="O210" s="371"/>
    </row>
    <row r="211" spans="1:16" ht="16.5" thickBot="1" x14ac:dyDescent="0.3">
      <c r="A211" s="8"/>
      <c r="C211" t="s">
        <v>47</v>
      </c>
      <c r="E211" s="17"/>
      <c r="F211" s="16">
        <v>1</v>
      </c>
      <c r="G211" s="16"/>
      <c r="H211" s="85">
        <f>F211*D211</f>
        <v>0</v>
      </c>
      <c r="I211" s="86"/>
      <c r="K211" s="47" t="s">
        <v>27</v>
      </c>
      <c r="L211" s="47" t="s">
        <v>12</v>
      </c>
      <c r="M211" s="47" t="s">
        <v>87</v>
      </c>
      <c r="N211" s="47" t="s">
        <v>28</v>
      </c>
      <c r="O211" s="28" t="s">
        <v>86</v>
      </c>
    </row>
    <row r="212" spans="1:16" ht="16.5" thickTop="1" x14ac:dyDescent="0.25">
      <c r="A212" s="73"/>
      <c r="B212" s="9"/>
      <c r="C212" s="9"/>
      <c r="D212" s="9"/>
      <c r="E212" s="9"/>
      <c r="F212" s="64"/>
      <c r="G212" s="64"/>
      <c r="H212" s="64">
        <f>SUM(H208:H211)</f>
        <v>0</v>
      </c>
      <c r="I212" s="74">
        <f>H212*I$6*I$5</f>
        <v>0</v>
      </c>
      <c r="K212" s="214" t="e">
        <f>K208/SUM(K208:O208)*I212</f>
        <v>#DIV/0!</v>
      </c>
      <c r="L212" s="214" t="e">
        <f>L208/SUM(K208:O208)*$I212</f>
        <v>#DIV/0!</v>
      </c>
      <c r="M212" s="214" t="e">
        <f>M208/SUM(K208:O208)*$I212</f>
        <v>#DIV/0!</v>
      </c>
      <c r="N212" s="214" t="e">
        <f>N208/SUM(K208:O208)*$I212</f>
        <v>#DIV/0!</v>
      </c>
      <c r="O212" s="214" t="e">
        <f>O208/SUM(K208:O208)*$I212</f>
        <v>#DIV/0!</v>
      </c>
    </row>
    <row r="214" spans="1:16" x14ac:dyDescent="0.25">
      <c r="A214" s="59" t="s">
        <v>6</v>
      </c>
      <c r="B214" s="70">
        <f>B208+1</f>
        <v>45549</v>
      </c>
      <c r="C214" s="57" t="s">
        <v>72</v>
      </c>
      <c r="D214" s="7">
        <v>19</v>
      </c>
      <c r="E214" s="49">
        <v>8.1999999999999993</v>
      </c>
      <c r="F214" s="48">
        <v>1</v>
      </c>
      <c r="G214" s="48">
        <v>100</v>
      </c>
      <c r="H214" s="49">
        <f>F214*D214</f>
        <v>19</v>
      </c>
      <c r="I214" s="55"/>
      <c r="K214" s="3"/>
      <c r="L214" s="3"/>
      <c r="M214" s="3"/>
      <c r="N214" s="3"/>
      <c r="O214" s="3"/>
    </row>
    <row r="215" spans="1:16" x14ac:dyDescent="0.25">
      <c r="A215" s="8"/>
      <c r="B215" s="71"/>
      <c r="C215" s="21" t="s">
        <v>73</v>
      </c>
      <c r="D215">
        <v>0</v>
      </c>
      <c r="E215" s="17">
        <v>7.5</v>
      </c>
      <c r="F215" s="16">
        <v>1</v>
      </c>
      <c r="G215" s="16">
        <v>100</v>
      </c>
      <c r="H215" s="17">
        <f>F215*D215</f>
        <v>0</v>
      </c>
      <c r="I215" s="72"/>
      <c r="K215" s="209"/>
      <c r="L215" s="209"/>
      <c r="M215" s="209"/>
      <c r="N215" s="209"/>
      <c r="O215" s="209"/>
      <c r="P215" s="17"/>
    </row>
    <row r="216" spans="1:16" x14ac:dyDescent="0.25">
      <c r="A216" s="8"/>
      <c r="B216" s="71"/>
      <c r="E216" s="17"/>
      <c r="F216" s="16">
        <v>1</v>
      </c>
      <c r="G216" s="16"/>
      <c r="H216" s="17">
        <f>F216*D216</f>
        <v>0</v>
      </c>
      <c r="I216" s="72"/>
      <c r="K216" s="369" t="s">
        <v>23</v>
      </c>
      <c r="L216" s="370"/>
      <c r="M216" s="370"/>
      <c r="N216" s="370"/>
      <c r="O216" s="371"/>
    </row>
    <row r="217" spans="1:16" ht="16.5" thickBot="1" x14ac:dyDescent="0.3">
      <c r="A217" s="8"/>
      <c r="C217" t="s">
        <v>47</v>
      </c>
      <c r="E217" s="17"/>
      <c r="F217" s="16">
        <v>1</v>
      </c>
      <c r="G217" s="16"/>
      <c r="H217" s="85">
        <f>F217*D217</f>
        <v>0</v>
      </c>
      <c r="I217" s="86"/>
      <c r="K217" s="47" t="s">
        <v>27</v>
      </c>
      <c r="L217" s="47" t="s">
        <v>12</v>
      </c>
      <c r="M217" s="47" t="s">
        <v>87</v>
      </c>
      <c r="N217" s="47" t="s">
        <v>28</v>
      </c>
      <c r="O217" s="28" t="s">
        <v>86</v>
      </c>
    </row>
    <row r="218" spans="1:16" ht="16.5" thickTop="1" x14ac:dyDescent="0.25">
      <c r="A218" s="73"/>
      <c r="B218" s="9"/>
      <c r="C218" s="9"/>
      <c r="D218" s="9"/>
      <c r="E218" s="9"/>
      <c r="F218" s="64"/>
      <c r="G218" s="64"/>
      <c r="H218" s="64">
        <f>SUM(H214:H217)</f>
        <v>19</v>
      </c>
      <c r="I218" s="74">
        <f>H218*I$6*I$5</f>
        <v>26.8565</v>
      </c>
      <c r="K218" s="214" t="e">
        <f>K214/SUM(K214:O214)*I218</f>
        <v>#DIV/0!</v>
      </c>
      <c r="L218" s="214" t="e">
        <f>L214/SUM(K214:O214)*$I218</f>
        <v>#DIV/0!</v>
      </c>
      <c r="M218" s="214" t="e">
        <f>M214/SUM(K214:O214)*$I218</f>
        <v>#DIV/0!</v>
      </c>
      <c r="N218" s="214" t="e">
        <f>N214/SUM(K214:O214)*$I218</f>
        <v>#DIV/0!</v>
      </c>
      <c r="O218" s="214" t="e">
        <f>O214/SUM(K214:O214)*$I218</f>
        <v>#DIV/0!</v>
      </c>
    </row>
    <row r="220" spans="1:16" x14ac:dyDescent="0.25">
      <c r="A220" s="59" t="s">
        <v>0</v>
      </c>
      <c r="B220" s="70">
        <f>B214+1</f>
        <v>45550</v>
      </c>
      <c r="C220" s="57" t="s">
        <v>72</v>
      </c>
      <c r="D220" s="7">
        <v>13</v>
      </c>
      <c r="E220" s="49">
        <v>8</v>
      </c>
      <c r="F220" s="48">
        <v>1</v>
      </c>
      <c r="G220" s="48">
        <v>100</v>
      </c>
      <c r="H220" s="49">
        <f>F220*D220</f>
        <v>13</v>
      </c>
      <c r="I220" s="55"/>
      <c r="K220" s="3"/>
      <c r="L220" s="3"/>
      <c r="M220" s="3"/>
      <c r="N220" s="3"/>
      <c r="O220" s="3"/>
    </row>
    <row r="221" spans="1:16" x14ac:dyDescent="0.25">
      <c r="A221" s="8"/>
      <c r="B221" s="71"/>
      <c r="C221" s="21" t="s">
        <v>73</v>
      </c>
      <c r="D221">
        <v>1</v>
      </c>
      <c r="E221" s="17">
        <v>7.9</v>
      </c>
      <c r="F221" s="16">
        <v>1</v>
      </c>
      <c r="G221" s="16">
        <v>100</v>
      </c>
      <c r="H221" s="17">
        <f>F221*D221</f>
        <v>1</v>
      </c>
      <c r="I221" s="72"/>
      <c r="K221" s="209"/>
      <c r="L221" s="209"/>
      <c r="M221" s="209"/>
      <c r="N221" s="209"/>
      <c r="O221" s="209"/>
      <c r="P221" s="17"/>
    </row>
    <row r="222" spans="1:16" x14ac:dyDescent="0.25">
      <c r="A222" s="8"/>
      <c r="B222" s="71"/>
      <c r="E222" s="17"/>
      <c r="F222" s="16">
        <v>1</v>
      </c>
      <c r="G222" s="16"/>
      <c r="H222" s="17">
        <f>F222*D222</f>
        <v>0</v>
      </c>
      <c r="I222" s="72"/>
      <c r="K222" s="369" t="s">
        <v>23</v>
      </c>
      <c r="L222" s="370"/>
      <c r="M222" s="370"/>
      <c r="N222" s="370"/>
      <c r="O222" s="371"/>
    </row>
    <row r="223" spans="1:16" ht="16.5" thickBot="1" x14ac:dyDescent="0.3">
      <c r="A223" s="8"/>
      <c r="C223" t="s">
        <v>47</v>
      </c>
      <c r="E223" s="17"/>
      <c r="F223" s="16">
        <v>1</v>
      </c>
      <c r="G223" s="16"/>
      <c r="H223" s="85">
        <f>F223*D223</f>
        <v>0</v>
      </c>
      <c r="I223" s="86"/>
      <c r="K223" s="47" t="s">
        <v>27</v>
      </c>
      <c r="L223" s="47" t="s">
        <v>12</v>
      </c>
      <c r="M223" s="47" t="s">
        <v>87</v>
      </c>
      <c r="N223" s="47" t="s">
        <v>28</v>
      </c>
      <c r="O223" s="28" t="s">
        <v>86</v>
      </c>
    </row>
    <row r="224" spans="1:16" ht="16.5" thickTop="1" x14ac:dyDescent="0.25">
      <c r="A224" s="73"/>
      <c r="B224" s="9"/>
      <c r="C224" s="9"/>
      <c r="D224" s="9"/>
      <c r="E224" s="9"/>
      <c r="F224" s="64"/>
      <c r="G224" s="64"/>
      <c r="H224" s="64">
        <f>SUM(H220:H223)</f>
        <v>14</v>
      </c>
      <c r="I224" s="74">
        <f>H224*I$6*I$5</f>
        <v>19.789000000000001</v>
      </c>
      <c r="K224" s="214" t="e">
        <f>K220/SUM(K220:O220)*I224</f>
        <v>#DIV/0!</v>
      </c>
      <c r="L224" s="214" t="e">
        <f>L220/SUM(K220:O220)*$I224</f>
        <v>#DIV/0!</v>
      </c>
      <c r="M224" s="214" t="e">
        <f>M220/SUM(K220:O220)*$I224</f>
        <v>#DIV/0!</v>
      </c>
      <c r="N224" s="214" t="e">
        <f>N220/SUM(K220:O220)*$I224</f>
        <v>#DIV/0!</v>
      </c>
      <c r="O224" s="214" t="e">
        <f>O220/SUM(K220:O220)*$I224</f>
        <v>#DIV/0!</v>
      </c>
    </row>
    <row r="226" spans="1:16" x14ac:dyDescent="0.25">
      <c r="A226" s="59" t="s">
        <v>1</v>
      </c>
      <c r="B226" s="70">
        <f>B220+1</f>
        <v>45551</v>
      </c>
      <c r="C226" s="57" t="s">
        <v>72</v>
      </c>
      <c r="D226" s="7"/>
      <c r="E226" s="49"/>
      <c r="F226" s="48">
        <v>1</v>
      </c>
      <c r="G226" s="48"/>
      <c r="H226" s="49">
        <f>F226*D226</f>
        <v>0</v>
      </c>
      <c r="I226" s="55"/>
      <c r="K226" s="3"/>
      <c r="L226" s="3"/>
      <c r="M226" s="3"/>
      <c r="N226" s="3"/>
      <c r="O226" s="3"/>
    </row>
    <row r="227" spans="1:16" x14ac:dyDescent="0.25">
      <c r="A227" s="8"/>
      <c r="B227" s="71"/>
      <c r="C227" s="21" t="s">
        <v>73</v>
      </c>
      <c r="E227" s="17"/>
      <c r="F227" s="16">
        <v>1</v>
      </c>
      <c r="G227" s="16"/>
      <c r="H227" s="17">
        <f>F227*D227</f>
        <v>0</v>
      </c>
      <c r="I227" s="72"/>
      <c r="K227" s="209"/>
      <c r="L227" s="209"/>
      <c r="M227" s="209"/>
      <c r="N227" s="209"/>
      <c r="O227" s="209"/>
      <c r="P227" s="17"/>
    </row>
    <row r="228" spans="1:16" x14ac:dyDescent="0.25">
      <c r="A228" s="8"/>
      <c r="B228" s="71"/>
      <c r="E228" s="17"/>
      <c r="F228" s="16">
        <v>1</v>
      </c>
      <c r="G228" s="16"/>
      <c r="H228" s="17">
        <f>F228*D228</f>
        <v>0</v>
      </c>
      <c r="I228" s="72"/>
      <c r="K228" s="369" t="s">
        <v>23</v>
      </c>
      <c r="L228" s="370"/>
      <c r="M228" s="370"/>
      <c r="N228" s="370"/>
      <c r="O228" s="371"/>
    </row>
    <row r="229" spans="1:16" ht="16.5" thickBot="1" x14ac:dyDescent="0.3">
      <c r="A229" s="8"/>
      <c r="C229" t="s">
        <v>47</v>
      </c>
      <c r="E229" s="17"/>
      <c r="F229" s="16"/>
      <c r="G229" s="16"/>
      <c r="H229" s="85"/>
      <c r="I229" s="86"/>
      <c r="K229" s="47" t="s">
        <v>27</v>
      </c>
      <c r="L229" s="47" t="s">
        <v>12</v>
      </c>
      <c r="M229" s="47" t="s">
        <v>87</v>
      </c>
      <c r="N229" s="47" t="s">
        <v>28</v>
      </c>
      <c r="O229" s="28" t="s">
        <v>86</v>
      </c>
    </row>
    <row r="230" spans="1:16" ht="16.5" thickTop="1" x14ac:dyDescent="0.25">
      <c r="A230" s="73"/>
      <c r="B230" s="9"/>
      <c r="C230" s="9"/>
      <c r="D230" s="9"/>
      <c r="E230" s="9"/>
      <c r="F230" s="64"/>
      <c r="G230" s="64"/>
      <c r="H230" s="64">
        <f>SUM(H226:H229)</f>
        <v>0</v>
      </c>
      <c r="I230" s="74">
        <f>H230*I$6*I$5</f>
        <v>0</v>
      </c>
      <c r="K230" s="214" t="e">
        <f>K226/SUM(K226:O226)*I230</f>
        <v>#DIV/0!</v>
      </c>
      <c r="L230" s="214" t="e">
        <f>L226/SUM(K226:O226)*$I230</f>
        <v>#DIV/0!</v>
      </c>
      <c r="M230" s="214" t="e">
        <f>M226/SUM(K226:O226)*$I230</f>
        <v>#DIV/0!</v>
      </c>
      <c r="N230" s="214" t="e">
        <f>N226/SUM(K226:O226)*$I230</f>
        <v>#DIV/0!</v>
      </c>
      <c r="O230" s="214" t="e">
        <f>O226/SUM(K226:O226)*$I230</f>
        <v>#DIV/0!</v>
      </c>
    </row>
    <row r="232" spans="1:16" x14ac:dyDescent="0.25">
      <c r="A232" s="59" t="s">
        <v>2</v>
      </c>
      <c r="B232" s="70">
        <f>B226+1</f>
        <v>45552</v>
      </c>
      <c r="C232" s="57" t="s">
        <v>72</v>
      </c>
      <c r="D232" s="7">
        <v>0</v>
      </c>
      <c r="E232" s="49">
        <v>7.8</v>
      </c>
      <c r="F232" s="48">
        <v>1</v>
      </c>
      <c r="G232" s="48"/>
      <c r="H232" s="49">
        <f>F232*D232</f>
        <v>0</v>
      </c>
      <c r="I232" s="55"/>
      <c r="K232" s="3"/>
      <c r="L232" s="3"/>
      <c r="M232" s="3"/>
      <c r="N232" s="3"/>
      <c r="O232" s="3"/>
    </row>
    <row r="233" spans="1:16" x14ac:dyDescent="0.25">
      <c r="A233" s="8"/>
      <c r="B233" s="71"/>
      <c r="C233" s="21" t="s">
        <v>73</v>
      </c>
      <c r="D233">
        <v>0</v>
      </c>
      <c r="E233" s="17">
        <v>7.8</v>
      </c>
      <c r="F233" s="16">
        <v>1</v>
      </c>
      <c r="G233" s="16"/>
      <c r="H233" s="17">
        <f>F233*D233</f>
        <v>0</v>
      </c>
      <c r="I233" s="72"/>
      <c r="K233" s="209"/>
      <c r="L233" s="209"/>
      <c r="M233" s="209"/>
      <c r="N233" s="209"/>
      <c r="O233" s="209"/>
      <c r="P233" s="17"/>
    </row>
    <row r="234" spans="1:16" x14ac:dyDescent="0.25">
      <c r="A234" s="8"/>
      <c r="B234" s="71"/>
      <c r="E234" s="17"/>
      <c r="F234" s="16">
        <v>1.1000000000000001</v>
      </c>
      <c r="G234" s="16"/>
      <c r="H234" s="17">
        <f>F234*D234</f>
        <v>0</v>
      </c>
      <c r="I234" s="72"/>
      <c r="K234" s="369" t="s">
        <v>23</v>
      </c>
      <c r="L234" s="370"/>
      <c r="M234" s="370"/>
      <c r="N234" s="370"/>
      <c r="O234" s="371"/>
    </row>
    <row r="235" spans="1:16" ht="16.5" thickBot="1" x14ac:dyDescent="0.3">
      <c r="A235" s="8"/>
      <c r="C235" t="s">
        <v>47</v>
      </c>
      <c r="E235" s="17"/>
      <c r="F235" s="16"/>
      <c r="G235" s="16"/>
      <c r="H235" s="85">
        <f>F235*D235</f>
        <v>0</v>
      </c>
      <c r="I235" s="86"/>
      <c r="K235" s="47" t="s">
        <v>27</v>
      </c>
      <c r="L235" s="47" t="s">
        <v>12</v>
      </c>
      <c r="M235" s="47" t="s">
        <v>87</v>
      </c>
      <c r="N235" s="47" t="s">
        <v>28</v>
      </c>
      <c r="O235" s="28" t="s">
        <v>86</v>
      </c>
    </row>
    <row r="236" spans="1:16" ht="16.5" thickTop="1" x14ac:dyDescent="0.25">
      <c r="A236" s="73"/>
      <c r="B236" s="9"/>
      <c r="C236" s="9"/>
      <c r="D236" s="9"/>
      <c r="E236" s="9"/>
      <c r="F236" s="64"/>
      <c r="G236" s="64"/>
      <c r="H236" s="64">
        <f>SUM(H232:H235)</f>
        <v>0</v>
      </c>
      <c r="I236" s="74">
        <f>H236*I$6*I$5</f>
        <v>0</v>
      </c>
      <c r="K236" s="214" t="e">
        <f>K232/SUM(K232:O232)*I236</f>
        <v>#DIV/0!</v>
      </c>
      <c r="L236" s="214" t="e">
        <f>L232/SUM(K232:O232)*$I236</f>
        <v>#DIV/0!</v>
      </c>
      <c r="M236" s="214" t="e">
        <f>M232/SUM(K232:O232)*$I236</f>
        <v>#DIV/0!</v>
      </c>
      <c r="N236" s="214" t="e">
        <f>N232/SUM(K232:O232)*$I236</f>
        <v>#DIV/0!</v>
      </c>
      <c r="O236" s="214" t="e">
        <f>O232/SUM(K232:O232)*$I236</f>
        <v>#DIV/0!</v>
      </c>
    </row>
    <row r="238" spans="1:16" x14ac:dyDescent="0.25">
      <c r="A238" s="59" t="s">
        <v>3</v>
      </c>
      <c r="B238" s="70">
        <f>B232+1</f>
        <v>45553</v>
      </c>
      <c r="C238" s="57" t="s">
        <v>72</v>
      </c>
      <c r="D238" s="7"/>
      <c r="E238" s="309"/>
      <c r="F238" s="48">
        <v>1</v>
      </c>
      <c r="G238" s="48"/>
      <c r="H238" s="49">
        <f>F238*D238</f>
        <v>0</v>
      </c>
      <c r="I238" s="55"/>
      <c r="K238" s="3"/>
      <c r="L238" s="3"/>
      <c r="M238" s="3"/>
      <c r="N238" s="3"/>
      <c r="O238" s="3"/>
    </row>
    <row r="239" spans="1:16" x14ac:dyDescent="0.25">
      <c r="A239" s="8"/>
      <c r="B239" s="71"/>
      <c r="C239" s="21" t="s">
        <v>73</v>
      </c>
      <c r="E239" s="17"/>
      <c r="F239" s="16">
        <v>1</v>
      </c>
      <c r="G239" s="16"/>
      <c r="H239" s="17">
        <f>F239*D239</f>
        <v>0</v>
      </c>
      <c r="I239" s="72"/>
      <c r="K239" s="209"/>
      <c r="L239" s="209"/>
      <c r="M239" s="209"/>
      <c r="N239" s="209"/>
      <c r="O239" s="209"/>
      <c r="P239" s="17"/>
    </row>
    <row r="240" spans="1:16" x14ac:dyDescent="0.25">
      <c r="A240" s="8"/>
      <c r="B240" s="71"/>
      <c r="E240" s="17"/>
      <c r="F240" s="16">
        <v>1.2</v>
      </c>
      <c r="G240" s="16"/>
      <c r="H240" s="17">
        <f>F240*D240</f>
        <v>0</v>
      </c>
      <c r="I240" s="72"/>
      <c r="K240" s="369" t="s">
        <v>23</v>
      </c>
      <c r="L240" s="370"/>
      <c r="M240" s="370"/>
      <c r="N240" s="370"/>
      <c r="O240" s="371"/>
    </row>
    <row r="241" spans="1:16" ht="16.5" thickBot="1" x14ac:dyDescent="0.3">
      <c r="A241" s="8"/>
      <c r="C241" t="s">
        <v>47</v>
      </c>
      <c r="E241" s="17"/>
      <c r="F241" s="16"/>
      <c r="G241" s="16"/>
      <c r="H241" s="85"/>
      <c r="I241" s="86"/>
      <c r="K241" s="47" t="s">
        <v>27</v>
      </c>
      <c r="L241" s="47" t="s">
        <v>12</v>
      </c>
      <c r="M241" s="47" t="s">
        <v>87</v>
      </c>
      <c r="N241" s="47" t="s">
        <v>28</v>
      </c>
      <c r="O241" s="28" t="s">
        <v>86</v>
      </c>
    </row>
    <row r="242" spans="1:16" ht="16.5" thickTop="1" x14ac:dyDescent="0.25">
      <c r="A242" s="73"/>
      <c r="B242" s="9"/>
      <c r="C242" s="9"/>
      <c r="D242" s="9"/>
      <c r="E242" s="9"/>
      <c r="F242" s="64"/>
      <c r="G242" s="64"/>
      <c r="H242" s="64">
        <f>SUM(H238:H241)</f>
        <v>0</v>
      </c>
      <c r="I242" s="74">
        <f>H242*I$6*I$5</f>
        <v>0</v>
      </c>
      <c r="K242" s="214" t="e">
        <f>K238/SUM(K238:O238)*I242</f>
        <v>#DIV/0!</v>
      </c>
      <c r="L242" s="214" t="e">
        <f>L238/SUM(K238:O238)*$I242</f>
        <v>#DIV/0!</v>
      </c>
      <c r="M242" s="214" t="e">
        <f>M238/SUM(K238:O238)*$I242</f>
        <v>#DIV/0!</v>
      </c>
      <c r="N242" s="214" t="e">
        <f>N238/SUM(K238:O238)*$I242</f>
        <v>#DIV/0!</v>
      </c>
      <c r="O242" s="214" t="e">
        <f>O238/SUM(K238:O238)*$I242</f>
        <v>#DIV/0!</v>
      </c>
    </row>
    <row r="244" spans="1:16" x14ac:dyDescent="0.25">
      <c r="A244" s="59" t="s">
        <v>4</v>
      </c>
      <c r="B244" s="70">
        <f>B238+1</f>
        <v>45554</v>
      </c>
      <c r="C244" s="57" t="s">
        <v>72</v>
      </c>
      <c r="D244" s="7"/>
      <c r="E244" s="49"/>
      <c r="F244" s="48">
        <v>1</v>
      </c>
      <c r="G244" s="48"/>
      <c r="H244" s="49">
        <f>F244*D244</f>
        <v>0</v>
      </c>
      <c r="I244" s="55"/>
      <c r="K244" s="3"/>
      <c r="L244" s="3"/>
      <c r="M244" s="3"/>
      <c r="N244" s="3"/>
      <c r="O244" s="3"/>
    </row>
    <row r="245" spans="1:16" x14ac:dyDescent="0.25">
      <c r="A245" s="8"/>
      <c r="B245" s="71"/>
      <c r="C245" s="21" t="s">
        <v>73</v>
      </c>
      <c r="E245" s="17"/>
      <c r="F245" s="16">
        <v>1</v>
      </c>
      <c r="G245" s="16"/>
      <c r="H245" s="17">
        <f>F245*D245</f>
        <v>0</v>
      </c>
      <c r="I245" s="72"/>
      <c r="K245" s="209"/>
      <c r="L245" s="209"/>
      <c r="M245" s="209"/>
      <c r="N245" s="209"/>
      <c r="O245" s="209"/>
      <c r="P245" s="17"/>
    </row>
    <row r="246" spans="1:16" x14ac:dyDescent="0.25">
      <c r="A246" s="8"/>
      <c r="B246" s="71"/>
      <c r="E246" s="17"/>
      <c r="F246" s="16">
        <v>1.2</v>
      </c>
      <c r="G246" s="16"/>
      <c r="H246" s="17">
        <f>F246*D246</f>
        <v>0</v>
      </c>
      <c r="I246" s="72"/>
      <c r="K246" s="369" t="s">
        <v>23</v>
      </c>
      <c r="L246" s="370"/>
      <c r="M246" s="370"/>
      <c r="N246" s="370"/>
      <c r="O246" s="371"/>
    </row>
    <row r="247" spans="1:16" ht="16.5" thickBot="1" x14ac:dyDescent="0.3">
      <c r="A247" s="8"/>
      <c r="C247" t="s">
        <v>47</v>
      </c>
      <c r="E247" s="17"/>
      <c r="F247" s="16">
        <v>1</v>
      </c>
      <c r="G247" s="16"/>
      <c r="H247" s="85"/>
      <c r="I247" s="86"/>
      <c r="K247" s="47" t="s">
        <v>27</v>
      </c>
      <c r="L247" s="47" t="s">
        <v>12</v>
      </c>
      <c r="M247" s="47" t="s">
        <v>87</v>
      </c>
      <c r="N247" s="47" t="s">
        <v>28</v>
      </c>
      <c r="O247" s="28" t="s">
        <v>86</v>
      </c>
    </row>
    <row r="248" spans="1:16" ht="16.5" thickTop="1" x14ac:dyDescent="0.25">
      <c r="A248" s="73"/>
      <c r="B248" s="9"/>
      <c r="C248" s="9"/>
      <c r="D248" s="9"/>
      <c r="E248" s="9"/>
      <c r="F248" s="64"/>
      <c r="G248" s="64"/>
      <c r="H248" s="64">
        <f>SUM(H244:H247)</f>
        <v>0</v>
      </c>
      <c r="I248" s="240">
        <f>H248*I$6*I$5</f>
        <v>0</v>
      </c>
      <c r="K248" s="214" t="e">
        <f>K244/SUM(K244:O244)*I248</f>
        <v>#DIV/0!</v>
      </c>
      <c r="L248" s="214" t="e">
        <f>L244/SUM(K244:O244)*$I248</f>
        <v>#DIV/0!</v>
      </c>
      <c r="M248" s="214" t="e">
        <f>M244/SUM(K244:O244)*$I248</f>
        <v>#DIV/0!</v>
      </c>
      <c r="N248" s="214" t="e">
        <f>N244/SUM(K244:O244)*$I248</f>
        <v>#DIV/0!</v>
      </c>
      <c r="O248" s="214" t="e">
        <f>O244/SUM(K244:O244)*$I248</f>
        <v>#DIV/0!</v>
      </c>
    </row>
    <row r="250" spans="1:16" x14ac:dyDescent="0.25">
      <c r="A250" s="59" t="s">
        <v>5</v>
      </c>
      <c r="B250" s="70">
        <f>B244+1</f>
        <v>45555</v>
      </c>
      <c r="C250" s="57" t="s">
        <v>72</v>
      </c>
      <c r="D250" s="7">
        <v>5</v>
      </c>
      <c r="E250" s="49">
        <v>10.1</v>
      </c>
      <c r="F250" s="48">
        <v>1</v>
      </c>
      <c r="G250" s="48">
        <v>100</v>
      </c>
      <c r="H250" s="49">
        <f>F250*D250</f>
        <v>5</v>
      </c>
      <c r="I250" s="55"/>
      <c r="K250" s="3">
        <v>1</v>
      </c>
      <c r="L250" s="3"/>
      <c r="M250" s="3"/>
      <c r="N250" s="3"/>
      <c r="O250" s="3"/>
    </row>
    <row r="251" spans="1:16" x14ac:dyDescent="0.25">
      <c r="A251" s="8"/>
      <c r="B251" s="71"/>
      <c r="C251" s="21" t="s">
        <v>73</v>
      </c>
      <c r="D251">
        <v>1</v>
      </c>
      <c r="E251" s="17">
        <v>9.9</v>
      </c>
      <c r="F251" s="16">
        <v>1</v>
      </c>
      <c r="G251" s="16"/>
      <c r="H251" s="17">
        <f>F251*D251</f>
        <v>1</v>
      </c>
      <c r="I251" s="72"/>
      <c r="K251" s="209"/>
      <c r="L251" s="209"/>
      <c r="M251" s="209"/>
      <c r="N251" s="209"/>
      <c r="O251" s="209"/>
      <c r="P251" s="17"/>
    </row>
    <row r="252" spans="1:16" x14ac:dyDescent="0.25">
      <c r="A252" s="8"/>
      <c r="B252" s="71"/>
      <c r="E252" s="17"/>
      <c r="F252" s="16">
        <v>1</v>
      </c>
      <c r="G252" s="16"/>
      <c r="H252" s="17">
        <f>F252*D252</f>
        <v>0</v>
      </c>
      <c r="I252" s="72"/>
      <c r="K252" s="369" t="s">
        <v>23</v>
      </c>
      <c r="L252" s="370"/>
      <c r="M252" s="370"/>
      <c r="N252" s="370"/>
      <c r="O252" s="371"/>
    </row>
    <row r="253" spans="1:16" ht="16.5" thickBot="1" x14ac:dyDescent="0.3">
      <c r="A253" s="8"/>
      <c r="C253" t="s">
        <v>47</v>
      </c>
      <c r="E253" s="17"/>
      <c r="F253" s="16">
        <v>1</v>
      </c>
      <c r="G253" s="16"/>
      <c r="H253" s="85">
        <f>F253*D253</f>
        <v>0</v>
      </c>
      <c r="I253" s="86"/>
      <c r="K253" s="47" t="s">
        <v>27</v>
      </c>
      <c r="L253" s="47" t="s">
        <v>12</v>
      </c>
      <c r="M253" s="47" t="s">
        <v>87</v>
      </c>
      <c r="N253" s="47" t="s">
        <v>28</v>
      </c>
      <c r="O253" s="28" t="s">
        <v>86</v>
      </c>
    </row>
    <row r="254" spans="1:16" ht="16.5" thickTop="1" x14ac:dyDescent="0.25">
      <c r="A254" s="73"/>
      <c r="B254" s="9"/>
      <c r="C254" s="9"/>
      <c r="D254" s="9"/>
      <c r="E254" s="9"/>
      <c r="F254" s="64"/>
      <c r="G254" s="64"/>
      <c r="H254" s="64">
        <f>SUM(H250:H253)</f>
        <v>6</v>
      </c>
      <c r="I254" s="74">
        <f>H254*I$6*I$5</f>
        <v>8.4809999999999999</v>
      </c>
      <c r="K254" s="214">
        <f>K250/SUM(K250:O250)*I254</f>
        <v>8.4809999999999999</v>
      </c>
      <c r="L254" s="214">
        <f>L250/SUM(K250:O250)*$I254</f>
        <v>0</v>
      </c>
      <c r="M254" s="214">
        <f>M250/SUM(K250:O250)*$I254</f>
        <v>0</v>
      </c>
      <c r="N254" s="214">
        <f>N250/SUM(K250:O250)*$I254</f>
        <v>0</v>
      </c>
      <c r="O254" s="214">
        <f>O250/SUM(K250:O250)*$I254</f>
        <v>0</v>
      </c>
    </row>
    <row r="256" spans="1:16" x14ac:dyDescent="0.25">
      <c r="A256" s="59" t="s">
        <v>6</v>
      </c>
      <c r="B256" s="70">
        <f>B250+1</f>
        <v>45556</v>
      </c>
      <c r="C256" s="57" t="s">
        <v>72</v>
      </c>
      <c r="D256" s="7">
        <v>16</v>
      </c>
      <c r="E256" s="49">
        <v>9.3000000000000007</v>
      </c>
      <c r="F256" s="48">
        <v>1</v>
      </c>
      <c r="G256" s="48">
        <v>100</v>
      </c>
      <c r="H256" s="49">
        <f>F256*D256</f>
        <v>16</v>
      </c>
      <c r="I256" s="55"/>
      <c r="K256" s="3">
        <v>5</v>
      </c>
      <c r="L256" s="3">
        <v>2</v>
      </c>
      <c r="M256" s="3"/>
      <c r="N256" s="3"/>
      <c r="O256" s="3"/>
    </row>
    <row r="257" spans="1:16" x14ac:dyDescent="0.25">
      <c r="A257" s="8"/>
      <c r="B257" s="71"/>
      <c r="C257" s="21" t="s">
        <v>73</v>
      </c>
      <c r="D257">
        <v>1</v>
      </c>
      <c r="E257" s="17">
        <v>9.1</v>
      </c>
      <c r="F257" s="16">
        <v>1</v>
      </c>
      <c r="G257" s="16">
        <v>100</v>
      </c>
      <c r="H257" s="17">
        <f>F257*D257</f>
        <v>1</v>
      </c>
      <c r="I257" s="72"/>
      <c r="K257" s="209"/>
      <c r="L257" s="209"/>
      <c r="M257" s="209"/>
      <c r="N257" s="209"/>
      <c r="O257" s="209"/>
      <c r="P257" s="17"/>
    </row>
    <row r="258" spans="1:16" x14ac:dyDescent="0.25">
      <c r="A258" s="8"/>
      <c r="B258" s="71"/>
      <c r="E258" s="17"/>
      <c r="F258" s="16"/>
      <c r="G258" s="16"/>
      <c r="H258" s="17">
        <f>F258*D258</f>
        <v>0</v>
      </c>
      <c r="I258" s="72"/>
      <c r="K258" s="369" t="s">
        <v>23</v>
      </c>
      <c r="L258" s="370"/>
      <c r="M258" s="370"/>
      <c r="N258" s="370"/>
      <c r="O258" s="371"/>
    </row>
    <row r="259" spans="1:16" ht="16.5" thickBot="1" x14ac:dyDescent="0.3">
      <c r="A259" s="8"/>
      <c r="C259" t="s">
        <v>47</v>
      </c>
      <c r="E259" s="17"/>
      <c r="F259" s="16"/>
      <c r="G259" s="16"/>
      <c r="H259" s="85">
        <f>F259*D259</f>
        <v>0</v>
      </c>
      <c r="I259" s="86"/>
      <c r="K259" s="47" t="s">
        <v>27</v>
      </c>
      <c r="L259" s="47" t="s">
        <v>12</v>
      </c>
      <c r="M259" s="47" t="s">
        <v>87</v>
      </c>
      <c r="N259" s="47" t="s">
        <v>28</v>
      </c>
      <c r="O259" s="28" t="s">
        <v>86</v>
      </c>
    </row>
    <row r="260" spans="1:16" ht="16.5" thickTop="1" x14ac:dyDescent="0.25">
      <c r="A260" s="73"/>
      <c r="B260" s="9"/>
      <c r="C260" s="9"/>
      <c r="D260" s="9"/>
      <c r="E260" s="9"/>
      <c r="F260" s="64"/>
      <c r="G260" s="64"/>
      <c r="H260" s="64">
        <f>SUM(H256:H259)</f>
        <v>17</v>
      </c>
      <c r="I260" s="74">
        <f>H260*I$6*I$5</f>
        <v>24.029500000000002</v>
      </c>
      <c r="K260" s="214">
        <f>K256/SUM(K256:O256)*I260</f>
        <v>17.163928571428574</v>
      </c>
      <c r="L260" s="214">
        <f>L256/SUM(K256:O256)*$I260</f>
        <v>6.8655714285714291</v>
      </c>
      <c r="M260" s="214">
        <f>M256/SUM(K256:O256)*$I260</f>
        <v>0</v>
      </c>
      <c r="N260" s="214">
        <f>N256/SUM(K256:O256)*$I260</f>
        <v>0</v>
      </c>
      <c r="O260" s="214">
        <f>O256/SUM(K256:O256)*$I260</f>
        <v>0</v>
      </c>
    </row>
    <row r="262" spans="1:16" x14ac:dyDescent="0.25">
      <c r="A262" s="363">
        <f>B256+1</f>
        <v>45557</v>
      </c>
      <c r="B262" s="366" t="s">
        <v>0</v>
      </c>
      <c r="C262" s="57" t="s">
        <v>72</v>
      </c>
      <c r="D262" s="7">
        <v>8</v>
      </c>
      <c r="E262" s="49">
        <v>8.5</v>
      </c>
      <c r="F262" s="48">
        <v>1</v>
      </c>
      <c r="G262" s="48">
        <v>100</v>
      </c>
      <c r="H262" s="49">
        <f>F262*D262</f>
        <v>8</v>
      </c>
      <c r="I262" s="55"/>
      <c r="K262" s="369" t="s">
        <v>23</v>
      </c>
      <c r="L262" s="370"/>
      <c r="M262" s="370"/>
      <c r="N262" s="370"/>
      <c r="O262" s="371"/>
    </row>
    <row r="263" spans="1:16" x14ac:dyDescent="0.25">
      <c r="A263" s="364"/>
      <c r="B263" s="367"/>
      <c r="C263" s="21" t="s">
        <v>73</v>
      </c>
      <c r="D263">
        <v>0</v>
      </c>
      <c r="E263" s="17">
        <v>8.3000000000000007</v>
      </c>
      <c r="F263" s="16">
        <v>1</v>
      </c>
      <c r="G263" s="16">
        <v>100</v>
      </c>
      <c r="H263" s="17">
        <f>F263*D263</f>
        <v>0</v>
      </c>
      <c r="I263" s="72"/>
      <c r="K263" s="47" t="s">
        <v>27</v>
      </c>
      <c r="L263" s="47" t="s">
        <v>12</v>
      </c>
      <c r="M263" s="47" t="s">
        <v>87</v>
      </c>
      <c r="N263" s="47" t="s">
        <v>28</v>
      </c>
      <c r="O263" s="28" t="s">
        <v>86</v>
      </c>
      <c r="P263" s="17"/>
    </row>
    <row r="264" spans="1:16" x14ac:dyDescent="0.25">
      <c r="A264" s="364"/>
      <c r="B264" s="367"/>
      <c r="E264" s="17"/>
      <c r="F264" s="16">
        <v>1</v>
      </c>
      <c r="G264" s="16"/>
      <c r="H264" s="17">
        <f>F264*D264</f>
        <v>0</v>
      </c>
      <c r="I264" s="72"/>
      <c r="K264" s="3"/>
      <c r="L264" s="3"/>
      <c r="M264" s="3"/>
      <c r="N264" s="3"/>
      <c r="O264" s="3"/>
      <c r="P264" s="50" t="s">
        <v>50</v>
      </c>
    </row>
    <row r="265" spans="1:16" ht="16.5" thickBot="1" x14ac:dyDescent="0.3">
      <c r="A265" s="364"/>
      <c r="B265" s="367"/>
      <c r="C265" s="225" t="s">
        <v>47</v>
      </c>
      <c r="D265" s="223"/>
      <c r="E265" s="85"/>
      <c r="F265" s="224">
        <v>1</v>
      </c>
      <c r="G265" s="224"/>
      <c r="H265" s="85"/>
      <c r="I265" s="86"/>
      <c r="K265" s="214" t="e">
        <f>K264/SUM(K264:O264)*I266</f>
        <v>#DIV/0!</v>
      </c>
      <c r="L265" s="214" t="e">
        <f>L264/SUM(K264:O264)*$I266</f>
        <v>#DIV/0!</v>
      </c>
      <c r="M265" s="214" t="e">
        <f>M264/SUM(K264:O264)*$I266</f>
        <v>#DIV/0!</v>
      </c>
      <c r="N265" s="214" t="e">
        <f>N264/SUM(K264:O264)*$I266</f>
        <v>#DIV/0!</v>
      </c>
      <c r="O265" s="214" t="e">
        <f>O264/SUM(K264:O264)*$I266</f>
        <v>#DIV/0!</v>
      </c>
      <c r="P265" s="50" t="s">
        <v>90</v>
      </c>
    </row>
    <row r="266" spans="1:16" ht="16.5" thickTop="1" x14ac:dyDescent="0.25">
      <c r="A266" s="365"/>
      <c r="B266" s="368"/>
      <c r="C266" s="9"/>
      <c r="D266" s="9"/>
      <c r="E266" s="64"/>
      <c r="F266" s="222"/>
      <c r="G266" s="222"/>
      <c r="H266" s="64">
        <f>SUM(H262:H265)</f>
        <v>8</v>
      </c>
      <c r="I266" s="74">
        <f>H266*I$6*I$5</f>
        <v>11.308</v>
      </c>
    </row>
    <row r="267" spans="1:16" x14ac:dyDescent="0.25">
      <c r="A267" s="73"/>
      <c r="B267" s="9"/>
      <c r="C267" s="9"/>
      <c r="D267" s="9"/>
      <c r="E267" s="9"/>
      <c r="F267" s="64"/>
      <c r="G267" s="17"/>
    </row>
    <row r="268" spans="1:16" x14ac:dyDescent="0.25">
      <c r="A268" s="363">
        <f>A262+1</f>
        <v>45558</v>
      </c>
      <c r="B268" s="366" t="s">
        <v>1</v>
      </c>
      <c r="C268" s="57" t="s">
        <v>72</v>
      </c>
      <c r="D268" s="7">
        <v>6</v>
      </c>
      <c r="E268" s="49">
        <v>9.5</v>
      </c>
      <c r="F268" s="48">
        <v>1</v>
      </c>
      <c r="G268" s="48">
        <v>100</v>
      </c>
      <c r="H268" s="49">
        <f>F268*D268</f>
        <v>6</v>
      </c>
      <c r="I268" s="55"/>
      <c r="K268" s="369" t="s">
        <v>23</v>
      </c>
      <c r="L268" s="370"/>
      <c r="M268" s="370"/>
      <c r="N268" s="370"/>
      <c r="O268" s="371"/>
    </row>
    <row r="269" spans="1:16" x14ac:dyDescent="0.25">
      <c r="A269" s="364"/>
      <c r="B269" s="367"/>
      <c r="C269" s="21" t="s">
        <v>73</v>
      </c>
      <c r="D269">
        <v>2</v>
      </c>
      <c r="E269" s="17">
        <v>9.4</v>
      </c>
      <c r="F269" s="16">
        <v>1</v>
      </c>
      <c r="G269" s="16">
        <v>100</v>
      </c>
      <c r="H269" s="17">
        <f>F269*D269</f>
        <v>2</v>
      </c>
      <c r="I269" s="72"/>
      <c r="K269" s="47" t="s">
        <v>27</v>
      </c>
      <c r="L269" s="47" t="s">
        <v>12</v>
      </c>
      <c r="M269" s="47" t="s">
        <v>87</v>
      </c>
      <c r="N269" s="47" t="s">
        <v>28</v>
      </c>
      <c r="O269" s="28" t="s">
        <v>86</v>
      </c>
      <c r="P269" s="17"/>
    </row>
    <row r="270" spans="1:16" x14ac:dyDescent="0.25">
      <c r="A270" s="364"/>
      <c r="B270" s="367"/>
      <c r="E270" s="17"/>
      <c r="F270" s="16">
        <v>1</v>
      </c>
      <c r="G270" s="16"/>
      <c r="H270" s="17">
        <f>F270*D270</f>
        <v>0</v>
      </c>
      <c r="I270" s="72"/>
      <c r="K270" s="3">
        <v>2</v>
      </c>
      <c r="L270" s="3">
        <v>2</v>
      </c>
      <c r="M270" s="3">
        <v>4</v>
      </c>
      <c r="N270" s="3"/>
      <c r="O270" s="3"/>
      <c r="P270" s="50" t="s">
        <v>50</v>
      </c>
    </row>
    <row r="271" spans="1:16" ht="16.5" thickBot="1" x14ac:dyDescent="0.3">
      <c r="A271" s="364"/>
      <c r="B271" s="367"/>
      <c r="C271" s="225" t="s">
        <v>47</v>
      </c>
      <c r="D271" s="223"/>
      <c r="E271" s="85"/>
      <c r="F271" s="224"/>
      <c r="G271" s="224"/>
      <c r="H271" s="85">
        <f>F271*D271</f>
        <v>0</v>
      </c>
      <c r="I271" s="86"/>
      <c r="K271" s="214">
        <f>K270/SUM(K270:O270)*I272</f>
        <v>2.827</v>
      </c>
      <c r="L271" s="214">
        <f>L270/SUM(K270:O270)*$I272</f>
        <v>2.827</v>
      </c>
      <c r="M271" s="214">
        <f>M270/SUM(K270:O270)*$I272</f>
        <v>5.6539999999999999</v>
      </c>
      <c r="N271" s="214">
        <f>N270/SUM(K270:O270)*$I272</f>
        <v>0</v>
      </c>
      <c r="O271" s="214">
        <f>O270/SUM(K270:O270)*$I272</f>
        <v>0</v>
      </c>
      <c r="P271" s="50" t="s">
        <v>90</v>
      </c>
    </row>
    <row r="272" spans="1:16" ht="16.5" thickTop="1" x14ac:dyDescent="0.25">
      <c r="A272" s="365"/>
      <c r="B272" s="368"/>
      <c r="C272" s="9"/>
      <c r="D272" s="9"/>
      <c r="E272" s="64"/>
      <c r="F272" s="222"/>
      <c r="G272" s="222"/>
      <c r="H272" s="64">
        <f>SUM(H268:H271)</f>
        <v>8</v>
      </c>
      <c r="I272" s="74">
        <f>H272*I$6*I$5</f>
        <v>11.308</v>
      </c>
    </row>
    <row r="274" spans="1:16" x14ac:dyDescent="0.25">
      <c r="A274" s="363">
        <f>A268+1</f>
        <v>45559</v>
      </c>
      <c r="B274" s="366" t="s">
        <v>25</v>
      </c>
      <c r="C274" s="57" t="s">
        <v>72</v>
      </c>
      <c r="D274" s="7"/>
      <c r="E274" s="49"/>
      <c r="F274" s="48">
        <v>1</v>
      </c>
      <c r="G274" s="227">
        <f>SUM(K276:M276)/SUM(K276:O276)</f>
        <v>1</v>
      </c>
      <c r="H274" s="49">
        <f>F274*D274*G274</f>
        <v>0</v>
      </c>
      <c r="I274" s="55"/>
      <c r="K274" s="369" t="s">
        <v>23</v>
      </c>
      <c r="L274" s="370"/>
      <c r="M274" s="370"/>
      <c r="N274" s="370"/>
      <c r="O274" s="371"/>
    </row>
    <row r="275" spans="1:16" x14ac:dyDescent="0.25">
      <c r="A275" s="364"/>
      <c r="B275" s="367"/>
      <c r="C275" s="21" t="s">
        <v>73</v>
      </c>
      <c r="E275" s="17"/>
      <c r="F275" s="16">
        <v>1</v>
      </c>
      <c r="G275" s="228">
        <f>G274</f>
        <v>1</v>
      </c>
      <c r="H275" s="17">
        <f>F275*D275*G275</f>
        <v>0</v>
      </c>
      <c r="I275" s="72"/>
      <c r="K275" s="47" t="s">
        <v>27</v>
      </c>
      <c r="L275" s="47" t="s">
        <v>12</v>
      </c>
      <c r="M275" s="47" t="s">
        <v>87</v>
      </c>
      <c r="N275" s="47" t="s">
        <v>28</v>
      </c>
      <c r="O275" s="28" t="s">
        <v>86</v>
      </c>
      <c r="P275" s="17"/>
    </row>
    <row r="276" spans="1:16" x14ac:dyDescent="0.25">
      <c r="A276" s="364"/>
      <c r="B276" s="367"/>
      <c r="E276" s="17"/>
      <c r="F276" s="16">
        <v>1</v>
      </c>
      <c r="G276" s="228">
        <f>G275</f>
        <v>1</v>
      </c>
      <c r="H276" s="17">
        <f>F276*D276</f>
        <v>0</v>
      </c>
      <c r="I276" s="72"/>
      <c r="K276" s="3">
        <v>3</v>
      </c>
      <c r="L276" s="3"/>
      <c r="M276" s="3"/>
      <c r="N276" s="3"/>
      <c r="O276" s="3"/>
      <c r="P276" s="50" t="s">
        <v>50</v>
      </c>
    </row>
    <row r="277" spans="1:16" ht="16.5" thickBot="1" x14ac:dyDescent="0.3">
      <c r="A277" s="364"/>
      <c r="B277" s="367"/>
      <c r="C277" s="225" t="s">
        <v>47</v>
      </c>
      <c r="D277" s="223"/>
      <c r="E277" s="85"/>
      <c r="F277" s="224">
        <v>1</v>
      </c>
      <c r="G277" s="224"/>
      <c r="H277" s="85"/>
      <c r="I277" s="86"/>
      <c r="K277" s="214">
        <f>K276/SUM(K276:O276)*I278</f>
        <v>0</v>
      </c>
      <c r="L277" s="214">
        <f>L276/SUM(K276:O276)*$I278</f>
        <v>0</v>
      </c>
      <c r="M277" s="214">
        <f>M276/SUM(K276:O276)*$I278</f>
        <v>0</v>
      </c>
      <c r="N277" s="214">
        <f>N276/SUM(K276:O276)*$I278</f>
        <v>0</v>
      </c>
      <c r="O277" s="214">
        <f>O276/SUM(K276:O276)*$I278</f>
        <v>0</v>
      </c>
      <c r="P277" s="50" t="s">
        <v>90</v>
      </c>
    </row>
    <row r="278" spans="1:16" ht="16.5" thickTop="1" x14ac:dyDescent="0.25">
      <c r="A278" s="365"/>
      <c r="B278" s="368"/>
      <c r="C278" s="9"/>
      <c r="D278" s="9"/>
      <c r="E278" s="64"/>
      <c r="F278" s="222"/>
      <c r="G278" s="222"/>
      <c r="H278" s="64">
        <f>SUM(H274:H277)</f>
        <v>0</v>
      </c>
      <c r="I278" s="74">
        <f>H278*I$6*I$5</f>
        <v>0</v>
      </c>
    </row>
    <row r="280" spans="1:16" x14ac:dyDescent="0.25">
      <c r="A280" s="363">
        <f>A274+1</f>
        <v>45560</v>
      </c>
      <c r="B280" s="366" t="s">
        <v>3</v>
      </c>
      <c r="C280" s="57" t="s">
        <v>72</v>
      </c>
      <c r="D280" s="7">
        <v>4</v>
      </c>
      <c r="E280" s="49">
        <v>8.1999999999999993</v>
      </c>
      <c r="F280" s="48">
        <v>1</v>
      </c>
      <c r="G280" s="227">
        <v>1</v>
      </c>
      <c r="H280" s="49">
        <f>F280*D280*G280</f>
        <v>4</v>
      </c>
      <c r="I280" s="55"/>
      <c r="K280" s="369" t="s">
        <v>23</v>
      </c>
      <c r="L280" s="370"/>
      <c r="M280" s="370"/>
      <c r="N280" s="370"/>
      <c r="O280" s="371"/>
    </row>
    <row r="281" spans="1:16" x14ac:dyDescent="0.25">
      <c r="A281" s="364"/>
      <c r="B281" s="367"/>
      <c r="C281" s="21" t="s">
        <v>73</v>
      </c>
      <c r="D281">
        <v>0</v>
      </c>
      <c r="E281" s="17">
        <v>8</v>
      </c>
      <c r="F281" s="16">
        <v>1</v>
      </c>
      <c r="G281" s="228">
        <v>1</v>
      </c>
      <c r="H281" s="17">
        <f>F281*D281*G281</f>
        <v>0</v>
      </c>
      <c r="I281" s="72"/>
      <c r="K281" s="47" t="s">
        <v>27</v>
      </c>
      <c r="L281" s="47" t="s">
        <v>12</v>
      </c>
      <c r="M281" s="47" t="s">
        <v>87</v>
      </c>
      <c r="N281" s="47" t="s">
        <v>28</v>
      </c>
      <c r="O281" s="28" t="s">
        <v>86</v>
      </c>
      <c r="P281" s="17"/>
    </row>
    <row r="282" spans="1:16" x14ac:dyDescent="0.25">
      <c r="A282" s="364"/>
      <c r="B282" s="367"/>
      <c r="E282" s="17"/>
      <c r="F282" s="16">
        <v>1</v>
      </c>
      <c r="G282" s="228"/>
      <c r="H282" s="17">
        <f>F282*D282</f>
        <v>0</v>
      </c>
      <c r="I282" s="72"/>
      <c r="K282" s="3">
        <v>6</v>
      </c>
      <c r="L282" s="3"/>
      <c r="M282" s="3"/>
      <c r="N282" s="3"/>
      <c r="O282" s="3"/>
      <c r="P282" s="50" t="s">
        <v>50</v>
      </c>
    </row>
    <row r="283" spans="1:16" ht="16.5" thickBot="1" x14ac:dyDescent="0.3">
      <c r="A283" s="364"/>
      <c r="B283" s="367"/>
      <c r="C283" s="225" t="s">
        <v>47</v>
      </c>
      <c r="D283" s="223"/>
      <c r="E283" s="85"/>
      <c r="F283" s="224">
        <v>1</v>
      </c>
      <c r="G283" s="224"/>
      <c r="H283" s="85"/>
      <c r="I283" s="86"/>
      <c r="K283" s="214">
        <f>K282/SUM(K282:O282)*I284</f>
        <v>5.6539999999999999</v>
      </c>
      <c r="L283" s="214">
        <f>L282/SUM(K282:O282)*$I284</f>
        <v>0</v>
      </c>
      <c r="M283" s="214">
        <f>M282/SUM(K282:O282)*$I284</f>
        <v>0</v>
      </c>
      <c r="N283" s="214">
        <f>N282/SUM(K282:O282)*$I284</f>
        <v>0</v>
      </c>
      <c r="O283" s="214">
        <f>O282/SUM(K282:O282)*$I284</f>
        <v>0</v>
      </c>
      <c r="P283" s="50" t="s">
        <v>90</v>
      </c>
    </row>
    <row r="284" spans="1:16" ht="16.5" thickTop="1" x14ac:dyDescent="0.25">
      <c r="A284" s="365"/>
      <c r="B284" s="368"/>
      <c r="C284" s="9"/>
      <c r="D284" s="9"/>
      <c r="E284" s="64"/>
      <c r="F284" s="222"/>
      <c r="G284" s="222"/>
      <c r="H284" s="64">
        <f>SUM(H280:H283)</f>
        <v>4</v>
      </c>
      <c r="I284" s="74">
        <f>H284*I$6*I$5</f>
        <v>5.6539999999999999</v>
      </c>
    </row>
    <row r="286" spans="1:16" x14ac:dyDescent="0.25">
      <c r="A286" s="363">
        <f>A280+1</f>
        <v>45561</v>
      </c>
      <c r="B286" s="366" t="s">
        <v>4</v>
      </c>
      <c r="C286" s="57" t="s">
        <v>72</v>
      </c>
      <c r="D286" s="7">
        <v>7</v>
      </c>
      <c r="E286" s="49">
        <v>10.3</v>
      </c>
      <c r="F286" s="48">
        <v>1</v>
      </c>
      <c r="G286" s="227">
        <v>1</v>
      </c>
      <c r="H286" s="49">
        <f>F286*D286*G286</f>
        <v>7</v>
      </c>
      <c r="I286" s="55"/>
      <c r="K286" s="369" t="s">
        <v>23</v>
      </c>
      <c r="L286" s="370"/>
      <c r="M286" s="370"/>
      <c r="N286" s="370"/>
      <c r="O286" s="371"/>
    </row>
    <row r="287" spans="1:16" x14ac:dyDescent="0.25">
      <c r="A287" s="364"/>
      <c r="B287" s="367"/>
      <c r="C287" s="21" t="s">
        <v>73</v>
      </c>
      <c r="D287">
        <v>0</v>
      </c>
      <c r="E287" s="17">
        <v>10.199999999999999</v>
      </c>
      <c r="F287" s="16">
        <v>1</v>
      </c>
      <c r="G287" s="228">
        <v>1</v>
      </c>
      <c r="H287" s="17">
        <f>F287*D287*G287</f>
        <v>0</v>
      </c>
      <c r="I287" s="72"/>
      <c r="K287" s="47" t="s">
        <v>27</v>
      </c>
      <c r="L287" s="47" t="s">
        <v>12</v>
      </c>
      <c r="M287" s="47" t="s">
        <v>87</v>
      </c>
      <c r="N287" s="47" t="s">
        <v>28</v>
      </c>
      <c r="O287" s="28" t="s">
        <v>86</v>
      </c>
      <c r="P287" s="17"/>
    </row>
    <row r="288" spans="1:16" x14ac:dyDescent="0.25">
      <c r="A288" s="364"/>
      <c r="B288" s="367"/>
      <c r="E288" s="17"/>
      <c r="F288" s="16">
        <v>1</v>
      </c>
      <c r="G288" s="228"/>
      <c r="H288" s="17">
        <f>F288*D288</f>
        <v>0</v>
      </c>
      <c r="I288" s="72"/>
      <c r="K288" s="3"/>
      <c r="L288" s="3"/>
      <c r="M288" s="3"/>
      <c r="N288" s="3"/>
      <c r="O288" s="3"/>
      <c r="P288" s="50" t="s">
        <v>50</v>
      </c>
    </row>
    <row r="289" spans="1:16" ht="16.5" thickBot="1" x14ac:dyDescent="0.3">
      <c r="A289" s="364"/>
      <c r="B289" s="367"/>
      <c r="C289" s="225" t="s">
        <v>47</v>
      </c>
      <c r="D289" s="223"/>
      <c r="E289" s="85"/>
      <c r="F289" s="224">
        <v>1</v>
      </c>
      <c r="G289" s="224"/>
      <c r="H289" s="85">
        <f>F289*D289</f>
        <v>0</v>
      </c>
      <c r="I289" s="86"/>
      <c r="K289" s="214" t="e">
        <f>K288/SUM(K288:O288)*I290</f>
        <v>#DIV/0!</v>
      </c>
      <c r="L289" s="214" t="e">
        <f>L288/SUM(K288:O288)*$I290</f>
        <v>#DIV/0!</v>
      </c>
      <c r="M289" s="214" t="e">
        <f>M288/SUM(K288:O288)*$I290</f>
        <v>#DIV/0!</v>
      </c>
      <c r="N289" s="214" t="e">
        <f>N288/SUM(K288:O288)*$I290</f>
        <v>#DIV/0!</v>
      </c>
      <c r="O289" s="214" t="e">
        <f>O288/SUM(K288:O288)*$I290</f>
        <v>#DIV/0!</v>
      </c>
      <c r="P289" s="50" t="s">
        <v>90</v>
      </c>
    </row>
    <row r="290" spans="1:16" ht="16.5" thickTop="1" x14ac:dyDescent="0.25">
      <c r="A290" s="365"/>
      <c r="B290" s="368"/>
      <c r="C290" s="9"/>
      <c r="D290" s="9"/>
      <c r="E290" s="64"/>
      <c r="F290" s="222"/>
      <c r="G290" s="222"/>
      <c r="H290" s="64">
        <f>SUM(H286:H289)</f>
        <v>7</v>
      </c>
      <c r="I290" s="74">
        <f>H290*I$6*I$5</f>
        <v>9.8945000000000007</v>
      </c>
    </row>
    <row r="292" spans="1:16" x14ac:dyDescent="0.25">
      <c r="A292" s="363">
        <f>A286+1</f>
        <v>45562</v>
      </c>
      <c r="B292" s="366" t="s">
        <v>5</v>
      </c>
      <c r="C292" s="57" t="s">
        <v>72</v>
      </c>
      <c r="D292" s="7"/>
      <c r="E292" s="49"/>
      <c r="F292" s="48">
        <v>1</v>
      </c>
      <c r="G292" s="227">
        <v>1</v>
      </c>
      <c r="H292" s="17">
        <f t="shared" ref="H292:H293" si="0">F292*D292</f>
        <v>0</v>
      </c>
      <c r="I292" s="55"/>
      <c r="K292" s="369" t="s">
        <v>23</v>
      </c>
      <c r="L292" s="370"/>
      <c r="M292" s="370"/>
      <c r="N292" s="370"/>
      <c r="O292" s="371"/>
    </row>
    <row r="293" spans="1:16" x14ac:dyDescent="0.25">
      <c r="A293" s="364"/>
      <c r="B293" s="367"/>
      <c r="C293" s="21" t="s">
        <v>73</v>
      </c>
      <c r="E293" s="17"/>
      <c r="F293" s="16">
        <v>1</v>
      </c>
      <c r="G293" s="228">
        <v>1</v>
      </c>
      <c r="H293" s="17">
        <f t="shared" si="0"/>
        <v>0</v>
      </c>
      <c r="I293" s="72"/>
      <c r="K293" s="47" t="s">
        <v>27</v>
      </c>
      <c r="L293" s="47" t="s">
        <v>12</v>
      </c>
      <c r="M293" s="47" t="s">
        <v>87</v>
      </c>
      <c r="N293" s="47" t="s">
        <v>28</v>
      </c>
      <c r="O293" s="28" t="s">
        <v>86</v>
      </c>
      <c r="P293" s="17"/>
    </row>
    <row r="294" spans="1:16" x14ac:dyDescent="0.25">
      <c r="A294" s="364"/>
      <c r="B294" s="367"/>
      <c r="E294" s="17"/>
      <c r="F294" s="16">
        <v>1</v>
      </c>
      <c r="G294" s="228"/>
      <c r="H294" s="17">
        <f>F294*D294</f>
        <v>0</v>
      </c>
      <c r="I294" s="72"/>
      <c r="K294" s="3">
        <v>3</v>
      </c>
      <c r="L294" s="3">
        <v>4</v>
      </c>
      <c r="M294" s="3"/>
      <c r="N294" s="3"/>
      <c r="O294" s="3"/>
      <c r="P294" s="50" t="s">
        <v>50</v>
      </c>
    </row>
    <row r="295" spans="1:16" ht="16.5" thickBot="1" x14ac:dyDescent="0.3">
      <c r="A295" s="364"/>
      <c r="B295" s="367"/>
      <c r="C295" s="225" t="s">
        <v>47</v>
      </c>
      <c r="D295" s="223"/>
      <c r="E295" s="85"/>
      <c r="F295" s="224">
        <v>1</v>
      </c>
      <c r="G295" s="224">
        <v>1</v>
      </c>
      <c r="H295" s="85">
        <f>F295*D295*G295</f>
        <v>0</v>
      </c>
      <c r="I295" s="86"/>
      <c r="K295" s="214">
        <f>K294/SUM(K294:O294)*I296</f>
        <v>0</v>
      </c>
      <c r="L295" s="214">
        <f>L294/SUM(K294:O294)*$I296</f>
        <v>0</v>
      </c>
      <c r="M295" s="214">
        <f>M294/SUM(K294:O294)*$I296</f>
        <v>0</v>
      </c>
      <c r="N295" s="214">
        <f>N294/SUM(K294:O294)*$I296</f>
        <v>0</v>
      </c>
      <c r="O295" s="214">
        <f>O294/SUM(K294:O294)*$I296</f>
        <v>0</v>
      </c>
      <c r="P295" s="50" t="s">
        <v>90</v>
      </c>
    </row>
    <row r="296" spans="1:16" ht="16.5" thickTop="1" x14ac:dyDescent="0.25">
      <c r="A296" s="365"/>
      <c r="B296" s="368"/>
      <c r="C296" s="9"/>
      <c r="D296" s="9"/>
      <c r="E296" s="64"/>
      <c r="F296" s="222"/>
      <c r="G296" s="222"/>
      <c r="H296" s="64">
        <f>SUM(H292:H295)</f>
        <v>0</v>
      </c>
      <c r="I296" s="74">
        <f>H296*I$6*I$5</f>
        <v>0</v>
      </c>
    </row>
    <row r="298" spans="1:16" x14ac:dyDescent="0.25">
      <c r="A298" s="363">
        <f>A292+1</f>
        <v>45563</v>
      </c>
      <c r="B298" s="366" t="s">
        <v>6</v>
      </c>
      <c r="C298" s="57" t="s">
        <v>72</v>
      </c>
      <c r="D298" s="7">
        <v>14</v>
      </c>
      <c r="E298" s="49">
        <v>9.5</v>
      </c>
      <c r="F298" s="48">
        <v>1</v>
      </c>
      <c r="G298" s="227">
        <v>1</v>
      </c>
      <c r="H298" s="49">
        <f>F298*D298*G298</f>
        <v>14</v>
      </c>
      <c r="I298" s="55"/>
      <c r="K298" s="369" t="s">
        <v>23</v>
      </c>
      <c r="L298" s="370"/>
      <c r="M298" s="370"/>
      <c r="N298" s="370"/>
      <c r="O298" s="371"/>
    </row>
    <row r="299" spans="1:16" x14ac:dyDescent="0.25">
      <c r="A299" s="364"/>
      <c r="B299" s="367"/>
      <c r="C299" s="21" t="s">
        <v>73</v>
      </c>
      <c r="D299">
        <v>0</v>
      </c>
      <c r="E299" s="17">
        <v>9.1</v>
      </c>
      <c r="F299" s="16">
        <v>1</v>
      </c>
      <c r="G299" s="228">
        <v>1</v>
      </c>
      <c r="H299" s="17">
        <f>F299*D299*G299</f>
        <v>0</v>
      </c>
      <c r="I299" s="72"/>
      <c r="K299" s="47" t="s">
        <v>27</v>
      </c>
      <c r="L299" s="47" t="s">
        <v>12</v>
      </c>
      <c r="M299" s="47" t="s">
        <v>87</v>
      </c>
      <c r="N299" s="47" t="s">
        <v>28</v>
      </c>
      <c r="O299" s="28" t="s">
        <v>86</v>
      </c>
      <c r="P299" s="17"/>
    </row>
    <row r="300" spans="1:16" x14ac:dyDescent="0.25">
      <c r="A300" s="364"/>
      <c r="B300" s="367"/>
      <c r="E300" s="17"/>
      <c r="F300" s="16">
        <v>1</v>
      </c>
      <c r="G300" s="228"/>
      <c r="H300" s="17">
        <f>F300*D300</f>
        <v>0</v>
      </c>
      <c r="I300" s="72"/>
      <c r="K300" s="3">
        <v>7</v>
      </c>
      <c r="L300" s="3"/>
      <c r="M300" s="3"/>
      <c r="N300" s="3"/>
      <c r="O300" s="3"/>
      <c r="P300" s="50" t="s">
        <v>50</v>
      </c>
    </row>
    <row r="301" spans="1:16" ht="16.5" thickBot="1" x14ac:dyDescent="0.3">
      <c r="A301" s="364"/>
      <c r="B301" s="367"/>
      <c r="C301" s="225" t="s">
        <v>47</v>
      </c>
      <c r="D301" s="223"/>
      <c r="E301" s="85"/>
      <c r="F301" s="224">
        <v>1</v>
      </c>
      <c r="G301" s="224"/>
      <c r="H301" s="85"/>
      <c r="I301" s="86"/>
      <c r="K301" s="214">
        <f>K300/SUM(K300:O300)*I302</f>
        <v>19.789000000000001</v>
      </c>
      <c r="L301" s="214">
        <f>L300/SUM(K300:O300)*$I302</f>
        <v>0</v>
      </c>
      <c r="M301" s="214">
        <f>M300/SUM(K300:O300)*$I302</f>
        <v>0</v>
      </c>
      <c r="N301" s="214">
        <f>N300/SUM(K300:O300)*$I302</f>
        <v>0</v>
      </c>
      <c r="O301" s="214">
        <f>O300/SUM(K300:O300)*$I302</f>
        <v>0</v>
      </c>
      <c r="P301" s="50" t="s">
        <v>90</v>
      </c>
    </row>
    <row r="302" spans="1:16" ht="16.5" thickTop="1" x14ac:dyDescent="0.25">
      <c r="A302" s="365"/>
      <c r="B302" s="368"/>
      <c r="C302" s="9"/>
      <c r="D302" s="9"/>
      <c r="E302" s="64"/>
      <c r="F302" s="222"/>
      <c r="G302" s="222"/>
      <c r="H302" s="64">
        <f>SUM(H298:H301)</f>
        <v>14</v>
      </c>
      <c r="I302" s="74">
        <f>H302*I$6*I$5</f>
        <v>19.789000000000001</v>
      </c>
    </row>
    <row r="304" spans="1:16" ht="15.6" customHeight="1" x14ac:dyDescent="0.25">
      <c r="A304" s="363">
        <f>A298+1</f>
        <v>45564</v>
      </c>
      <c r="B304" s="366" t="s">
        <v>0</v>
      </c>
      <c r="C304" s="57" t="s">
        <v>72</v>
      </c>
      <c r="D304" s="350">
        <v>8</v>
      </c>
      <c r="E304" s="49">
        <v>9.5</v>
      </c>
      <c r="F304" s="48">
        <v>1</v>
      </c>
      <c r="G304" s="227">
        <v>1</v>
      </c>
      <c r="H304" s="49">
        <f>F304*D304*G304</f>
        <v>8</v>
      </c>
      <c r="I304" s="55"/>
      <c r="K304" s="369" t="s">
        <v>23</v>
      </c>
      <c r="L304" s="370"/>
      <c r="M304" s="370"/>
      <c r="N304" s="370"/>
      <c r="O304" s="371"/>
    </row>
    <row r="305" spans="1:16" x14ac:dyDescent="0.25">
      <c r="A305" s="364"/>
      <c r="B305" s="367"/>
      <c r="C305" s="21" t="s">
        <v>73</v>
      </c>
      <c r="E305" s="17"/>
      <c r="F305" s="16">
        <v>1</v>
      </c>
      <c r="G305" s="228">
        <v>1</v>
      </c>
      <c r="H305" s="17">
        <f>F305*D305*G305</f>
        <v>0</v>
      </c>
      <c r="I305" s="72"/>
      <c r="K305" s="47" t="s">
        <v>27</v>
      </c>
      <c r="L305" s="47" t="s">
        <v>12</v>
      </c>
      <c r="M305" s="47" t="s">
        <v>87</v>
      </c>
      <c r="N305" s="47" t="s">
        <v>28</v>
      </c>
      <c r="O305" s="28" t="s">
        <v>86</v>
      </c>
      <c r="P305" s="17"/>
    </row>
    <row r="306" spans="1:16" x14ac:dyDescent="0.25">
      <c r="A306" s="364"/>
      <c r="B306" s="367"/>
      <c r="E306" s="17"/>
      <c r="F306" s="16">
        <v>1</v>
      </c>
      <c r="G306" s="228"/>
      <c r="H306" s="17">
        <f>F306*D306</f>
        <v>0</v>
      </c>
      <c r="I306" s="72"/>
      <c r="K306" s="3">
        <v>2</v>
      </c>
      <c r="L306" s="3"/>
      <c r="M306" s="3"/>
      <c r="N306" s="3"/>
      <c r="O306" s="3"/>
      <c r="P306" s="50" t="s">
        <v>50</v>
      </c>
    </row>
    <row r="307" spans="1:16" ht="16.5" thickBot="1" x14ac:dyDescent="0.3">
      <c r="A307" s="364"/>
      <c r="B307" s="367"/>
      <c r="C307" s="225" t="s">
        <v>47</v>
      </c>
      <c r="D307" s="223"/>
      <c r="E307" s="85"/>
      <c r="F307" s="224">
        <v>1</v>
      </c>
      <c r="G307" s="224"/>
      <c r="H307" s="85"/>
      <c r="I307" s="86"/>
      <c r="K307" s="214">
        <f>K306/SUM(K306:O306)*I308</f>
        <v>11.308</v>
      </c>
      <c r="L307" s="214">
        <f>L306/SUM(K306:O306)*$I308</f>
        <v>0</v>
      </c>
      <c r="M307" s="214">
        <f>M306/SUM(K306:O306)*$I308</f>
        <v>0</v>
      </c>
      <c r="N307" s="214">
        <f>N306/SUM(K306:O306)*$I308</f>
        <v>0</v>
      </c>
      <c r="O307" s="214">
        <f>O306/SUM(K306:O306)*$I308</f>
        <v>0</v>
      </c>
      <c r="P307" s="50" t="s">
        <v>90</v>
      </c>
    </row>
    <row r="308" spans="1:16" ht="16.5" thickTop="1" x14ac:dyDescent="0.25">
      <c r="A308" s="365"/>
      <c r="B308" s="368"/>
      <c r="C308" s="9"/>
      <c r="D308" s="9"/>
      <c r="E308" s="64"/>
      <c r="F308" s="222"/>
      <c r="G308" s="222"/>
      <c r="H308" s="64">
        <f>SUM(H304:H307)</f>
        <v>8</v>
      </c>
      <c r="I308" s="74">
        <f>H308*I$6*I$5</f>
        <v>11.308</v>
      </c>
    </row>
    <row r="309" spans="1:16" x14ac:dyDescent="0.25">
      <c r="A309" s="73"/>
      <c r="B309" s="9"/>
      <c r="C309" s="9"/>
      <c r="D309" s="9"/>
      <c r="E309" s="9"/>
      <c r="F309" s="64"/>
      <c r="G309" s="17"/>
    </row>
    <row r="310" spans="1:16" ht="15.6" customHeight="1" x14ac:dyDescent="0.25">
      <c r="A310" s="363">
        <f>A304+1</f>
        <v>45565</v>
      </c>
      <c r="B310" s="366" t="s">
        <v>1</v>
      </c>
      <c r="C310" s="57" t="s">
        <v>72</v>
      </c>
      <c r="F310" s="48">
        <v>1</v>
      </c>
      <c r="G310" s="227">
        <v>1</v>
      </c>
      <c r="H310" s="17">
        <f t="shared" ref="H310:H311" si="1">F310*D310</f>
        <v>0</v>
      </c>
      <c r="I310" s="55"/>
      <c r="K310" s="369" t="s">
        <v>23</v>
      </c>
      <c r="L310" s="370"/>
      <c r="M310" s="370"/>
      <c r="N310" s="370"/>
      <c r="O310" s="371"/>
    </row>
    <row r="311" spans="1:16" x14ac:dyDescent="0.25">
      <c r="A311" s="364"/>
      <c r="B311" s="367"/>
      <c r="C311" s="21" t="s">
        <v>73</v>
      </c>
      <c r="F311" s="16">
        <v>1</v>
      </c>
      <c r="G311" s="228">
        <v>1</v>
      </c>
      <c r="H311" s="17">
        <f t="shared" si="1"/>
        <v>0</v>
      </c>
      <c r="I311" s="72"/>
      <c r="K311" s="47" t="s">
        <v>27</v>
      </c>
      <c r="L311" s="47" t="s">
        <v>12</v>
      </c>
      <c r="M311" s="47" t="s">
        <v>87</v>
      </c>
      <c r="N311" s="47" t="s">
        <v>28</v>
      </c>
      <c r="O311" s="28" t="s">
        <v>86</v>
      </c>
      <c r="P311" s="17"/>
    </row>
    <row r="312" spans="1:16" x14ac:dyDescent="0.25">
      <c r="A312" s="364"/>
      <c r="B312" s="367"/>
      <c r="E312" s="17"/>
      <c r="F312" s="16">
        <v>1</v>
      </c>
      <c r="G312" s="228"/>
      <c r="H312" s="17">
        <f>F312*D312</f>
        <v>0</v>
      </c>
      <c r="I312" s="72"/>
      <c r="K312" s="3"/>
      <c r="L312" s="3"/>
      <c r="M312" s="3"/>
      <c r="N312" s="3"/>
      <c r="O312" s="3"/>
      <c r="P312" s="50" t="s">
        <v>50</v>
      </c>
    </row>
    <row r="313" spans="1:16" ht="16.5" thickBot="1" x14ac:dyDescent="0.3">
      <c r="A313" s="364"/>
      <c r="B313" s="367"/>
      <c r="C313" s="225" t="s">
        <v>47</v>
      </c>
      <c r="D313" s="223"/>
      <c r="E313" s="85"/>
      <c r="F313" s="224">
        <v>1</v>
      </c>
      <c r="G313" s="224"/>
      <c r="H313" s="85"/>
      <c r="I313" s="86"/>
      <c r="K313" s="214" t="e">
        <f>K312/SUM(K312:O312)*I314</f>
        <v>#DIV/0!</v>
      </c>
      <c r="L313" s="214" t="e">
        <f>L312/SUM(K312:O312)*$I314</f>
        <v>#DIV/0!</v>
      </c>
      <c r="M313" s="214" t="e">
        <f>M312/SUM(K312:O312)*$I314</f>
        <v>#DIV/0!</v>
      </c>
      <c r="N313" s="214" t="e">
        <f>N312/SUM(K312:O312)*$I314</f>
        <v>#DIV/0!</v>
      </c>
      <c r="O313" s="214" t="e">
        <f>O312/SUM(K312:O312)*$I314</f>
        <v>#DIV/0!</v>
      </c>
      <c r="P313" s="50" t="s">
        <v>90</v>
      </c>
    </row>
    <row r="314" spans="1:16" ht="16.5" thickTop="1" x14ac:dyDescent="0.25">
      <c r="A314" s="365"/>
      <c r="B314" s="368"/>
      <c r="C314" s="9"/>
      <c r="D314" s="9"/>
      <c r="E314" s="64"/>
      <c r="F314" s="222"/>
      <c r="G314" s="222"/>
      <c r="H314" s="64">
        <f>SUM(H310:H313)</f>
        <v>0</v>
      </c>
      <c r="I314" s="74">
        <f>H314*I$6*I$5</f>
        <v>0</v>
      </c>
    </row>
    <row r="316" spans="1:16" x14ac:dyDescent="0.25">
      <c r="A316" s="363">
        <f>A310+1</f>
        <v>45566</v>
      </c>
      <c r="B316" s="366" t="s">
        <v>2</v>
      </c>
      <c r="C316" s="57" t="s">
        <v>72</v>
      </c>
      <c r="D316" s="350">
        <v>4</v>
      </c>
      <c r="E316" s="354">
        <v>8</v>
      </c>
      <c r="F316" s="48">
        <v>1</v>
      </c>
      <c r="G316" s="227">
        <v>1</v>
      </c>
      <c r="H316" s="49">
        <f>F316*D316*G316</f>
        <v>4</v>
      </c>
      <c r="I316" s="55"/>
      <c r="K316" s="369" t="s">
        <v>23</v>
      </c>
      <c r="L316" s="370"/>
      <c r="M316" s="370"/>
      <c r="N316" s="370"/>
      <c r="O316" s="371"/>
    </row>
    <row r="317" spans="1:16" x14ac:dyDescent="0.25">
      <c r="A317" s="364"/>
      <c r="B317" s="367"/>
      <c r="C317" s="21" t="s">
        <v>73</v>
      </c>
      <c r="D317" s="315">
        <v>0</v>
      </c>
      <c r="E317" s="355">
        <v>8</v>
      </c>
      <c r="F317" s="16">
        <v>1</v>
      </c>
      <c r="G317" s="228">
        <v>1</v>
      </c>
      <c r="H317" s="17">
        <f>F317*D317*G317</f>
        <v>0</v>
      </c>
      <c r="I317" s="72"/>
      <c r="K317" s="47" t="s">
        <v>27</v>
      </c>
      <c r="L317" s="47" t="s">
        <v>12</v>
      </c>
      <c r="M317" s="47" t="s">
        <v>87</v>
      </c>
      <c r="N317" s="47" t="s">
        <v>28</v>
      </c>
      <c r="O317" s="28" t="s">
        <v>86</v>
      </c>
      <c r="P317" s="17"/>
    </row>
    <row r="318" spans="1:16" x14ac:dyDescent="0.25">
      <c r="A318" s="364"/>
      <c r="B318" s="367"/>
      <c r="E318" s="17"/>
      <c r="F318" s="16">
        <v>1</v>
      </c>
      <c r="G318" s="228"/>
      <c r="H318" s="17">
        <f>F318*D318</f>
        <v>0</v>
      </c>
      <c r="I318" s="72"/>
      <c r="K318" s="3"/>
      <c r="L318" s="3"/>
      <c r="M318" s="3"/>
      <c r="N318" s="3"/>
      <c r="O318" s="3"/>
      <c r="P318" s="50" t="s">
        <v>50</v>
      </c>
    </row>
    <row r="319" spans="1:16" ht="16.5" thickBot="1" x14ac:dyDescent="0.3">
      <c r="A319" s="364"/>
      <c r="B319" s="367"/>
      <c r="C319" s="225" t="s">
        <v>47</v>
      </c>
      <c r="D319" s="223"/>
      <c r="E319" s="85"/>
      <c r="F319" s="224">
        <v>1</v>
      </c>
      <c r="G319" s="224"/>
      <c r="H319" s="85">
        <f>F319*D319</f>
        <v>0</v>
      </c>
      <c r="I319" s="86"/>
      <c r="K319" s="214" t="e">
        <f>K318/SUM(K318:O318)*I320</f>
        <v>#DIV/0!</v>
      </c>
      <c r="L319" s="214" t="e">
        <f>L318/SUM(K318:O318)*$I320</f>
        <v>#DIV/0!</v>
      </c>
      <c r="M319" s="214" t="e">
        <f>M318/SUM(K318:O318)*$I320</f>
        <v>#DIV/0!</v>
      </c>
      <c r="N319" s="214" t="e">
        <f>N318/SUM(K318:O318)*$I320</f>
        <v>#DIV/0!</v>
      </c>
      <c r="O319" s="214" t="e">
        <f>O318/SUM(K318:O318)*$I320</f>
        <v>#DIV/0!</v>
      </c>
      <c r="P319" s="50" t="s">
        <v>90</v>
      </c>
    </row>
    <row r="320" spans="1:16" ht="16.5" thickTop="1" x14ac:dyDescent="0.25">
      <c r="A320" s="365"/>
      <c r="B320" s="368"/>
      <c r="C320" s="9"/>
      <c r="D320" s="9"/>
      <c r="E320" s="64"/>
      <c r="F320" s="222"/>
      <c r="G320" s="222"/>
      <c r="H320" s="64">
        <f>SUM(H316:H319)</f>
        <v>4</v>
      </c>
      <c r="I320" s="74">
        <f>H320*I$6*I$5</f>
        <v>5.6539999999999999</v>
      </c>
    </row>
    <row r="322" spans="1:16" x14ac:dyDescent="0.25">
      <c r="A322" s="363">
        <f>A316+1</f>
        <v>45567</v>
      </c>
      <c r="B322" s="366" t="s">
        <v>3</v>
      </c>
      <c r="C322" s="57" t="s">
        <v>72</v>
      </c>
      <c r="D322" s="7">
        <v>4</v>
      </c>
      <c r="E322" s="49">
        <v>8.1999999999999993</v>
      </c>
      <c r="F322" s="48">
        <v>1</v>
      </c>
      <c r="G322" s="227">
        <v>1</v>
      </c>
      <c r="H322" s="49">
        <f>F322*D322*G322</f>
        <v>4</v>
      </c>
      <c r="I322" s="55"/>
      <c r="K322" s="369" t="s">
        <v>23</v>
      </c>
      <c r="L322" s="370"/>
      <c r="M322" s="370"/>
      <c r="N322" s="370"/>
      <c r="O322" s="371"/>
    </row>
    <row r="323" spans="1:16" x14ac:dyDescent="0.25">
      <c r="A323" s="364"/>
      <c r="B323" s="367"/>
      <c r="C323" s="21" t="s">
        <v>73</v>
      </c>
      <c r="D323">
        <v>0</v>
      </c>
      <c r="E323" s="17">
        <v>7.9</v>
      </c>
      <c r="F323" s="16">
        <v>1</v>
      </c>
      <c r="G323" s="228">
        <v>1</v>
      </c>
      <c r="H323" s="17">
        <f>F323*D323*G323</f>
        <v>0</v>
      </c>
      <c r="I323" s="72"/>
      <c r="K323" s="47" t="s">
        <v>27</v>
      </c>
      <c r="L323" s="47" t="s">
        <v>12</v>
      </c>
      <c r="M323" s="47" t="s">
        <v>87</v>
      </c>
      <c r="N323" s="47" t="s">
        <v>28</v>
      </c>
      <c r="O323" s="28" t="s">
        <v>86</v>
      </c>
      <c r="P323" s="17"/>
    </row>
    <row r="324" spans="1:16" x14ac:dyDescent="0.25">
      <c r="A324" s="364"/>
      <c r="B324" s="367"/>
      <c r="E324" s="17"/>
      <c r="F324" s="16">
        <v>1</v>
      </c>
      <c r="G324" s="228"/>
      <c r="H324" s="17">
        <f>F324*D324</f>
        <v>0</v>
      </c>
      <c r="I324" s="72"/>
      <c r="K324" s="3"/>
      <c r="L324" s="3"/>
      <c r="M324" s="3"/>
      <c r="N324" s="3"/>
      <c r="O324" s="3"/>
      <c r="P324" s="50" t="s">
        <v>50</v>
      </c>
    </row>
    <row r="325" spans="1:16" ht="16.5" thickBot="1" x14ac:dyDescent="0.3">
      <c r="A325" s="364"/>
      <c r="B325" s="367"/>
      <c r="C325" s="225" t="s">
        <v>47</v>
      </c>
      <c r="D325" s="223"/>
      <c r="E325" s="85"/>
      <c r="F325" s="224">
        <v>1</v>
      </c>
      <c r="G325" s="224"/>
      <c r="H325" s="85">
        <f>F325*D325</f>
        <v>0</v>
      </c>
      <c r="I325" s="86"/>
      <c r="K325" s="214" t="e">
        <f>K324/SUM(K324:O324)*I326</f>
        <v>#DIV/0!</v>
      </c>
      <c r="L325" s="214" t="e">
        <f>L324/SUM(K324:O324)*$I326</f>
        <v>#DIV/0!</v>
      </c>
      <c r="M325" s="214" t="e">
        <f>M324/SUM(K324:O324)*$I326</f>
        <v>#DIV/0!</v>
      </c>
      <c r="N325" s="214" t="e">
        <f>N324/SUM(K324:O324)*$I326</f>
        <v>#DIV/0!</v>
      </c>
      <c r="O325" s="214" t="e">
        <f>O324/SUM(K324:O324)*$I326</f>
        <v>#DIV/0!</v>
      </c>
      <c r="P325" s="50" t="s">
        <v>90</v>
      </c>
    </row>
    <row r="326" spans="1:16" ht="16.5" thickTop="1" x14ac:dyDescent="0.25">
      <c r="A326" s="365"/>
      <c r="B326" s="368"/>
      <c r="C326" s="9"/>
      <c r="D326" s="9"/>
      <c r="E326" s="64"/>
      <c r="F326" s="222"/>
      <c r="G326" s="222"/>
      <c r="H326" s="64">
        <f>SUM(H322:H325)</f>
        <v>4</v>
      </c>
      <c r="I326" s="74">
        <f>H326*I$6*I$5</f>
        <v>5.6539999999999999</v>
      </c>
    </row>
    <row r="328" spans="1:16" x14ac:dyDescent="0.25">
      <c r="A328" s="363">
        <f>A322+1</f>
        <v>45568</v>
      </c>
      <c r="B328" s="366" t="s">
        <v>4</v>
      </c>
      <c r="C328" s="57" t="s">
        <v>72</v>
      </c>
      <c r="D328" s="7"/>
      <c r="E328" s="49"/>
      <c r="F328" s="48">
        <v>1</v>
      </c>
      <c r="G328" s="227">
        <v>1</v>
      </c>
      <c r="H328" s="17">
        <f t="shared" ref="H328:H329" si="2">F328*D328</f>
        <v>0</v>
      </c>
      <c r="I328" s="55"/>
      <c r="K328" s="369" t="s">
        <v>23</v>
      </c>
      <c r="L328" s="370"/>
      <c r="M328" s="370"/>
      <c r="N328" s="370"/>
      <c r="O328" s="371"/>
    </row>
    <row r="329" spans="1:16" x14ac:dyDescent="0.25">
      <c r="A329" s="364"/>
      <c r="B329" s="367"/>
      <c r="C329" s="21" t="s">
        <v>73</v>
      </c>
      <c r="E329" s="17"/>
      <c r="F329" s="16">
        <v>1</v>
      </c>
      <c r="G329" s="228">
        <v>1</v>
      </c>
      <c r="H329" s="17">
        <f t="shared" si="2"/>
        <v>0</v>
      </c>
      <c r="I329" s="72"/>
      <c r="K329" s="47" t="s">
        <v>27</v>
      </c>
      <c r="L329" s="47" t="s">
        <v>12</v>
      </c>
      <c r="M329" s="47" t="s">
        <v>87</v>
      </c>
      <c r="N329" s="47" t="s">
        <v>28</v>
      </c>
      <c r="O329" s="28" t="s">
        <v>86</v>
      </c>
      <c r="P329" s="17"/>
    </row>
    <row r="330" spans="1:16" x14ac:dyDescent="0.25">
      <c r="A330" s="364"/>
      <c r="B330" s="367"/>
      <c r="E330" s="17"/>
      <c r="F330" s="16">
        <v>1</v>
      </c>
      <c r="G330" s="228"/>
      <c r="H330" s="17">
        <f>F330*D330</f>
        <v>0</v>
      </c>
      <c r="I330" s="72"/>
      <c r="K330" s="3">
        <v>8</v>
      </c>
      <c r="L330" s="3"/>
      <c r="M330" s="3"/>
      <c r="N330" s="3"/>
      <c r="O330" s="3"/>
      <c r="P330" s="50" t="s">
        <v>50</v>
      </c>
    </row>
    <row r="331" spans="1:16" ht="16.5" thickBot="1" x14ac:dyDescent="0.3">
      <c r="A331" s="364"/>
      <c r="B331" s="367"/>
      <c r="C331" s="225" t="s">
        <v>47</v>
      </c>
      <c r="D331" s="223"/>
      <c r="E331" s="85"/>
      <c r="F331" s="224">
        <v>1</v>
      </c>
      <c r="G331" s="224"/>
      <c r="H331" s="85"/>
      <c r="I331" s="86"/>
      <c r="K331" s="214">
        <f>K330/SUM(K330:O330)*I332</f>
        <v>0</v>
      </c>
      <c r="L331" s="214">
        <f>L330/SUM(K330:O330)*$I332</f>
        <v>0</v>
      </c>
      <c r="M331" s="214">
        <f>M330/SUM(K330:O330)*$I332</f>
        <v>0</v>
      </c>
      <c r="N331" s="214">
        <f>N330/SUM(K330:O330)*$I332</f>
        <v>0</v>
      </c>
      <c r="O331" s="214">
        <f>O330/SUM(K330:O330)*$I332</f>
        <v>0</v>
      </c>
      <c r="P331" s="50" t="s">
        <v>90</v>
      </c>
    </row>
    <row r="332" spans="1:16" ht="16.5" thickTop="1" x14ac:dyDescent="0.25">
      <c r="A332" s="365"/>
      <c r="B332" s="368"/>
      <c r="C332" s="9"/>
      <c r="D332" s="9"/>
      <c r="E332" s="64"/>
      <c r="F332" s="222"/>
      <c r="G332" s="222"/>
      <c r="H332" s="64">
        <f>SUM(H328:H331)</f>
        <v>0</v>
      </c>
      <c r="I332" s="74">
        <f>H332*I$6*I$5</f>
        <v>0</v>
      </c>
    </row>
    <row r="334" spans="1:16" x14ac:dyDescent="0.25">
      <c r="A334" s="363">
        <f>A328+1</f>
        <v>45569</v>
      </c>
      <c r="B334" s="366" t="s">
        <v>5</v>
      </c>
      <c r="C334" s="57" t="s">
        <v>72</v>
      </c>
      <c r="D334" s="7">
        <v>5</v>
      </c>
      <c r="E334" s="49">
        <v>9.4</v>
      </c>
      <c r="F334" s="48">
        <v>1</v>
      </c>
      <c r="G334" s="227">
        <v>1</v>
      </c>
      <c r="H334" s="49">
        <f>F334*D334*G334</f>
        <v>5</v>
      </c>
      <c r="I334" s="55"/>
      <c r="K334" s="369" t="s">
        <v>23</v>
      </c>
      <c r="L334" s="370"/>
      <c r="M334" s="370"/>
      <c r="N334" s="370"/>
      <c r="O334" s="371"/>
    </row>
    <row r="335" spans="1:16" x14ac:dyDescent="0.25">
      <c r="A335" s="364"/>
      <c r="B335" s="367"/>
      <c r="C335" s="21" t="s">
        <v>73</v>
      </c>
      <c r="D335">
        <v>0</v>
      </c>
      <c r="E335" s="17">
        <v>9.3000000000000007</v>
      </c>
      <c r="F335" s="16">
        <v>1</v>
      </c>
      <c r="G335" s="228">
        <v>1</v>
      </c>
      <c r="H335" s="17">
        <f>F335*D335*G335</f>
        <v>0</v>
      </c>
      <c r="I335" s="72"/>
      <c r="K335" s="47" t="s">
        <v>27</v>
      </c>
      <c r="L335" s="47" t="s">
        <v>12</v>
      </c>
      <c r="M335" s="47" t="s">
        <v>87</v>
      </c>
      <c r="N335" s="47" t="s">
        <v>28</v>
      </c>
      <c r="O335" s="28" t="s">
        <v>86</v>
      </c>
      <c r="P335" s="17"/>
    </row>
    <row r="336" spans="1:16" x14ac:dyDescent="0.25">
      <c r="A336" s="364"/>
      <c r="B336" s="367"/>
      <c r="E336" s="17"/>
      <c r="F336" s="16">
        <v>1</v>
      </c>
      <c r="G336" s="228"/>
      <c r="H336" s="17">
        <f>F336*D336</f>
        <v>0</v>
      </c>
      <c r="I336" s="72"/>
      <c r="K336" s="3">
        <v>11</v>
      </c>
      <c r="L336" s="3">
        <v>1</v>
      </c>
      <c r="M336" s="3"/>
      <c r="N336" s="3"/>
      <c r="O336" s="3"/>
      <c r="P336" s="50" t="s">
        <v>50</v>
      </c>
    </row>
    <row r="337" spans="1:16" ht="16.5" thickBot="1" x14ac:dyDescent="0.3">
      <c r="A337" s="364"/>
      <c r="B337" s="367"/>
      <c r="C337" s="225" t="s">
        <v>47</v>
      </c>
      <c r="D337" s="223"/>
      <c r="E337" s="85"/>
      <c r="F337" s="224">
        <v>1</v>
      </c>
      <c r="G337" s="224"/>
      <c r="H337" s="85"/>
      <c r="I337" s="86"/>
      <c r="K337" s="214">
        <f>K336/SUM(K336:O336)*I338</f>
        <v>6.4785416666666675</v>
      </c>
      <c r="L337" s="214">
        <f>L336/SUM(K336:O336)*$I338</f>
        <v>0.58895833333333336</v>
      </c>
      <c r="M337" s="214">
        <f>M336/SUM(K336:O336)*$I338</f>
        <v>0</v>
      </c>
      <c r="N337" s="214">
        <f>N336/SUM(K336:O336)*$I338</f>
        <v>0</v>
      </c>
      <c r="O337" s="214">
        <f>O336/SUM(K336:O336)*$I338</f>
        <v>0</v>
      </c>
      <c r="P337" s="50" t="s">
        <v>90</v>
      </c>
    </row>
    <row r="338" spans="1:16" ht="16.5" thickTop="1" x14ac:dyDescent="0.25">
      <c r="A338" s="365"/>
      <c r="B338" s="368"/>
      <c r="C338" s="9"/>
      <c r="D338" s="9"/>
      <c r="E338" s="64"/>
      <c r="F338" s="222"/>
      <c r="G338" s="222"/>
      <c r="H338" s="64">
        <f>SUM(H334:H337)</f>
        <v>5</v>
      </c>
      <c r="I338" s="74">
        <f>H338*I$6*I$5</f>
        <v>7.0675000000000008</v>
      </c>
    </row>
    <row r="340" spans="1:16" x14ac:dyDescent="0.25">
      <c r="A340" s="363">
        <f>A334+1</f>
        <v>45570</v>
      </c>
      <c r="B340" s="366" t="s">
        <v>6</v>
      </c>
      <c r="C340" s="57" t="s">
        <v>72</v>
      </c>
      <c r="D340" s="7">
        <v>10</v>
      </c>
      <c r="E340" s="49">
        <v>8.1999999999999993</v>
      </c>
      <c r="F340" s="48">
        <v>1</v>
      </c>
      <c r="G340" s="227">
        <v>1</v>
      </c>
      <c r="H340" s="49">
        <f>F340*D340*G340</f>
        <v>10</v>
      </c>
      <c r="I340" s="55"/>
      <c r="K340" s="369" t="s">
        <v>23</v>
      </c>
      <c r="L340" s="370"/>
      <c r="M340" s="370"/>
      <c r="N340" s="370"/>
      <c r="O340" s="371"/>
    </row>
    <row r="341" spans="1:16" x14ac:dyDescent="0.25">
      <c r="A341" s="364"/>
      <c r="B341" s="367"/>
      <c r="C341" s="21" t="s">
        <v>73</v>
      </c>
      <c r="D341">
        <v>1</v>
      </c>
      <c r="E341" s="17">
        <v>8</v>
      </c>
      <c r="F341" s="16">
        <v>1</v>
      </c>
      <c r="G341" s="228">
        <v>1</v>
      </c>
      <c r="H341" s="17">
        <f>F341*D341*G341</f>
        <v>1</v>
      </c>
      <c r="I341" s="72"/>
      <c r="K341" s="47" t="s">
        <v>27</v>
      </c>
      <c r="L341" s="47" t="s">
        <v>12</v>
      </c>
      <c r="M341" s="47" t="s">
        <v>87</v>
      </c>
      <c r="N341" s="47" t="s">
        <v>28</v>
      </c>
      <c r="O341" s="28" t="s">
        <v>86</v>
      </c>
      <c r="P341" s="17"/>
    </row>
    <row r="342" spans="1:16" x14ac:dyDescent="0.25">
      <c r="A342" s="364"/>
      <c r="B342" s="367"/>
      <c r="E342" s="17"/>
      <c r="F342" s="16">
        <v>1</v>
      </c>
      <c r="G342" s="228"/>
      <c r="H342" s="17">
        <f>F342*D342</f>
        <v>0</v>
      </c>
      <c r="I342" s="72"/>
      <c r="K342" s="3">
        <v>15</v>
      </c>
      <c r="L342" s="3"/>
      <c r="M342" s="3"/>
      <c r="N342" s="3"/>
      <c r="O342" s="3"/>
      <c r="P342" s="50" t="s">
        <v>50</v>
      </c>
    </row>
    <row r="343" spans="1:16" ht="16.5" thickBot="1" x14ac:dyDescent="0.3">
      <c r="A343" s="364"/>
      <c r="B343" s="367"/>
      <c r="C343" s="225" t="s">
        <v>47</v>
      </c>
      <c r="D343" s="223"/>
      <c r="E343" s="85"/>
      <c r="F343" s="224">
        <v>1</v>
      </c>
      <c r="G343" s="224"/>
      <c r="H343" s="85"/>
      <c r="I343" s="86"/>
      <c r="K343" s="214">
        <f>K342/SUM(K342:O342)*I344</f>
        <v>15.548500000000001</v>
      </c>
      <c r="L343" s="214">
        <f>L342/SUM(K342:O342)*$I344</f>
        <v>0</v>
      </c>
      <c r="M343" s="214">
        <f>M342/SUM(K342:O342)*$I344</f>
        <v>0</v>
      </c>
      <c r="N343" s="214">
        <f>N342/SUM(K342:O342)*$I344</f>
        <v>0</v>
      </c>
      <c r="O343" s="214">
        <f>O342/SUM(K342:O342)*$I344</f>
        <v>0</v>
      </c>
      <c r="P343" s="50" t="s">
        <v>90</v>
      </c>
    </row>
    <row r="344" spans="1:16" ht="16.5" thickTop="1" x14ac:dyDescent="0.25">
      <c r="A344" s="365"/>
      <c r="B344" s="368"/>
      <c r="C344" s="9"/>
      <c r="D344" s="9"/>
      <c r="E344" s="64"/>
      <c r="F344" s="222"/>
      <c r="G344" s="222"/>
      <c r="H344" s="64">
        <f>SUM(H340:H343)</f>
        <v>11</v>
      </c>
      <c r="I344" s="74">
        <f>H344*I$6*I$5</f>
        <v>15.548500000000001</v>
      </c>
    </row>
    <row r="346" spans="1:16" x14ac:dyDescent="0.25">
      <c r="A346" s="363">
        <f>A340+1</f>
        <v>45571</v>
      </c>
      <c r="B346" s="366" t="s">
        <v>0</v>
      </c>
      <c r="C346" s="57" t="s">
        <v>72</v>
      </c>
      <c r="D346" s="7">
        <v>7</v>
      </c>
      <c r="E346" s="49">
        <v>10.5</v>
      </c>
      <c r="F346" s="48">
        <v>1</v>
      </c>
      <c r="G346" s="227">
        <f>6/7</f>
        <v>0.8571428571428571</v>
      </c>
      <c r="H346" s="49">
        <f>F346*D346*G346</f>
        <v>6</v>
      </c>
      <c r="I346" s="55"/>
      <c r="K346" s="369" t="s">
        <v>23</v>
      </c>
      <c r="L346" s="370"/>
      <c r="M346" s="370"/>
      <c r="N346" s="370"/>
      <c r="O346" s="371"/>
    </row>
    <row r="347" spans="1:16" x14ac:dyDescent="0.25">
      <c r="A347" s="364"/>
      <c r="B347" s="367"/>
      <c r="C347" s="21" t="s">
        <v>73</v>
      </c>
      <c r="D347">
        <v>1</v>
      </c>
      <c r="E347" s="17">
        <v>10.3</v>
      </c>
      <c r="F347" s="16">
        <v>1</v>
      </c>
      <c r="G347" s="228">
        <v>1</v>
      </c>
      <c r="H347" s="17">
        <f>F347*D347*G347</f>
        <v>1</v>
      </c>
      <c r="I347" s="72"/>
      <c r="K347" s="47" t="s">
        <v>27</v>
      </c>
      <c r="L347" s="47" t="s">
        <v>12</v>
      </c>
      <c r="M347" s="47" t="s">
        <v>87</v>
      </c>
      <c r="N347" s="47" t="s">
        <v>28</v>
      </c>
      <c r="O347" s="28" t="s">
        <v>86</v>
      </c>
      <c r="P347" s="17"/>
    </row>
    <row r="348" spans="1:16" x14ac:dyDescent="0.25">
      <c r="A348" s="364"/>
      <c r="B348" s="367"/>
      <c r="E348" s="17"/>
      <c r="F348" s="16">
        <v>1</v>
      </c>
      <c r="G348" s="228"/>
      <c r="H348" s="17">
        <f>F348*D348</f>
        <v>0</v>
      </c>
      <c r="I348" s="72"/>
      <c r="K348" s="3">
        <v>4</v>
      </c>
      <c r="L348" s="3"/>
      <c r="M348" s="3"/>
      <c r="N348" s="3"/>
      <c r="O348" s="3"/>
      <c r="P348" s="50" t="s">
        <v>50</v>
      </c>
    </row>
    <row r="349" spans="1:16" ht="16.5" thickBot="1" x14ac:dyDescent="0.3">
      <c r="A349" s="364"/>
      <c r="B349" s="367"/>
      <c r="C349" s="225" t="s">
        <v>47</v>
      </c>
      <c r="D349" s="223"/>
      <c r="E349" s="85"/>
      <c r="F349" s="224">
        <v>1</v>
      </c>
      <c r="G349" s="224"/>
      <c r="H349" s="85">
        <f>F349*D349</f>
        <v>0</v>
      </c>
      <c r="I349" s="86"/>
      <c r="K349" s="214">
        <f>K348/SUM(K348:O348)*I350</f>
        <v>9.8945000000000007</v>
      </c>
      <c r="L349" s="214">
        <f>L348/SUM(K348:O348)*$I350</f>
        <v>0</v>
      </c>
      <c r="M349" s="214">
        <f>M348/SUM(K348:O348)*$I350</f>
        <v>0</v>
      </c>
      <c r="N349" s="214">
        <f>N348/SUM(K348:O348)*$I350</f>
        <v>0</v>
      </c>
      <c r="O349" s="214">
        <f>O348/SUM(K348:O348)*$I350</f>
        <v>0</v>
      </c>
      <c r="P349" s="50" t="s">
        <v>90</v>
      </c>
    </row>
    <row r="350" spans="1:16" ht="16.5" thickTop="1" x14ac:dyDescent="0.25">
      <c r="A350" s="365"/>
      <c r="B350" s="368"/>
      <c r="C350" s="9"/>
      <c r="D350" s="9"/>
      <c r="E350" s="64"/>
      <c r="F350" s="222"/>
      <c r="G350" s="222"/>
      <c r="H350" s="64">
        <f>SUM(H346:H349)</f>
        <v>7</v>
      </c>
      <c r="I350" s="74">
        <f>H350*I$6*I$5</f>
        <v>9.8945000000000007</v>
      </c>
    </row>
    <row r="351" spans="1:16" x14ac:dyDescent="0.25">
      <c r="A351" s="73"/>
      <c r="B351" s="9"/>
      <c r="C351" s="9"/>
      <c r="D351" s="9"/>
      <c r="E351" s="9"/>
      <c r="F351" s="64"/>
      <c r="G351" s="17"/>
    </row>
    <row r="352" spans="1:16" x14ac:dyDescent="0.25">
      <c r="A352" s="363">
        <f>A346+1</f>
        <v>45572</v>
      </c>
      <c r="B352" s="366" t="s">
        <v>1</v>
      </c>
      <c r="C352" s="57" t="s">
        <v>72</v>
      </c>
      <c r="D352" s="7">
        <v>8</v>
      </c>
      <c r="E352" s="49">
        <v>8.5</v>
      </c>
      <c r="F352" s="48">
        <v>1</v>
      </c>
      <c r="G352" s="227">
        <v>1</v>
      </c>
      <c r="H352" s="49">
        <f>F352*D352*G352</f>
        <v>8</v>
      </c>
      <c r="I352" s="55"/>
      <c r="K352" s="369" t="s">
        <v>23</v>
      </c>
      <c r="L352" s="370"/>
      <c r="M352" s="370"/>
      <c r="N352" s="370"/>
      <c r="O352" s="371"/>
    </row>
    <row r="353" spans="1:16" x14ac:dyDescent="0.25">
      <c r="A353" s="364"/>
      <c r="B353" s="367"/>
      <c r="C353" s="21" t="s">
        <v>73</v>
      </c>
      <c r="D353">
        <v>0</v>
      </c>
      <c r="E353" s="17">
        <v>8.4</v>
      </c>
      <c r="F353" s="16">
        <v>1</v>
      </c>
      <c r="G353" s="228">
        <v>1</v>
      </c>
      <c r="H353" s="17">
        <f>F353*D353*G353</f>
        <v>0</v>
      </c>
      <c r="I353" s="72"/>
      <c r="K353" s="47" t="s">
        <v>27</v>
      </c>
      <c r="L353" s="47" t="s">
        <v>12</v>
      </c>
      <c r="M353" s="47" t="s">
        <v>87</v>
      </c>
      <c r="N353" s="47" t="s">
        <v>28</v>
      </c>
      <c r="O353" s="28" t="s">
        <v>86</v>
      </c>
      <c r="P353" s="17"/>
    </row>
    <row r="354" spans="1:16" x14ac:dyDescent="0.25">
      <c r="A354" s="364"/>
      <c r="B354" s="367"/>
      <c r="E354" s="17"/>
      <c r="F354" s="16">
        <v>1</v>
      </c>
      <c r="G354" s="228"/>
      <c r="H354" s="17">
        <f>F354*D354</f>
        <v>0</v>
      </c>
      <c r="I354" s="72"/>
      <c r="K354" s="3"/>
      <c r="L354" s="3"/>
      <c r="M354" s="3"/>
      <c r="N354" s="3"/>
      <c r="O354" s="3"/>
      <c r="P354" s="50" t="s">
        <v>50</v>
      </c>
    </row>
    <row r="355" spans="1:16" ht="16.5" thickBot="1" x14ac:dyDescent="0.3">
      <c r="A355" s="364"/>
      <c r="B355" s="367"/>
      <c r="C355" s="225" t="s">
        <v>47</v>
      </c>
      <c r="D355" s="223"/>
      <c r="E355" s="85"/>
      <c r="F355" s="224"/>
      <c r="G355" s="224"/>
      <c r="H355" s="85">
        <f>F355*D355</f>
        <v>0</v>
      </c>
      <c r="I355" s="86"/>
      <c r="K355" s="214" t="e">
        <f>K354/SUM(K354:O354)*I356</f>
        <v>#DIV/0!</v>
      </c>
      <c r="L355" s="214" t="e">
        <f>L354/SUM(K354:O354)*$I356</f>
        <v>#DIV/0!</v>
      </c>
      <c r="M355" s="214" t="e">
        <f>M354/SUM(K354:O354)*$I356</f>
        <v>#DIV/0!</v>
      </c>
      <c r="N355" s="214" t="e">
        <f>N354/SUM(K354:O354)*$I356</f>
        <v>#DIV/0!</v>
      </c>
      <c r="O355" s="214" t="e">
        <f>O354/SUM(K354:O354)*$I356</f>
        <v>#DIV/0!</v>
      </c>
      <c r="P355" s="50" t="s">
        <v>90</v>
      </c>
    </row>
    <row r="356" spans="1:16" ht="16.5" thickTop="1" x14ac:dyDescent="0.25">
      <c r="A356" s="365"/>
      <c r="B356" s="368"/>
      <c r="C356" s="9"/>
      <c r="D356" s="9"/>
      <c r="E356" s="64"/>
      <c r="F356" s="222"/>
      <c r="G356" s="222"/>
      <c r="H356" s="64">
        <f>SUM(H352:H355)</f>
        <v>8</v>
      </c>
      <c r="I356" s="74">
        <f>H356*I$6*I$5</f>
        <v>11.308</v>
      </c>
    </row>
    <row r="358" spans="1:16" x14ac:dyDescent="0.25">
      <c r="A358" s="363">
        <f>A352+1</f>
        <v>45573</v>
      </c>
      <c r="B358" s="366" t="s">
        <v>2</v>
      </c>
      <c r="C358" s="57" t="s">
        <v>72</v>
      </c>
      <c r="D358" s="7">
        <v>4</v>
      </c>
      <c r="E358" s="49">
        <v>8</v>
      </c>
      <c r="F358" s="48">
        <v>1</v>
      </c>
      <c r="G358" s="227">
        <v>1</v>
      </c>
      <c r="H358" s="49">
        <f>F358*D358*G358</f>
        <v>4</v>
      </c>
      <c r="I358" s="55"/>
      <c r="K358" s="369" t="s">
        <v>23</v>
      </c>
      <c r="L358" s="370"/>
      <c r="M358" s="370"/>
      <c r="N358" s="370"/>
      <c r="O358" s="371"/>
    </row>
    <row r="359" spans="1:16" x14ac:dyDescent="0.25">
      <c r="A359" s="364"/>
      <c r="B359" s="367"/>
      <c r="C359" s="21" t="s">
        <v>73</v>
      </c>
      <c r="D359">
        <v>0</v>
      </c>
      <c r="E359" s="17">
        <v>7.9</v>
      </c>
      <c r="F359" s="16">
        <v>1</v>
      </c>
      <c r="G359" s="228">
        <v>1</v>
      </c>
      <c r="H359" s="17">
        <f>F359*D359*G359</f>
        <v>0</v>
      </c>
      <c r="I359" s="72"/>
      <c r="K359" s="47" t="s">
        <v>27</v>
      </c>
      <c r="L359" s="47" t="s">
        <v>12</v>
      </c>
      <c r="M359" s="47" t="s">
        <v>87</v>
      </c>
      <c r="N359" s="47" t="s">
        <v>28</v>
      </c>
      <c r="O359" s="28" t="s">
        <v>86</v>
      </c>
      <c r="P359" s="17"/>
    </row>
    <row r="360" spans="1:16" x14ac:dyDescent="0.25">
      <c r="A360" s="364"/>
      <c r="B360" s="367"/>
      <c r="E360" s="17"/>
      <c r="F360" s="16">
        <v>1</v>
      </c>
      <c r="G360" s="228"/>
      <c r="H360" s="17">
        <f>F360*D360</f>
        <v>0</v>
      </c>
      <c r="I360" s="72"/>
      <c r="K360" s="3">
        <v>4</v>
      </c>
      <c r="L360" s="3"/>
      <c r="M360" s="3"/>
      <c r="N360" s="3"/>
      <c r="O360" s="3"/>
      <c r="P360" s="50" t="s">
        <v>50</v>
      </c>
    </row>
    <row r="361" spans="1:16" ht="16.5" thickBot="1" x14ac:dyDescent="0.3">
      <c r="A361" s="364"/>
      <c r="B361" s="367"/>
      <c r="C361" s="225" t="s">
        <v>47</v>
      </c>
      <c r="D361" s="223"/>
      <c r="E361" s="85"/>
      <c r="F361" s="224">
        <v>1</v>
      </c>
      <c r="G361" s="224"/>
      <c r="H361" s="85">
        <f>F361*D361</f>
        <v>0</v>
      </c>
      <c r="I361" s="86"/>
      <c r="K361" s="214">
        <f>K360/SUM(K360:O360)*I362</f>
        <v>5.6539999999999999</v>
      </c>
      <c r="L361" s="214">
        <f>L360/SUM(K360:O360)*$I362</f>
        <v>0</v>
      </c>
      <c r="M361" s="214">
        <f>M360/SUM(K360:O360)*$I362</f>
        <v>0</v>
      </c>
      <c r="N361" s="214">
        <f>N360/SUM(K360:O360)*$I362</f>
        <v>0</v>
      </c>
      <c r="O361" s="214">
        <f>O360/SUM(K360:O360)*$I362</f>
        <v>0</v>
      </c>
      <c r="P361" s="50" t="s">
        <v>90</v>
      </c>
    </row>
    <row r="362" spans="1:16" ht="16.5" thickTop="1" x14ac:dyDescent="0.25">
      <c r="A362" s="365"/>
      <c r="B362" s="368"/>
      <c r="C362" s="9"/>
      <c r="D362" s="9"/>
      <c r="E362" s="64"/>
      <c r="F362" s="222"/>
      <c r="G362" s="222"/>
      <c r="H362" s="64">
        <f>SUM(H358:H361)</f>
        <v>4</v>
      </c>
      <c r="I362" s="74">
        <f>H362*I$6*I$5</f>
        <v>5.6539999999999999</v>
      </c>
    </row>
    <row r="364" spans="1:16" x14ac:dyDescent="0.25">
      <c r="A364" s="363">
        <f>A358+1</f>
        <v>45574</v>
      </c>
      <c r="B364" s="366" t="s">
        <v>3</v>
      </c>
      <c r="C364" s="57" t="s">
        <v>72</v>
      </c>
      <c r="D364" s="7">
        <v>1</v>
      </c>
      <c r="E364" s="49">
        <v>8.4</v>
      </c>
      <c r="F364" s="48">
        <v>1</v>
      </c>
      <c r="G364" s="227">
        <v>1</v>
      </c>
      <c r="H364" s="49">
        <f>F364*D364*G364</f>
        <v>1</v>
      </c>
      <c r="I364" s="55"/>
      <c r="K364" s="369" t="s">
        <v>23</v>
      </c>
      <c r="L364" s="370"/>
      <c r="M364" s="370"/>
      <c r="N364" s="370"/>
      <c r="O364" s="371"/>
    </row>
    <row r="365" spans="1:16" x14ac:dyDescent="0.25">
      <c r="A365" s="364"/>
      <c r="B365" s="367"/>
      <c r="C365" s="21" t="s">
        <v>73</v>
      </c>
      <c r="D365">
        <v>1</v>
      </c>
      <c r="E365" s="17">
        <v>8.3000000000000007</v>
      </c>
      <c r="F365" s="16">
        <v>1</v>
      </c>
      <c r="G365" s="228">
        <v>1</v>
      </c>
      <c r="H365" s="17">
        <f>F365*D365*G365</f>
        <v>1</v>
      </c>
      <c r="I365" s="72"/>
      <c r="K365" s="47" t="s">
        <v>27</v>
      </c>
      <c r="L365" s="47" t="s">
        <v>12</v>
      </c>
      <c r="M365" s="47" t="s">
        <v>87</v>
      </c>
      <c r="N365" s="47" t="s">
        <v>28</v>
      </c>
      <c r="O365" s="28" t="s">
        <v>86</v>
      </c>
      <c r="P365" s="17"/>
    </row>
    <row r="366" spans="1:16" x14ac:dyDescent="0.25">
      <c r="A366" s="364"/>
      <c r="B366" s="367"/>
      <c r="E366" s="17"/>
      <c r="F366" s="16">
        <v>1</v>
      </c>
      <c r="G366" s="228"/>
      <c r="H366" s="17">
        <f>F366*D366</f>
        <v>0</v>
      </c>
      <c r="I366" s="72"/>
      <c r="K366" s="3"/>
      <c r="L366" s="3"/>
      <c r="M366" s="3"/>
      <c r="N366" s="3"/>
      <c r="O366" s="3"/>
      <c r="P366" s="50" t="s">
        <v>50</v>
      </c>
    </row>
    <row r="367" spans="1:16" ht="16.5" thickBot="1" x14ac:dyDescent="0.3">
      <c r="A367" s="364"/>
      <c r="B367" s="367"/>
      <c r="C367" s="225" t="s">
        <v>47</v>
      </c>
      <c r="D367" s="223"/>
      <c r="E367" s="85"/>
      <c r="F367" s="224">
        <v>1</v>
      </c>
      <c r="G367" s="224"/>
      <c r="H367" s="85">
        <f>F367*D367</f>
        <v>0</v>
      </c>
      <c r="I367" s="86"/>
      <c r="K367" s="214" t="e">
        <f>K366/SUM(K366:O366)*I368</f>
        <v>#DIV/0!</v>
      </c>
      <c r="L367" s="214" t="e">
        <f>L366/SUM(K366:O366)*$I368</f>
        <v>#DIV/0!</v>
      </c>
      <c r="M367" s="214" t="e">
        <f>M366/SUM(K366:O366)*$I368</f>
        <v>#DIV/0!</v>
      </c>
      <c r="N367" s="214" t="e">
        <f>N366/SUM(K366:O366)*$I368</f>
        <v>#DIV/0!</v>
      </c>
      <c r="O367" s="214" t="e">
        <f>O366/SUM(K366:O366)*$I368</f>
        <v>#DIV/0!</v>
      </c>
      <c r="P367" s="50" t="s">
        <v>90</v>
      </c>
    </row>
    <row r="368" spans="1:16" ht="16.5" thickTop="1" x14ac:dyDescent="0.25">
      <c r="A368" s="365"/>
      <c r="B368" s="368"/>
      <c r="C368" s="9"/>
      <c r="D368" s="9"/>
      <c r="E368" s="64"/>
      <c r="F368" s="222"/>
      <c r="G368" s="222"/>
      <c r="H368" s="64">
        <f>SUM(H364:H367)</f>
        <v>2</v>
      </c>
      <c r="I368" s="74">
        <f>H368*I$6*I$5</f>
        <v>2.827</v>
      </c>
    </row>
    <row r="370" spans="1:16" x14ac:dyDescent="0.25">
      <c r="A370" s="363">
        <f>A364+1</f>
        <v>45575</v>
      </c>
      <c r="B370" s="366" t="s">
        <v>4</v>
      </c>
      <c r="C370" s="57" t="s">
        <v>72</v>
      </c>
      <c r="D370" s="7"/>
      <c r="E370" s="49"/>
      <c r="F370" s="48">
        <v>1</v>
      </c>
      <c r="G370" s="227">
        <v>1</v>
      </c>
      <c r="H370" s="49">
        <f>F370*D370*G370</f>
        <v>0</v>
      </c>
      <c r="I370" s="55"/>
      <c r="K370" s="369" t="s">
        <v>23</v>
      </c>
      <c r="L370" s="370"/>
      <c r="M370" s="370"/>
      <c r="N370" s="370"/>
      <c r="O370" s="371"/>
    </row>
    <row r="371" spans="1:16" x14ac:dyDescent="0.25">
      <c r="A371" s="364"/>
      <c r="B371" s="367"/>
      <c r="C371" s="21" t="s">
        <v>73</v>
      </c>
      <c r="E371" s="17"/>
      <c r="F371" s="16">
        <v>1</v>
      </c>
      <c r="G371" s="228">
        <v>1</v>
      </c>
      <c r="H371" s="17">
        <f>F371*D371*G371</f>
        <v>0</v>
      </c>
      <c r="I371" s="72"/>
      <c r="K371" s="47" t="s">
        <v>27</v>
      </c>
      <c r="L371" s="47" t="s">
        <v>12</v>
      </c>
      <c r="M371" s="47" t="s">
        <v>87</v>
      </c>
      <c r="N371" s="47" t="s">
        <v>28</v>
      </c>
      <c r="O371" s="28" t="s">
        <v>86</v>
      </c>
      <c r="P371" s="17"/>
    </row>
    <row r="372" spans="1:16" x14ac:dyDescent="0.25">
      <c r="A372" s="364"/>
      <c r="B372" s="367"/>
      <c r="E372" s="17"/>
      <c r="F372" s="16">
        <v>1</v>
      </c>
      <c r="G372" s="228"/>
      <c r="H372" s="17">
        <f>F372*D372</f>
        <v>0</v>
      </c>
      <c r="I372" s="72"/>
      <c r="K372" s="3">
        <v>15</v>
      </c>
      <c r="L372" s="3"/>
      <c r="M372" s="3"/>
      <c r="N372" s="3"/>
      <c r="O372" s="3"/>
      <c r="P372" s="50" t="s">
        <v>50</v>
      </c>
    </row>
    <row r="373" spans="1:16" ht="16.5" thickBot="1" x14ac:dyDescent="0.3">
      <c r="A373" s="364"/>
      <c r="B373" s="367"/>
      <c r="C373" s="225" t="s">
        <v>47</v>
      </c>
      <c r="D373" s="223"/>
      <c r="E373" s="85"/>
      <c r="F373" s="224"/>
      <c r="G373" s="224"/>
      <c r="H373" s="85">
        <f>F373*D373</f>
        <v>0</v>
      </c>
      <c r="I373" s="86"/>
      <c r="K373" s="214">
        <f>K372/SUM(K372:O372)*I374</f>
        <v>0</v>
      </c>
      <c r="L373" s="214">
        <f>L372/SUM(K372:O372)*$I374</f>
        <v>0</v>
      </c>
      <c r="M373" s="214">
        <f>M372/SUM(K372:O372)*$I374</f>
        <v>0</v>
      </c>
      <c r="N373" s="214">
        <f>N372/SUM(K372:O372)*$I374</f>
        <v>0</v>
      </c>
      <c r="O373" s="214">
        <f>O372/SUM(K372:O372)*$I374</f>
        <v>0</v>
      </c>
      <c r="P373" s="50" t="s">
        <v>90</v>
      </c>
    </row>
    <row r="374" spans="1:16" ht="16.5" thickTop="1" x14ac:dyDescent="0.25">
      <c r="A374" s="365"/>
      <c r="B374" s="368"/>
      <c r="C374" s="9"/>
      <c r="D374" s="9"/>
      <c r="E374" s="64"/>
      <c r="F374" s="222"/>
      <c r="G374" s="222"/>
      <c r="H374" s="64">
        <f>SUM(H370:H373)</f>
        <v>0</v>
      </c>
      <c r="I374" s="74">
        <f>H374*I$6*I$5</f>
        <v>0</v>
      </c>
    </row>
    <row r="376" spans="1:16" x14ac:dyDescent="0.25">
      <c r="A376" s="363">
        <f>A370+1</f>
        <v>45576</v>
      </c>
      <c r="B376" s="366" t="s">
        <v>5</v>
      </c>
      <c r="C376" s="57" t="s">
        <v>72</v>
      </c>
      <c r="D376" s="7"/>
      <c r="E376" s="49"/>
      <c r="F376" s="48">
        <v>1</v>
      </c>
      <c r="G376" s="227">
        <f>9/10</f>
        <v>0.9</v>
      </c>
      <c r="H376" s="49">
        <f>F376*D376*G376</f>
        <v>0</v>
      </c>
      <c r="I376" s="55"/>
      <c r="K376" s="369" t="s">
        <v>23</v>
      </c>
      <c r="L376" s="370"/>
      <c r="M376" s="370"/>
      <c r="N376" s="370"/>
      <c r="O376" s="371"/>
    </row>
    <row r="377" spans="1:16" x14ac:dyDescent="0.25">
      <c r="A377" s="364"/>
      <c r="B377" s="367"/>
      <c r="C377" s="21" t="s">
        <v>73</v>
      </c>
      <c r="E377" s="17"/>
      <c r="F377" s="16">
        <v>1</v>
      </c>
      <c r="G377" s="228">
        <f>9/10</f>
        <v>0.9</v>
      </c>
      <c r="H377" s="17">
        <f>F377*D377*G377</f>
        <v>0</v>
      </c>
      <c r="I377" s="72"/>
      <c r="K377" s="47" t="s">
        <v>27</v>
      </c>
      <c r="L377" s="47" t="s">
        <v>12</v>
      </c>
      <c r="M377" s="47" t="s">
        <v>87</v>
      </c>
      <c r="N377" s="47" t="s">
        <v>28</v>
      </c>
      <c r="O377" s="28" t="s">
        <v>86</v>
      </c>
      <c r="P377" s="17"/>
    </row>
    <row r="378" spans="1:16" x14ac:dyDescent="0.25">
      <c r="A378" s="364"/>
      <c r="B378" s="367"/>
      <c r="E378" s="17"/>
      <c r="F378" s="16">
        <v>1</v>
      </c>
      <c r="G378" s="228"/>
      <c r="H378" s="17">
        <f>F378*D378</f>
        <v>0</v>
      </c>
      <c r="I378" s="72"/>
      <c r="K378" s="3"/>
      <c r="L378" s="3">
        <v>2</v>
      </c>
      <c r="M378" s="3">
        <v>7</v>
      </c>
      <c r="N378" s="3"/>
      <c r="O378" s="3"/>
      <c r="P378" s="50" t="s">
        <v>50</v>
      </c>
    </row>
    <row r="379" spans="1:16" ht="16.5" thickBot="1" x14ac:dyDescent="0.3">
      <c r="A379" s="364"/>
      <c r="B379" s="367"/>
      <c r="C379" s="225" t="s">
        <v>47</v>
      </c>
      <c r="D379" s="223"/>
      <c r="E379" s="85"/>
      <c r="F379" s="224"/>
      <c r="G379" s="224"/>
      <c r="H379" s="85">
        <f>F379*D379</f>
        <v>0</v>
      </c>
      <c r="I379" s="86"/>
      <c r="K379" s="214">
        <f>K378/SUM(K378:O378)*I380</f>
        <v>0</v>
      </c>
      <c r="L379" s="214">
        <f>L378/SUM(K378:O378)*$I380</f>
        <v>0</v>
      </c>
      <c r="M379" s="214">
        <f>M378/SUM(K378:O378)*$I380</f>
        <v>0</v>
      </c>
      <c r="N379" s="214">
        <f>N378/SUM(K378:O378)*$I380</f>
        <v>0</v>
      </c>
      <c r="O379" s="214">
        <f>O378/SUM(K378:O378)*$I380</f>
        <v>0</v>
      </c>
      <c r="P379" s="50" t="s">
        <v>90</v>
      </c>
    </row>
    <row r="380" spans="1:16" ht="16.5" thickTop="1" x14ac:dyDescent="0.25">
      <c r="A380" s="365"/>
      <c r="B380" s="368"/>
      <c r="C380" s="9"/>
      <c r="D380" s="9"/>
      <c r="E380" s="64"/>
      <c r="F380" s="222"/>
      <c r="G380" s="222"/>
      <c r="H380" s="64">
        <f>SUM(H376:H379)</f>
        <v>0</v>
      </c>
      <c r="I380" s="74">
        <f>H380*I$6*I$5</f>
        <v>0</v>
      </c>
    </row>
    <row r="382" spans="1:16" x14ac:dyDescent="0.25">
      <c r="A382" s="363">
        <f>A376+1</f>
        <v>45577</v>
      </c>
      <c r="B382" s="366" t="s">
        <v>6</v>
      </c>
      <c r="C382" s="57" t="s">
        <v>72</v>
      </c>
      <c r="D382" s="7">
        <v>5</v>
      </c>
      <c r="E382" s="49">
        <v>10.199999999999999</v>
      </c>
      <c r="F382" s="48">
        <v>1</v>
      </c>
      <c r="G382" s="227">
        <f>4/5</f>
        <v>0.8</v>
      </c>
      <c r="H382" s="49">
        <f>F382*D382*G382</f>
        <v>4</v>
      </c>
      <c r="I382" s="55"/>
      <c r="K382" s="369" t="s">
        <v>23</v>
      </c>
      <c r="L382" s="370"/>
      <c r="M382" s="370"/>
      <c r="N382" s="370"/>
      <c r="O382" s="371"/>
    </row>
    <row r="383" spans="1:16" x14ac:dyDescent="0.25">
      <c r="A383" s="364"/>
      <c r="B383" s="367"/>
      <c r="C383" s="21" t="s">
        <v>73</v>
      </c>
      <c r="D383">
        <v>2</v>
      </c>
      <c r="E383" s="17">
        <v>9.9</v>
      </c>
      <c r="F383" s="16">
        <v>1</v>
      </c>
      <c r="G383" s="228">
        <v>0.8</v>
      </c>
      <c r="H383" s="17">
        <f>F383*D383*G383</f>
        <v>1.6</v>
      </c>
      <c r="I383" s="72"/>
      <c r="K383" s="47" t="s">
        <v>27</v>
      </c>
      <c r="L383" s="47" t="s">
        <v>12</v>
      </c>
      <c r="M383" s="47" t="s">
        <v>87</v>
      </c>
      <c r="N383" s="47" t="s">
        <v>28</v>
      </c>
      <c r="O383" s="28" t="s">
        <v>86</v>
      </c>
      <c r="P383" s="17"/>
    </row>
    <row r="384" spans="1:16" x14ac:dyDescent="0.25">
      <c r="A384" s="364"/>
      <c r="B384" s="367"/>
      <c r="E384" s="17"/>
      <c r="F384" s="16">
        <v>1</v>
      </c>
      <c r="G384" s="228"/>
      <c r="H384" s="17">
        <f>F384*D384</f>
        <v>0</v>
      </c>
      <c r="I384" s="72"/>
      <c r="K384" s="3"/>
      <c r="L384" s="3"/>
      <c r="M384" s="3"/>
      <c r="N384" s="3"/>
      <c r="O384" s="3"/>
      <c r="P384" s="50" t="s">
        <v>50</v>
      </c>
    </row>
    <row r="385" spans="1:16" ht="16.5" thickBot="1" x14ac:dyDescent="0.3">
      <c r="A385" s="364"/>
      <c r="B385" s="367"/>
      <c r="C385" s="225" t="s">
        <v>47</v>
      </c>
      <c r="D385" s="223"/>
      <c r="E385" s="85"/>
      <c r="F385" s="224"/>
      <c r="G385" s="224"/>
      <c r="H385" s="85">
        <f>F385*D385</f>
        <v>0</v>
      </c>
      <c r="I385" s="86"/>
      <c r="K385" s="214" t="e">
        <f>K384/SUM(K384:O384)*I386</f>
        <v>#DIV/0!</v>
      </c>
      <c r="L385" s="214" t="e">
        <f>L384/SUM(K384:O384)*$I386</f>
        <v>#DIV/0!</v>
      </c>
      <c r="M385" s="214" t="e">
        <f>M384/SUM(K384:O384)*$I386</f>
        <v>#DIV/0!</v>
      </c>
      <c r="N385" s="214" t="e">
        <f>N384/SUM(K384:O384)*$I386</f>
        <v>#DIV/0!</v>
      </c>
      <c r="O385" s="214" t="e">
        <f>O384/SUM(K384:O384)*$I386</f>
        <v>#DIV/0!</v>
      </c>
      <c r="P385" s="50" t="s">
        <v>90</v>
      </c>
    </row>
    <row r="386" spans="1:16" ht="16.5" thickTop="1" x14ac:dyDescent="0.25">
      <c r="A386" s="365"/>
      <c r="B386" s="368"/>
      <c r="C386" s="9"/>
      <c r="D386" s="9"/>
      <c r="E386" s="64"/>
      <c r="F386" s="222"/>
      <c r="G386" s="222"/>
      <c r="H386" s="64">
        <f>SUM(H382:H385)</f>
        <v>5.6</v>
      </c>
      <c r="I386" s="74">
        <f>H386*I$6*I$5</f>
        <v>7.9155999999999995</v>
      </c>
    </row>
    <row r="388" spans="1:16" x14ac:dyDescent="0.25">
      <c r="A388" s="363">
        <f>A382+1</f>
        <v>45578</v>
      </c>
      <c r="B388" s="366" t="s">
        <v>0</v>
      </c>
      <c r="C388" s="57" t="s">
        <v>72</v>
      </c>
      <c r="D388" s="7">
        <v>8</v>
      </c>
      <c r="E388" s="49">
        <v>8.5</v>
      </c>
      <c r="F388" s="48">
        <v>1</v>
      </c>
      <c r="G388" s="227">
        <f>7/8</f>
        <v>0.875</v>
      </c>
      <c r="H388" s="49">
        <f>F388*D388*G388</f>
        <v>7</v>
      </c>
      <c r="I388" s="55"/>
      <c r="K388" s="369" t="s">
        <v>23</v>
      </c>
      <c r="L388" s="370"/>
      <c r="M388" s="370"/>
      <c r="N388" s="370"/>
      <c r="O388" s="371"/>
    </row>
    <row r="389" spans="1:16" x14ac:dyDescent="0.25">
      <c r="A389" s="364"/>
      <c r="B389" s="367"/>
      <c r="C389" s="21" t="s">
        <v>73</v>
      </c>
      <c r="D389">
        <v>0</v>
      </c>
      <c r="E389" s="17">
        <v>8.3000000000000007</v>
      </c>
      <c r="F389" s="16">
        <v>1</v>
      </c>
      <c r="G389" s="228">
        <v>0.88</v>
      </c>
      <c r="H389" s="17">
        <f>F389*D389*G389</f>
        <v>0</v>
      </c>
      <c r="I389" s="72"/>
      <c r="K389" s="47" t="s">
        <v>27</v>
      </c>
      <c r="L389" s="47" t="s">
        <v>12</v>
      </c>
      <c r="M389" s="47" t="s">
        <v>87</v>
      </c>
      <c r="N389" s="47" t="s">
        <v>28</v>
      </c>
      <c r="O389" s="28" t="s">
        <v>86</v>
      </c>
      <c r="P389" s="17"/>
    </row>
    <row r="390" spans="1:16" x14ac:dyDescent="0.25">
      <c r="A390" s="364"/>
      <c r="B390" s="367"/>
      <c r="E390" s="17"/>
      <c r="F390" s="16">
        <v>1</v>
      </c>
      <c r="G390" s="228"/>
      <c r="H390" s="17">
        <f>F390*D390</f>
        <v>0</v>
      </c>
      <c r="I390" s="72"/>
      <c r="K390" s="3"/>
      <c r="L390" s="3"/>
      <c r="M390" s="3"/>
      <c r="N390" s="3"/>
      <c r="O390" s="3"/>
      <c r="P390" s="50" t="s">
        <v>50</v>
      </c>
    </row>
    <row r="391" spans="1:16" ht="16.5" thickBot="1" x14ac:dyDescent="0.3">
      <c r="A391" s="364"/>
      <c r="B391" s="367"/>
      <c r="C391" s="225" t="s">
        <v>47</v>
      </c>
      <c r="D391" s="223"/>
      <c r="E391" s="85"/>
      <c r="F391" s="224"/>
      <c r="G391" s="224"/>
      <c r="H391" s="85">
        <f>F391*D391</f>
        <v>0</v>
      </c>
      <c r="I391" s="86"/>
      <c r="K391" s="214" t="e">
        <f>K390/SUM(K390:O390)*I392</f>
        <v>#DIV/0!</v>
      </c>
      <c r="L391" s="214" t="e">
        <f>L390/SUM(K390:O390)*$I392</f>
        <v>#DIV/0!</v>
      </c>
      <c r="M391" s="214" t="e">
        <f>M390/SUM(K390:O390)*$I392</f>
        <v>#DIV/0!</v>
      </c>
      <c r="N391" s="214" t="e">
        <f>N390/SUM(K390:O390)*$I392</f>
        <v>#DIV/0!</v>
      </c>
      <c r="O391" s="214" t="e">
        <f>O390/SUM(K390:O390)*$I392</f>
        <v>#DIV/0!</v>
      </c>
      <c r="P391" s="50" t="s">
        <v>90</v>
      </c>
    </row>
    <row r="392" spans="1:16" ht="16.5" thickTop="1" x14ac:dyDescent="0.25">
      <c r="A392" s="365"/>
      <c r="B392" s="368"/>
      <c r="C392" s="9"/>
      <c r="D392" s="9"/>
      <c r="E392" s="64"/>
      <c r="F392" s="222"/>
      <c r="G392" s="222"/>
      <c r="H392" s="64">
        <f>SUM(H388:H391)</f>
        <v>7</v>
      </c>
      <c r="I392" s="74">
        <f>H392*I$6*I$5</f>
        <v>9.8945000000000007</v>
      </c>
    </row>
    <row r="393" spans="1:16" x14ac:dyDescent="0.25">
      <c r="A393" s="73"/>
      <c r="B393" s="9"/>
      <c r="C393" s="9"/>
      <c r="D393" s="9"/>
      <c r="E393" s="9"/>
      <c r="F393" s="64"/>
      <c r="G393" s="17"/>
    </row>
    <row r="394" spans="1:16" x14ac:dyDescent="0.25">
      <c r="A394" s="363">
        <f>A388+1</f>
        <v>45579</v>
      </c>
      <c r="B394" s="366" t="s">
        <v>1</v>
      </c>
      <c r="C394" s="57" t="s">
        <v>72</v>
      </c>
      <c r="D394" s="350">
        <v>6</v>
      </c>
      <c r="E394" s="354"/>
      <c r="F394" s="48">
        <v>1</v>
      </c>
      <c r="G394" s="227">
        <v>1</v>
      </c>
      <c r="H394" s="49">
        <f>F394*D394*G394</f>
        <v>6</v>
      </c>
      <c r="I394" s="55"/>
      <c r="K394" s="369" t="s">
        <v>23</v>
      </c>
      <c r="L394" s="370"/>
      <c r="M394" s="370"/>
      <c r="N394" s="370"/>
      <c r="O394" s="371"/>
    </row>
    <row r="395" spans="1:16" x14ac:dyDescent="0.25">
      <c r="A395" s="364"/>
      <c r="B395" s="367"/>
      <c r="C395" s="21" t="s">
        <v>73</v>
      </c>
      <c r="D395" s="315">
        <v>0</v>
      </c>
      <c r="E395" s="355"/>
      <c r="F395" s="16">
        <v>1</v>
      </c>
      <c r="G395" s="228">
        <v>1</v>
      </c>
      <c r="H395" s="49">
        <f t="shared" ref="H395:H397" si="3">F395*D395*G395</f>
        <v>0</v>
      </c>
      <c r="I395" s="72"/>
      <c r="K395" s="47" t="s">
        <v>27</v>
      </c>
      <c r="L395" s="47" t="s">
        <v>12</v>
      </c>
      <c r="M395" s="47" t="s">
        <v>87</v>
      </c>
      <c r="N395" s="47" t="s">
        <v>28</v>
      </c>
      <c r="O395" s="28" t="s">
        <v>86</v>
      </c>
      <c r="P395" s="17"/>
    </row>
    <row r="396" spans="1:16" x14ac:dyDescent="0.25">
      <c r="A396" s="364"/>
      <c r="B396" s="367"/>
      <c r="E396" s="17"/>
      <c r="F396" s="16">
        <v>1</v>
      </c>
      <c r="G396" s="228"/>
      <c r="H396" s="49">
        <f t="shared" si="3"/>
        <v>0</v>
      </c>
      <c r="I396" s="72"/>
      <c r="K396" s="3"/>
      <c r="L396" s="3"/>
      <c r="M396" s="3"/>
      <c r="N396" s="3"/>
      <c r="O396" s="3"/>
      <c r="P396" s="50" t="s">
        <v>50</v>
      </c>
    </row>
    <row r="397" spans="1:16" ht="16.5" thickBot="1" x14ac:dyDescent="0.3">
      <c r="A397" s="364"/>
      <c r="B397" s="367"/>
      <c r="C397" s="225" t="s">
        <v>47</v>
      </c>
      <c r="D397" s="223"/>
      <c r="E397" s="85"/>
      <c r="F397" s="224"/>
      <c r="G397" s="224"/>
      <c r="H397" s="49">
        <f t="shared" si="3"/>
        <v>0</v>
      </c>
      <c r="I397" s="86"/>
      <c r="K397" s="214" t="e">
        <f>K396/SUM(K396:O396)*I398</f>
        <v>#DIV/0!</v>
      </c>
      <c r="L397" s="214" t="e">
        <f>L396/SUM(K396:O396)*$I398</f>
        <v>#DIV/0!</v>
      </c>
      <c r="M397" s="214" t="e">
        <f>M396/SUM(K396:O396)*$I398</f>
        <v>#DIV/0!</v>
      </c>
      <c r="N397" s="214" t="e">
        <f>N396/SUM(K396:O396)*$I398</f>
        <v>#DIV/0!</v>
      </c>
      <c r="O397" s="214" t="e">
        <f>O396/SUM(K396:O396)*$I398</f>
        <v>#DIV/0!</v>
      </c>
      <c r="P397" s="50" t="s">
        <v>90</v>
      </c>
    </row>
    <row r="398" spans="1:16" ht="16.5" thickTop="1" x14ac:dyDescent="0.25">
      <c r="A398" s="365"/>
      <c r="B398" s="368"/>
      <c r="C398" s="9"/>
      <c r="D398" s="9"/>
      <c r="E398" s="64"/>
      <c r="F398" s="222"/>
      <c r="G398" s="222"/>
      <c r="H398" s="64">
        <f>SUM(H394:H397)</f>
        <v>6</v>
      </c>
      <c r="I398" s="74">
        <f>H398*I$6*I$5</f>
        <v>8.4809999999999999</v>
      </c>
    </row>
    <row r="400" spans="1:16" x14ac:dyDescent="0.25">
      <c r="A400" s="363">
        <f>A394+1</f>
        <v>45580</v>
      </c>
      <c r="B400" s="366" t="s">
        <v>25</v>
      </c>
      <c r="C400" s="57" t="s">
        <v>72</v>
      </c>
      <c r="D400" s="7"/>
      <c r="E400" s="49"/>
      <c r="F400" s="48">
        <v>1</v>
      </c>
      <c r="G400" s="227">
        <v>1</v>
      </c>
      <c r="H400" s="49">
        <f>F400*D400*G400</f>
        <v>0</v>
      </c>
      <c r="I400" s="55"/>
      <c r="K400" s="369" t="s">
        <v>23</v>
      </c>
      <c r="L400" s="370"/>
      <c r="M400" s="370"/>
      <c r="N400" s="370"/>
      <c r="O400" s="371"/>
    </row>
    <row r="401" spans="1:16" x14ac:dyDescent="0.25">
      <c r="A401" s="364"/>
      <c r="B401" s="367"/>
      <c r="C401" s="21" t="s">
        <v>73</v>
      </c>
      <c r="E401" s="17"/>
      <c r="F401" s="16">
        <v>1</v>
      </c>
      <c r="G401" s="228">
        <v>1</v>
      </c>
      <c r="H401" s="17">
        <f>F401*D401*G401</f>
        <v>0</v>
      </c>
      <c r="I401" s="72"/>
      <c r="K401" s="47" t="s">
        <v>27</v>
      </c>
      <c r="L401" s="47" t="s">
        <v>12</v>
      </c>
      <c r="M401" s="47" t="s">
        <v>87</v>
      </c>
      <c r="N401" s="47" t="s">
        <v>28</v>
      </c>
      <c r="O401" s="28" t="s">
        <v>86</v>
      </c>
      <c r="P401" s="17"/>
    </row>
    <row r="402" spans="1:16" x14ac:dyDescent="0.25">
      <c r="A402" s="364"/>
      <c r="B402" s="367"/>
      <c r="E402" s="17"/>
      <c r="F402" s="16">
        <v>1</v>
      </c>
      <c r="G402" s="228"/>
      <c r="H402" s="17">
        <f>F402*D402</f>
        <v>0</v>
      </c>
      <c r="I402" s="72"/>
      <c r="K402" s="3"/>
      <c r="L402" s="3"/>
      <c r="M402" s="3"/>
      <c r="N402" s="3"/>
      <c r="O402" s="3"/>
      <c r="P402" s="50" t="s">
        <v>50</v>
      </c>
    </row>
    <row r="403" spans="1:16" ht="16.5" thickBot="1" x14ac:dyDescent="0.3">
      <c r="A403" s="364"/>
      <c r="B403" s="367"/>
      <c r="C403" s="225" t="s">
        <v>47</v>
      </c>
      <c r="D403" s="223"/>
      <c r="E403" s="85"/>
      <c r="F403" s="224">
        <v>1</v>
      </c>
      <c r="G403" s="224"/>
      <c r="H403" s="85">
        <f>F403*D403</f>
        <v>0</v>
      </c>
      <c r="I403" s="86"/>
      <c r="K403" s="214" t="e">
        <f>K402/SUM(K402:O402)*I404</f>
        <v>#DIV/0!</v>
      </c>
      <c r="L403" s="214" t="e">
        <f>L402/SUM(K402:O402)*$I404</f>
        <v>#DIV/0!</v>
      </c>
      <c r="M403" s="214" t="e">
        <f>M402/SUM(K402:O402)*$I404</f>
        <v>#DIV/0!</v>
      </c>
      <c r="N403" s="214" t="e">
        <f>N402/SUM(K402:O402)*$I404</f>
        <v>#DIV/0!</v>
      </c>
      <c r="O403" s="214" t="e">
        <f>O402/SUM(K402:O402)*$I404</f>
        <v>#DIV/0!</v>
      </c>
      <c r="P403" s="50" t="s">
        <v>90</v>
      </c>
    </row>
    <row r="404" spans="1:16" ht="16.5" thickTop="1" x14ac:dyDescent="0.25">
      <c r="A404" s="365"/>
      <c r="B404" s="368"/>
      <c r="C404" s="9"/>
      <c r="D404" s="9"/>
      <c r="E404" s="64"/>
      <c r="F404" s="222"/>
      <c r="G404" s="222"/>
      <c r="H404" s="64">
        <f>SUM(H400:H403)</f>
        <v>0</v>
      </c>
      <c r="I404" s="74">
        <f>H404*I$6*I$5</f>
        <v>0</v>
      </c>
    </row>
    <row r="406" spans="1:16" x14ac:dyDescent="0.25">
      <c r="A406" s="363">
        <f>A400+1</f>
        <v>45581</v>
      </c>
      <c r="B406" s="366" t="s">
        <v>3</v>
      </c>
      <c r="C406" s="57" t="s">
        <v>72</v>
      </c>
      <c r="D406" s="350">
        <v>6</v>
      </c>
      <c r="E406" s="354"/>
      <c r="F406" s="48">
        <v>1</v>
      </c>
      <c r="G406" s="227">
        <v>1</v>
      </c>
      <c r="H406" s="49">
        <f>F406*D406*G406</f>
        <v>6</v>
      </c>
      <c r="I406" s="55"/>
      <c r="K406" s="369" t="s">
        <v>23</v>
      </c>
      <c r="L406" s="370"/>
      <c r="M406" s="370"/>
      <c r="N406" s="370"/>
      <c r="O406" s="371"/>
    </row>
    <row r="407" spans="1:16" x14ac:dyDescent="0.25">
      <c r="A407" s="364"/>
      <c r="B407" s="367"/>
      <c r="C407" s="21" t="s">
        <v>73</v>
      </c>
      <c r="D407" s="315">
        <v>0</v>
      </c>
      <c r="E407" s="355"/>
      <c r="F407" s="16">
        <v>1</v>
      </c>
      <c r="G407" s="228">
        <v>1</v>
      </c>
      <c r="H407" s="17">
        <f>F407*D407*G407</f>
        <v>0</v>
      </c>
      <c r="I407" s="72"/>
      <c r="K407" s="47" t="s">
        <v>27</v>
      </c>
      <c r="L407" s="47" t="s">
        <v>12</v>
      </c>
      <c r="M407" s="47" t="s">
        <v>87</v>
      </c>
      <c r="N407" s="47" t="s">
        <v>28</v>
      </c>
      <c r="O407" s="28" t="s">
        <v>86</v>
      </c>
      <c r="P407" s="17"/>
    </row>
    <row r="408" spans="1:16" x14ac:dyDescent="0.25">
      <c r="A408" s="364"/>
      <c r="B408" s="367"/>
      <c r="E408" s="17"/>
      <c r="F408" s="16">
        <v>1</v>
      </c>
      <c r="G408" s="228"/>
      <c r="H408" s="17">
        <f>F408*D408</f>
        <v>0</v>
      </c>
      <c r="I408" s="72"/>
      <c r="K408" s="3"/>
      <c r="L408" s="3"/>
      <c r="M408" s="3"/>
      <c r="N408" s="3"/>
      <c r="O408" s="3"/>
      <c r="P408" s="50" t="s">
        <v>50</v>
      </c>
    </row>
    <row r="409" spans="1:16" ht="16.5" thickBot="1" x14ac:dyDescent="0.3">
      <c r="A409" s="364"/>
      <c r="B409" s="367"/>
      <c r="C409" s="225" t="s">
        <v>47</v>
      </c>
      <c r="D409" s="223"/>
      <c r="E409" s="85"/>
      <c r="F409" s="224">
        <v>1</v>
      </c>
      <c r="G409" s="224"/>
      <c r="H409" s="85">
        <f>F409*D409</f>
        <v>0</v>
      </c>
      <c r="I409" s="86"/>
      <c r="K409" s="214" t="e">
        <f>K408/SUM(K408:O408)*I410</f>
        <v>#DIV/0!</v>
      </c>
      <c r="L409" s="214" t="e">
        <f>L408/SUM(K408:O408)*$I410</f>
        <v>#DIV/0!</v>
      </c>
      <c r="M409" s="214" t="e">
        <f>M408/SUM(K408:O408)*$I410</f>
        <v>#DIV/0!</v>
      </c>
      <c r="N409" s="214" t="e">
        <f>N408/SUM(K408:O408)*$I410</f>
        <v>#DIV/0!</v>
      </c>
      <c r="O409" s="214" t="e">
        <f>O408/SUM(K408:O408)*$I410</f>
        <v>#DIV/0!</v>
      </c>
      <c r="P409" s="50" t="s">
        <v>90</v>
      </c>
    </row>
    <row r="410" spans="1:16" ht="16.5" thickTop="1" x14ac:dyDescent="0.25">
      <c r="A410" s="365"/>
      <c r="B410" s="368"/>
      <c r="C410" s="9"/>
      <c r="D410" s="9"/>
      <c r="E410" s="64"/>
      <c r="F410" s="222"/>
      <c r="G410" s="222"/>
      <c r="H410" s="64">
        <f>SUM(H406:H409)</f>
        <v>6</v>
      </c>
      <c r="I410" s="74">
        <f>H410*I$6*I$5</f>
        <v>8.4809999999999999</v>
      </c>
    </row>
    <row r="412" spans="1:16" x14ac:dyDescent="0.25">
      <c r="A412" s="363">
        <f>A406+1</f>
        <v>45582</v>
      </c>
      <c r="B412" s="366" t="s">
        <v>4</v>
      </c>
      <c r="C412" s="57" t="s">
        <v>72</v>
      </c>
      <c r="D412" s="7"/>
      <c r="E412" s="49"/>
      <c r="F412" s="48">
        <v>1</v>
      </c>
      <c r="G412" s="227">
        <v>1</v>
      </c>
      <c r="H412" s="49">
        <f>F412*D412*G412</f>
        <v>0</v>
      </c>
      <c r="I412" s="55"/>
      <c r="K412" s="369" t="s">
        <v>23</v>
      </c>
      <c r="L412" s="370"/>
      <c r="M412" s="370"/>
      <c r="N412" s="370"/>
      <c r="O412" s="371"/>
    </row>
    <row r="413" spans="1:16" x14ac:dyDescent="0.25">
      <c r="A413" s="364"/>
      <c r="B413" s="367"/>
      <c r="C413" s="21" t="s">
        <v>73</v>
      </c>
      <c r="E413" s="17"/>
      <c r="F413" s="16">
        <v>1</v>
      </c>
      <c r="G413" s="228">
        <v>1</v>
      </c>
      <c r="H413" s="17">
        <f>F413*D413*G413</f>
        <v>0</v>
      </c>
      <c r="I413" s="72"/>
      <c r="K413" s="47" t="s">
        <v>27</v>
      </c>
      <c r="L413" s="47" t="s">
        <v>12</v>
      </c>
      <c r="M413" s="47" t="s">
        <v>87</v>
      </c>
      <c r="N413" s="47" t="s">
        <v>28</v>
      </c>
      <c r="O413" s="28" t="s">
        <v>86</v>
      </c>
      <c r="P413" s="17"/>
    </row>
    <row r="414" spans="1:16" x14ac:dyDescent="0.25">
      <c r="A414" s="364"/>
      <c r="B414" s="367"/>
      <c r="E414" s="17"/>
      <c r="F414" s="16">
        <v>1</v>
      </c>
      <c r="G414" s="228"/>
      <c r="H414" s="17">
        <f>F414*D414</f>
        <v>0</v>
      </c>
      <c r="I414" s="72"/>
      <c r="K414" s="3"/>
      <c r="L414" s="3"/>
      <c r="M414" s="3"/>
      <c r="N414" s="3"/>
      <c r="O414" s="3"/>
      <c r="P414" s="50" t="s">
        <v>50</v>
      </c>
    </row>
    <row r="415" spans="1:16" ht="16.5" thickBot="1" x14ac:dyDescent="0.3">
      <c r="A415" s="364"/>
      <c r="B415" s="367"/>
      <c r="C415" s="225" t="s">
        <v>47</v>
      </c>
      <c r="D415" s="223"/>
      <c r="E415" s="85"/>
      <c r="F415" s="224"/>
      <c r="G415" s="224"/>
      <c r="H415" s="85">
        <f>F415*D415</f>
        <v>0</v>
      </c>
      <c r="I415" s="86"/>
      <c r="K415" s="214" t="e">
        <f>K414/SUM(K414:O414)*I416</f>
        <v>#DIV/0!</v>
      </c>
      <c r="L415" s="214" t="e">
        <f>L414/SUM(K414:O414)*$I416</f>
        <v>#DIV/0!</v>
      </c>
      <c r="M415" s="214" t="e">
        <f>M414/SUM(K414:O414)*$I416</f>
        <v>#DIV/0!</v>
      </c>
      <c r="N415" s="214" t="e">
        <f>N414/SUM(K414:O414)*$I416</f>
        <v>#DIV/0!</v>
      </c>
      <c r="O415" s="214" t="e">
        <f>O414/SUM(K414:O414)*$I416</f>
        <v>#DIV/0!</v>
      </c>
      <c r="P415" s="50" t="s">
        <v>90</v>
      </c>
    </row>
    <row r="416" spans="1:16" ht="16.5" thickTop="1" x14ac:dyDescent="0.25">
      <c r="A416" s="365"/>
      <c r="B416" s="368"/>
      <c r="C416" s="9"/>
      <c r="D416" s="9"/>
      <c r="E416" s="64"/>
      <c r="F416" s="222"/>
      <c r="G416" s="222"/>
      <c r="H416" s="64">
        <f>SUM(H412:H415)</f>
        <v>0</v>
      </c>
      <c r="I416" s="74">
        <f>H416*I$6*I$5</f>
        <v>0</v>
      </c>
    </row>
    <row r="418" spans="1:16" x14ac:dyDescent="0.25">
      <c r="A418" s="363">
        <f>A412+1</f>
        <v>45583</v>
      </c>
      <c r="B418" s="366" t="s">
        <v>5</v>
      </c>
      <c r="C418" s="57" t="s">
        <v>72</v>
      </c>
      <c r="D418" s="7">
        <v>6</v>
      </c>
      <c r="E418" s="49">
        <v>8.1999999999999993</v>
      </c>
      <c r="F418" s="48">
        <v>1</v>
      </c>
      <c r="G418" s="227">
        <v>1</v>
      </c>
      <c r="H418" s="49">
        <f>F418*D418*G418</f>
        <v>6</v>
      </c>
      <c r="I418" s="55"/>
      <c r="K418" s="369" t="s">
        <v>23</v>
      </c>
      <c r="L418" s="370"/>
      <c r="M418" s="370"/>
      <c r="N418" s="370"/>
      <c r="O418" s="371"/>
    </row>
    <row r="419" spans="1:16" x14ac:dyDescent="0.25">
      <c r="A419" s="364"/>
      <c r="B419" s="367"/>
      <c r="C419" s="21" t="s">
        <v>73</v>
      </c>
      <c r="D419">
        <v>1</v>
      </c>
      <c r="E419" s="17">
        <v>7.9</v>
      </c>
      <c r="F419" s="16">
        <v>1</v>
      </c>
      <c r="G419" s="228">
        <v>1</v>
      </c>
      <c r="H419" s="17">
        <f>F419*D419*G419</f>
        <v>1</v>
      </c>
      <c r="I419" s="72"/>
      <c r="K419" s="47" t="s">
        <v>27</v>
      </c>
      <c r="L419" s="47" t="s">
        <v>12</v>
      </c>
      <c r="M419" s="47" t="s">
        <v>87</v>
      </c>
      <c r="N419" s="47" t="s">
        <v>28</v>
      </c>
      <c r="O419" s="28" t="s">
        <v>86</v>
      </c>
      <c r="P419" s="17"/>
    </row>
    <row r="420" spans="1:16" x14ac:dyDescent="0.25">
      <c r="A420" s="364"/>
      <c r="B420" s="367"/>
      <c r="E420" s="17"/>
      <c r="F420" s="16">
        <v>1</v>
      </c>
      <c r="G420" s="228"/>
      <c r="H420" s="17">
        <f>F420*D420</f>
        <v>0</v>
      </c>
      <c r="I420" s="72"/>
      <c r="K420" s="3"/>
      <c r="L420" s="3"/>
      <c r="M420" s="3"/>
      <c r="N420" s="3"/>
      <c r="O420" s="3"/>
      <c r="P420" s="50" t="s">
        <v>50</v>
      </c>
    </row>
    <row r="421" spans="1:16" ht="16.5" thickBot="1" x14ac:dyDescent="0.3">
      <c r="A421" s="364"/>
      <c r="B421" s="367"/>
      <c r="C421" s="225" t="s">
        <v>47</v>
      </c>
      <c r="D421" s="223"/>
      <c r="E421" s="85"/>
      <c r="F421" s="224"/>
      <c r="G421" s="224"/>
      <c r="H421" s="85">
        <f>F421*D421</f>
        <v>0</v>
      </c>
      <c r="I421" s="86"/>
      <c r="K421" s="214" t="e">
        <f>K420/SUM(K420:O420)*I422</f>
        <v>#DIV/0!</v>
      </c>
      <c r="L421" s="214" t="e">
        <f>L420/SUM(K420:O420)*$I422</f>
        <v>#DIV/0!</v>
      </c>
      <c r="M421" s="214" t="e">
        <f>M420/SUM(K420:O420)*$I422</f>
        <v>#DIV/0!</v>
      </c>
      <c r="N421" s="214" t="e">
        <f>N420/SUM(K420:O420)*$I422</f>
        <v>#DIV/0!</v>
      </c>
      <c r="O421" s="214" t="e">
        <f>O420/SUM(K420:O420)*$I422</f>
        <v>#DIV/0!</v>
      </c>
      <c r="P421" s="50" t="s">
        <v>90</v>
      </c>
    </row>
    <row r="422" spans="1:16" ht="16.5" thickTop="1" x14ac:dyDescent="0.25">
      <c r="A422" s="365"/>
      <c r="B422" s="368"/>
      <c r="C422" s="9"/>
      <c r="D422" s="9"/>
      <c r="E422" s="64"/>
      <c r="F422" s="222"/>
      <c r="G422" s="222"/>
      <c r="H422" s="64">
        <f>SUM(H418:H421)</f>
        <v>7</v>
      </c>
      <c r="I422" s="74">
        <f>H422*I$6*I$5</f>
        <v>9.8945000000000007</v>
      </c>
    </row>
    <row r="424" spans="1:16" x14ac:dyDescent="0.25">
      <c r="A424" s="363">
        <f>A418+1</f>
        <v>45584</v>
      </c>
      <c r="B424" s="366" t="s">
        <v>6</v>
      </c>
      <c r="C424" s="57" t="s">
        <v>72</v>
      </c>
      <c r="D424" s="7">
        <v>4</v>
      </c>
      <c r="E424" s="49">
        <v>9.1999999999999993</v>
      </c>
      <c r="F424" s="48">
        <v>1</v>
      </c>
      <c r="G424" s="227">
        <v>1</v>
      </c>
      <c r="H424" s="49">
        <f>F424*D424*G424</f>
        <v>4</v>
      </c>
      <c r="I424" s="55"/>
      <c r="K424" s="369" t="s">
        <v>23</v>
      </c>
      <c r="L424" s="370"/>
      <c r="M424" s="370"/>
      <c r="N424" s="370"/>
      <c r="O424" s="371"/>
    </row>
    <row r="425" spans="1:16" x14ac:dyDescent="0.25">
      <c r="A425" s="364"/>
      <c r="B425" s="367"/>
      <c r="C425" s="21" t="s">
        <v>73</v>
      </c>
      <c r="D425">
        <v>0</v>
      </c>
      <c r="E425" s="17">
        <v>8.9</v>
      </c>
      <c r="F425" s="16">
        <v>1</v>
      </c>
      <c r="G425" s="228">
        <v>1</v>
      </c>
      <c r="H425" s="17">
        <f>F425*D425*G425</f>
        <v>0</v>
      </c>
      <c r="I425" s="72"/>
      <c r="K425" s="47" t="s">
        <v>27</v>
      </c>
      <c r="L425" s="47" t="s">
        <v>12</v>
      </c>
      <c r="M425" s="47" t="s">
        <v>87</v>
      </c>
      <c r="N425" s="47" t="s">
        <v>28</v>
      </c>
      <c r="O425" s="28" t="s">
        <v>86</v>
      </c>
      <c r="P425" s="17"/>
    </row>
    <row r="426" spans="1:16" x14ac:dyDescent="0.25">
      <c r="A426" s="364"/>
      <c r="B426" s="367"/>
      <c r="E426" s="17"/>
      <c r="F426" s="16">
        <v>1</v>
      </c>
      <c r="G426" s="228"/>
      <c r="H426" s="17">
        <f>F426*D426</f>
        <v>0</v>
      </c>
      <c r="I426" s="72"/>
      <c r="K426" s="3"/>
      <c r="L426" s="3"/>
      <c r="M426" s="3"/>
      <c r="N426" s="3"/>
      <c r="O426" s="3"/>
      <c r="P426" s="50" t="s">
        <v>50</v>
      </c>
    </row>
    <row r="427" spans="1:16" ht="16.5" thickBot="1" x14ac:dyDescent="0.3">
      <c r="A427" s="364"/>
      <c r="B427" s="367"/>
      <c r="C427" s="225" t="s">
        <v>47</v>
      </c>
      <c r="D427" s="223"/>
      <c r="E427" s="85"/>
      <c r="F427" s="224"/>
      <c r="G427" s="224"/>
      <c r="H427" s="85">
        <f>F427*D427</f>
        <v>0</v>
      </c>
      <c r="I427" s="86"/>
      <c r="K427" s="214" t="e">
        <f>K426/SUM(K426:O426)*I428</f>
        <v>#DIV/0!</v>
      </c>
      <c r="L427" s="214" t="e">
        <f>L426/SUM(K426:O426)*$I428</f>
        <v>#DIV/0!</v>
      </c>
      <c r="M427" s="214" t="e">
        <f>M426/SUM(K426:O426)*$I428</f>
        <v>#DIV/0!</v>
      </c>
      <c r="N427" s="214" t="e">
        <f>N426/SUM(K426:O426)*$I428</f>
        <v>#DIV/0!</v>
      </c>
      <c r="O427" s="214" t="e">
        <f>O426/SUM(K426:O426)*$I428</f>
        <v>#DIV/0!</v>
      </c>
      <c r="P427" s="50" t="s">
        <v>90</v>
      </c>
    </row>
    <row r="428" spans="1:16" ht="16.5" thickTop="1" x14ac:dyDescent="0.25">
      <c r="A428" s="365"/>
      <c r="B428" s="368"/>
      <c r="C428" s="9"/>
      <c r="D428" s="9"/>
      <c r="E428" s="64"/>
      <c r="F428" s="222"/>
      <c r="G428" s="222"/>
      <c r="H428" s="64">
        <f>SUM(H424:H427)</f>
        <v>4</v>
      </c>
      <c r="I428" s="74">
        <f>H428*I$6*I$5</f>
        <v>5.6539999999999999</v>
      </c>
    </row>
    <row r="430" spans="1:16" ht="15.6" customHeight="1" x14ac:dyDescent="0.25">
      <c r="A430" s="363">
        <f>A424+1</f>
        <v>45585</v>
      </c>
      <c r="B430" s="366" t="s">
        <v>0</v>
      </c>
      <c r="C430" s="57" t="s">
        <v>72</v>
      </c>
      <c r="D430" s="7">
        <v>4</v>
      </c>
      <c r="E430" s="49">
        <v>8.6</v>
      </c>
      <c r="F430" s="48">
        <v>1</v>
      </c>
      <c r="G430" s="227">
        <v>1</v>
      </c>
      <c r="H430" s="49">
        <f>F430*D430*G430</f>
        <v>4</v>
      </c>
      <c r="I430" s="55"/>
      <c r="K430" s="369" t="s">
        <v>23</v>
      </c>
      <c r="L430" s="370"/>
      <c r="M430" s="370"/>
      <c r="N430" s="370"/>
      <c r="O430" s="371"/>
    </row>
    <row r="431" spans="1:16" x14ac:dyDescent="0.25">
      <c r="A431" s="364"/>
      <c r="B431" s="367"/>
      <c r="C431" s="21" t="s">
        <v>73</v>
      </c>
      <c r="D431">
        <v>0</v>
      </c>
      <c r="E431" s="17">
        <v>8.4</v>
      </c>
      <c r="F431" s="16">
        <v>1</v>
      </c>
      <c r="G431" s="228">
        <v>1</v>
      </c>
      <c r="H431" s="17">
        <f>F431*D431*G431</f>
        <v>0</v>
      </c>
      <c r="I431" s="72"/>
      <c r="K431" s="47" t="s">
        <v>27</v>
      </c>
      <c r="L431" s="47" t="s">
        <v>12</v>
      </c>
      <c r="M431" s="47" t="s">
        <v>87</v>
      </c>
      <c r="N431" s="47" t="s">
        <v>28</v>
      </c>
      <c r="O431" s="28" t="s">
        <v>86</v>
      </c>
      <c r="P431" s="17"/>
    </row>
    <row r="432" spans="1:16" x14ac:dyDescent="0.25">
      <c r="A432" s="364"/>
      <c r="B432" s="367"/>
      <c r="E432" s="17"/>
      <c r="F432" s="16">
        <v>1</v>
      </c>
      <c r="G432" s="228"/>
      <c r="H432" s="17">
        <f>F432*D432</f>
        <v>0</v>
      </c>
      <c r="I432" s="72"/>
      <c r="K432" s="3"/>
      <c r="L432" s="3"/>
      <c r="M432" s="3"/>
      <c r="N432" s="3"/>
      <c r="O432" s="3"/>
      <c r="P432" s="50" t="s">
        <v>50</v>
      </c>
    </row>
    <row r="433" spans="1:16" ht="16.5" thickBot="1" x14ac:dyDescent="0.3">
      <c r="A433" s="364"/>
      <c r="B433" s="367"/>
      <c r="C433" s="225" t="s">
        <v>47</v>
      </c>
      <c r="D433" s="223"/>
      <c r="E433" s="85"/>
      <c r="F433" s="224">
        <v>1</v>
      </c>
      <c r="G433" s="224"/>
      <c r="H433" s="85">
        <f>F433*D433</f>
        <v>0</v>
      </c>
      <c r="I433" s="86"/>
      <c r="K433" s="214" t="e">
        <f>K432/SUM(K432:O432)*I434</f>
        <v>#DIV/0!</v>
      </c>
      <c r="L433" s="214" t="e">
        <f>L432/SUM(K432:O432)*$I434</f>
        <v>#DIV/0!</v>
      </c>
      <c r="M433" s="214" t="e">
        <f>M432/SUM(K432:O432)*$I434</f>
        <v>#DIV/0!</v>
      </c>
      <c r="N433" s="214" t="e">
        <f>N432/SUM(K432:O432)*$I434</f>
        <v>#DIV/0!</v>
      </c>
      <c r="O433" s="214" t="e">
        <f>O432/SUM(K432:O432)*$I434</f>
        <v>#DIV/0!</v>
      </c>
      <c r="P433" s="50" t="s">
        <v>90</v>
      </c>
    </row>
    <row r="434" spans="1:16" ht="16.5" thickTop="1" x14ac:dyDescent="0.25">
      <c r="A434" s="365"/>
      <c r="B434" s="368"/>
      <c r="C434" s="9"/>
      <c r="D434" s="9"/>
      <c r="E434" s="64"/>
      <c r="F434" s="222"/>
      <c r="G434" s="222"/>
      <c r="H434" s="64">
        <f>SUM(H430:H433)</f>
        <v>4</v>
      </c>
      <c r="I434" s="74">
        <f>H434*I$6*I$5</f>
        <v>5.6539999999999999</v>
      </c>
    </row>
    <row r="435" spans="1:16" x14ac:dyDescent="0.25">
      <c r="B435" s="9"/>
    </row>
    <row r="436" spans="1:16" ht="15.6" customHeight="1" x14ac:dyDescent="0.25">
      <c r="A436" s="363">
        <f>A430+1</f>
        <v>45586</v>
      </c>
      <c r="B436" s="366" t="s">
        <v>1</v>
      </c>
      <c r="C436" s="57" t="s">
        <v>72</v>
      </c>
      <c r="D436" s="7">
        <v>1</v>
      </c>
      <c r="E436" s="49">
        <v>9.6999999999999993</v>
      </c>
      <c r="F436" s="48">
        <v>1</v>
      </c>
      <c r="G436" s="227">
        <v>0</v>
      </c>
      <c r="H436" s="49">
        <f>F436*D436*G436</f>
        <v>0</v>
      </c>
      <c r="I436" s="55"/>
      <c r="K436" s="369" t="s">
        <v>23</v>
      </c>
      <c r="L436" s="370"/>
      <c r="M436" s="370"/>
      <c r="N436" s="370"/>
      <c r="O436" s="371"/>
    </row>
    <row r="437" spans="1:16" x14ac:dyDescent="0.25">
      <c r="A437" s="364"/>
      <c r="B437" s="367"/>
      <c r="C437" s="21" t="s">
        <v>73</v>
      </c>
      <c r="D437">
        <v>0</v>
      </c>
      <c r="E437" s="17">
        <v>12</v>
      </c>
      <c r="F437" s="16">
        <v>1</v>
      </c>
      <c r="G437" s="228">
        <v>0</v>
      </c>
      <c r="H437" s="17">
        <f>F437*D437*G437</f>
        <v>0</v>
      </c>
      <c r="I437" s="72"/>
      <c r="K437" s="47" t="s">
        <v>27</v>
      </c>
      <c r="L437" s="47" t="s">
        <v>12</v>
      </c>
      <c r="M437" s="47" t="s">
        <v>87</v>
      </c>
      <c r="N437" s="47" t="s">
        <v>28</v>
      </c>
      <c r="O437" s="28" t="s">
        <v>86</v>
      </c>
      <c r="P437" s="17"/>
    </row>
    <row r="438" spans="1:16" x14ac:dyDescent="0.25">
      <c r="A438" s="364"/>
      <c r="B438" s="367"/>
      <c r="E438" s="17"/>
      <c r="F438" s="16">
        <v>1</v>
      </c>
      <c r="G438" s="228"/>
      <c r="H438" s="17">
        <f>F438*D438</f>
        <v>0</v>
      </c>
      <c r="I438" s="72"/>
      <c r="K438" s="3"/>
      <c r="L438" s="3"/>
      <c r="M438" s="3"/>
      <c r="N438" s="3"/>
      <c r="O438" s="3"/>
      <c r="P438" s="50" t="s">
        <v>50</v>
      </c>
    </row>
    <row r="439" spans="1:16" ht="16.5" thickBot="1" x14ac:dyDescent="0.3">
      <c r="A439" s="364"/>
      <c r="B439" s="367"/>
      <c r="C439" s="225" t="s">
        <v>47</v>
      </c>
      <c r="D439" s="223"/>
      <c r="E439" s="85"/>
      <c r="F439" s="224"/>
      <c r="G439" s="224"/>
      <c r="H439" s="85">
        <f>F439*D439</f>
        <v>0</v>
      </c>
      <c r="I439" s="86"/>
      <c r="K439" s="214" t="e">
        <f>K438/SUM(K438:O438)*I440</f>
        <v>#DIV/0!</v>
      </c>
      <c r="L439" s="214" t="e">
        <f>L438/SUM(K438:O438)*$I440</f>
        <v>#DIV/0!</v>
      </c>
      <c r="M439" s="214" t="e">
        <f>M438/SUM(K438:O438)*$I440</f>
        <v>#DIV/0!</v>
      </c>
      <c r="N439" s="214" t="e">
        <f>N438/SUM(K438:O438)*$I440</f>
        <v>#DIV/0!</v>
      </c>
      <c r="O439" s="214" t="e">
        <f>O438/SUM(K438:O438)*$I440</f>
        <v>#DIV/0!</v>
      </c>
      <c r="P439" s="50" t="s">
        <v>90</v>
      </c>
    </row>
    <row r="440" spans="1:16" ht="16.5" thickTop="1" x14ac:dyDescent="0.25">
      <c r="A440" s="365"/>
      <c r="B440" s="368"/>
      <c r="C440" s="9"/>
      <c r="D440" s="9"/>
      <c r="E440" s="64"/>
      <c r="F440" s="222"/>
      <c r="G440" s="222"/>
      <c r="H440" s="64">
        <f>SUM(H436:H439)</f>
        <v>0</v>
      </c>
      <c r="I440" s="74">
        <f>H440*I$6*I$5</f>
        <v>0</v>
      </c>
    </row>
    <row r="442" spans="1:16" ht="15.6" customHeight="1" x14ac:dyDescent="0.25">
      <c r="A442" s="363">
        <f>A436+1</f>
        <v>45587</v>
      </c>
      <c r="B442" s="366" t="s">
        <v>2</v>
      </c>
      <c r="C442" s="57" t="s">
        <v>72</v>
      </c>
      <c r="D442" s="7"/>
      <c r="E442" s="49"/>
      <c r="F442" s="48">
        <v>1</v>
      </c>
      <c r="G442" s="227">
        <v>1</v>
      </c>
      <c r="H442" s="49">
        <f>F442*D442*G442</f>
        <v>0</v>
      </c>
      <c r="I442" s="55"/>
      <c r="K442" s="369" t="s">
        <v>23</v>
      </c>
      <c r="L442" s="370"/>
      <c r="M442" s="370"/>
      <c r="N442" s="370"/>
      <c r="O442" s="371"/>
    </row>
    <row r="443" spans="1:16" x14ac:dyDescent="0.25">
      <c r="A443" s="364"/>
      <c r="B443" s="367"/>
      <c r="C443" s="21" t="s">
        <v>73</v>
      </c>
      <c r="E443" s="17"/>
      <c r="F443" s="16">
        <v>1</v>
      </c>
      <c r="G443" s="228">
        <v>1</v>
      </c>
      <c r="H443" s="17">
        <f>F443*D443*G443</f>
        <v>0</v>
      </c>
      <c r="I443" s="72"/>
      <c r="K443" s="47" t="s">
        <v>27</v>
      </c>
      <c r="L443" s="47" t="s">
        <v>12</v>
      </c>
      <c r="M443" s="47" t="s">
        <v>87</v>
      </c>
      <c r="N443" s="47" t="s">
        <v>28</v>
      </c>
      <c r="O443" s="28" t="s">
        <v>86</v>
      </c>
      <c r="P443" s="17"/>
    </row>
    <row r="444" spans="1:16" x14ac:dyDescent="0.25">
      <c r="A444" s="364"/>
      <c r="B444" s="367"/>
      <c r="E444" s="17"/>
      <c r="F444" s="16">
        <v>1</v>
      </c>
      <c r="G444" s="228"/>
      <c r="H444" s="17">
        <f>F444*D444</f>
        <v>0</v>
      </c>
      <c r="I444" s="72"/>
      <c r="K444" s="3"/>
      <c r="L444" s="3"/>
      <c r="M444" s="3"/>
      <c r="N444" s="3"/>
      <c r="O444" s="3"/>
      <c r="P444" s="50" t="s">
        <v>50</v>
      </c>
    </row>
    <row r="445" spans="1:16" ht="16.5" thickBot="1" x14ac:dyDescent="0.3">
      <c r="A445" s="364"/>
      <c r="B445" s="367"/>
      <c r="C445" s="225" t="s">
        <v>47</v>
      </c>
      <c r="D445" s="223"/>
      <c r="E445" s="85"/>
      <c r="F445" s="224">
        <v>1</v>
      </c>
      <c r="G445" s="224"/>
      <c r="H445" s="85">
        <f>F445*D445</f>
        <v>0</v>
      </c>
      <c r="I445" s="86"/>
      <c r="K445" s="214" t="e">
        <f>K444/SUM(K444:O444)*I446</f>
        <v>#DIV/0!</v>
      </c>
      <c r="L445" s="214" t="e">
        <f>L444/SUM(K444:O444)*$I446</f>
        <v>#DIV/0!</v>
      </c>
      <c r="M445" s="214" t="e">
        <f>M444/SUM(K444:O444)*$I446</f>
        <v>#DIV/0!</v>
      </c>
      <c r="N445" s="214" t="e">
        <f>N444/SUM(K444:O444)*$I446</f>
        <v>#DIV/0!</v>
      </c>
      <c r="O445" s="214" t="e">
        <f>O444/SUM(K444:O444)*$I446</f>
        <v>#DIV/0!</v>
      </c>
      <c r="P445" s="50" t="s">
        <v>90</v>
      </c>
    </row>
    <row r="446" spans="1:16" ht="16.5" thickTop="1" x14ac:dyDescent="0.25">
      <c r="A446" s="365"/>
      <c r="B446" s="368"/>
      <c r="C446" s="9"/>
      <c r="D446" s="9"/>
      <c r="E446" s="64"/>
      <c r="F446" s="222"/>
      <c r="G446" s="222"/>
      <c r="H446" s="64">
        <f>SUM(H442:H445)</f>
        <v>0</v>
      </c>
      <c r="I446" s="74">
        <f>H446*I$6*I$5</f>
        <v>0</v>
      </c>
    </row>
    <row r="448" spans="1:16" ht="15.6" customHeight="1" x14ac:dyDescent="0.25">
      <c r="A448" s="363">
        <f>A442+1</f>
        <v>45588</v>
      </c>
      <c r="B448" s="366" t="s">
        <v>3</v>
      </c>
      <c r="C448" s="57" t="s">
        <v>72</v>
      </c>
      <c r="D448" s="7">
        <v>3</v>
      </c>
      <c r="E448" s="49">
        <v>9.5</v>
      </c>
      <c r="F448" s="48">
        <v>1</v>
      </c>
      <c r="G448" s="227">
        <v>1</v>
      </c>
      <c r="H448" s="49">
        <f>F448*D448*G448</f>
        <v>3</v>
      </c>
      <c r="I448" s="55"/>
      <c r="K448" s="369" t="s">
        <v>23</v>
      </c>
      <c r="L448" s="370"/>
      <c r="M448" s="370"/>
      <c r="N448" s="370"/>
      <c r="O448" s="371"/>
    </row>
    <row r="449" spans="1:16" x14ac:dyDescent="0.25">
      <c r="A449" s="364"/>
      <c r="B449" s="367"/>
      <c r="C449" s="21" t="s">
        <v>73</v>
      </c>
      <c r="D449">
        <v>0</v>
      </c>
      <c r="E449" s="17">
        <v>9.3000000000000007</v>
      </c>
      <c r="F449" s="16">
        <v>1</v>
      </c>
      <c r="G449" s="228">
        <v>1</v>
      </c>
      <c r="H449" s="17">
        <f>F449*D449*G449</f>
        <v>0</v>
      </c>
      <c r="I449" s="72"/>
      <c r="K449" s="47" t="s">
        <v>27</v>
      </c>
      <c r="L449" s="47" t="s">
        <v>12</v>
      </c>
      <c r="M449" s="47" t="s">
        <v>87</v>
      </c>
      <c r="N449" s="47" t="s">
        <v>28</v>
      </c>
      <c r="O449" s="28" t="s">
        <v>86</v>
      </c>
      <c r="P449" s="17"/>
    </row>
    <row r="450" spans="1:16" x14ac:dyDescent="0.25">
      <c r="A450" s="364"/>
      <c r="B450" s="367"/>
      <c r="E450" s="17"/>
      <c r="F450" s="16">
        <v>1</v>
      </c>
      <c r="G450" s="228"/>
      <c r="H450" s="17">
        <f>F450*D450</f>
        <v>0</v>
      </c>
      <c r="I450" s="72"/>
      <c r="K450" s="3"/>
      <c r="L450" s="3"/>
      <c r="M450" s="3"/>
      <c r="N450" s="3"/>
      <c r="O450" s="3"/>
      <c r="P450" s="50" t="s">
        <v>50</v>
      </c>
    </row>
    <row r="451" spans="1:16" ht="16.5" thickBot="1" x14ac:dyDescent="0.3">
      <c r="A451" s="364"/>
      <c r="B451" s="367"/>
      <c r="C451" s="225" t="s">
        <v>47</v>
      </c>
      <c r="D451" s="223"/>
      <c r="E451" s="85"/>
      <c r="F451" s="224"/>
      <c r="G451" s="224"/>
      <c r="H451" s="85">
        <f>F451*D451</f>
        <v>0</v>
      </c>
      <c r="I451" s="86"/>
      <c r="K451" s="214" t="e">
        <f>K450/SUM(K450:O450)*I452</f>
        <v>#DIV/0!</v>
      </c>
      <c r="L451" s="214" t="e">
        <f>L450/SUM(K450:O450)*$I452</f>
        <v>#DIV/0!</v>
      </c>
      <c r="M451" s="214" t="e">
        <f>M450/SUM(K450:O450)*$I452</f>
        <v>#DIV/0!</v>
      </c>
      <c r="N451" s="214" t="e">
        <f>N450/SUM(K450:O450)*$I452</f>
        <v>#DIV/0!</v>
      </c>
      <c r="O451" s="214" t="e">
        <f>O450/SUM(K450:O450)*$I452</f>
        <v>#DIV/0!</v>
      </c>
      <c r="P451" s="50" t="s">
        <v>90</v>
      </c>
    </row>
    <row r="452" spans="1:16" ht="16.5" thickTop="1" x14ac:dyDescent="0.25">
      <c r="A452" s="365"/>
      <c r="B452" s="368"/>
      <c r="C452" s="9"/>
      <c r="D452" s="9"/>
      <c r="E452" s="64"/>
      <c r="F452" s="222"/>
      <c r="G452" s="222"/>
      <c r="H452" s="64">
        <f>SUM(H448:H451)</f>
        <v>3</v>
      </c>
      <c r="I452" s="74">
        <f>H452*I$6*I$5</f>
        <v>4.2404999999999999</v>
      </c>
    </row>
    <row r="454" spans="1:16" ht="15.6" customHeight="1" x14ac:dyDescent="0.25">
      <c r="A454" s="363">
        <f>A448+1</f>
        <v>45589</v>
      </c>
      <c r="B454" s="366" t="s">
        <v>4</v>
      </c>
      <c r="C454" s="57" t="s">
        <v>72</v>
      </c>
      <c r="D454" s="7">
        <v>3</v>
      </c>
      <c r="E454" s="49">
        <v>9.6999999999999993</v>
      </c>
      <c r="F454" s="48">
        <v>1</v>
      </c>
      <c r="G454" s="227">
        <v>1</v>
      </c>
      <c r="H454" s="49">
        <f>F454*D454*G454</f>
        <v>3</v>
      </c>
      <c r="I454" s="55"/>
      <c r="K454" s="369" t="s">
        <v>23</v>
      </c>
      <c r="L454" s="370"/>
      <c r="M454" s="370"/>
      <c r="N454" s="370"/>
      <c r="O454" s="371"/>
    </row>
    <row r="455" spans="1:16" x14ac:dyDescent="0.25">
      <c r="A455" s="364"/>
      <c r="B455" s="367"/>
      <c r="C455" s="21" t="s">
        <v>73</v>
      </c>
      <c r="D455">
        <v>0</v>
      </c>
      <c r="E455" s="17">
        <v>9.4</v>
      </c>
      <c r="F455" s="16">
        <v>1</v>
      </c>
      <c r="G455" s="228">
        <v>1</v>
      </c>
      <c r="H455" s="17">
        <f>F455*D455*G455</f>
        <v>0</v>
      </c>
      <c r="I455" s="72"/>
      <c r="K455" s="47" t="s">
        <v>27</v>
      </c>
      <c r="L455" s="47" t="s">
        <v>12</v>
      </c>
      <c r="M455" s="47" t="s">
        <v>87</v>
      </c>
      <c r="N455" s="47" t="s">
        <v>28</v>
      </c>
      <c r="O455" s="28" t="s">
        <v>86</v>
      </c>
      <c r="P455" s="17"/>
    </row>
    <row r="456" spans="1:16" x14ac:dyDescent="0.25">
      <c r="A456" s="364"/>
      <c r="B456" s="367"/>
      <c r="E456" s="17"/>
      <c r="F456" s="16">
        <v>1</v>
      </c>
      <c r="G456" s="228"/>
      <c r="H456" s="17">
        <f>F456*D456</f>
        <v>0</v>
      </c>
      <c r="I456" s="72"/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50" t="s">
        <v>50</v>
      </c>
    </row>
    <row r="457" spans="1:16" ht="16.5" thickBot="1" x14ac:dyDescent="0.3">
      <c r="A457" s="364"/>
      <c r="B457" s="367"/>
      <c r="C457" s="225" t="s">
        <v>47</v>
      </c>
      <c r="D457" s="223"/>
      <c r="E457" s="85"/>
      <c r="F457" s="224"/>
      <c r="G457" s="224"/>
      <c r="H457" s="85">
        <f>F457*D457</f>
        <v>0</v>
      </c>
      <c r="I457" s="86"/>
      <c r="K457" s="214"/>
      <c r="L457" s="214"/>
      <c r="M457" s="214"/>
      <c r="N457" s="214"/>
      <c r="O457" s="214"/>
      <c r="P457" s="50" t="s">
        <v>90</v>
      </c>
    </row>
    <row r="458" spans="1:16" ht="16.5" thickTop="1" x14ac:dyDescent="0.25">
      <c r="A458" s="365"/>
      <c r="B458" s="368"/>
      <c r="C458" s="9"/>
      <c r="D458" s="9"/>
      <c r="E458" s="64"/>
      <c r="F458" s="222"/>
      <c r="G458" s="222"/>
      <c r="H458" s="64">
        <f>SUM(H454:H457)</f>
        <v>3</v>
      </c>
      <c r="I458" s="74">
        <f>H458*I$6*I$5</f>
        <v>4.2404999999999999</v>
      </c>
    </row>
    <row r="460" spans="1:16" ht="15.6" customHeight="1" x14ac:dyDescent="0.25">
      <c r="A460" s="363">
        <f>A454+1</f>
        <v>45590</v>
      </c>
      <c r="B460" s="366" t="s">
        <v>5</v>
      </c>
      <c r="C460" s="57" t="s">
        <v>72</v>
      </c>
      <c r="D460" s="7"/>
      <c r="E460" s="49"/>
      <c r="F460" s="48">
        <v>1</v>
      </c>
      <c r="G460" s="227">
        <v>1</v>
      </c>
      <c r="H460" s="49">
        <f>F460*D460*G460</f>
        <v>0</v>
      </c>
      <c r="I460" s="55"/>
      <c r="K460" s="369" t="s">
        <v>23</v>
      </c>
      <c r="L460" s="370"/>
      <c r="M460" s="370"/>
      <c r="N460" s="370"/>
      <c r="O460" s="371"/>
    </row>
    <row r="461" spans="1:16" x14ac:dyDescent="0.25">
      <c r="A461" s="364"/>
      <c r="B461" s="367"/>
      <c r="C461" s="21" t="s">
        <v>73</v>
      </c>
      <c r="E461" s="17"/>
      <c r="F461" s="16">
        <v>1</v>
      </c>
      <c r="G461" s="228">
        <v>1</v>
      </c>
      <c r="H461" s="17">
        <f>F461*D461*G461</f>
        <v>0</v>
      </c>
      <c r="I461" s="72"/>
      <c r="K461" s="47" t="s">
        <v>27</v>
      </c>
      <c r="L461" s="47" t="s">
        <v>12</v>
      </c>
      <c r="M461" s="47" t="s">
        <v>87</v>
      </c>
      <c r="N461" s="47" t="s">
        <v>28</v>
      </c>
      <c r="O461" s="28" t="s">
        <v>86</v>
      </c>
      <c r="P461" s="17"/>
    </row>
    <row r="462" spans="1:16" x14ac:dyDescent="0.25">
      <c r="A462" s="364"/>
      <c r="B462" s="367"/>
      <c r="E462" s="17"/>
      <c r="F462" s="16">
        <v>1</v>
      </c>
      <c r="G462" s="228"/>
      <c r="H462" s="17">
        <f>F462*D462</f>
        <v>0</v>
      </c>
      <c r="I462" s="72"/>
      <c r="K462" s="3"/>
      <c r="L462" s="3"/>
      <c r="M462" s="3"/>
      <c r="N462" s="3"/>
      <c r="O462" s="3"/>
      <c r="P462" s="50" t="s">
        <v>50</v>
      </c>
    </row>
    <row r="463" spans="1:16" ht="16.5" thickBot="1" x14ac:dyDescent="0.3">
      <c r="A463" s="364"/>
      <c r="B463" s="367"/>
      <c r="C463" s="225" t="s">
        <v>47</v>
      </c>
      <c r="D463" s="223"/>
      <c r="E463" s="85"/>
      <c r="F463" s="224"/>
      <c r="G463" s="224"/>
      <c r="H463" s="85">
        <f>F463*D463</f>
        <v>0</v>
      </c>
      <c r="I463" s="86"/>
      <c r="K463" s="214" t="e">
        <f>K462/SUM(K462:O462)*I464</f>
        <v>#DIV/0!</v>
      </c>
      <c r="L463" s="214" t="e">
        <f>L462/SUM(K462:O462)*$I464</f>
        <v>#DIV/0!</v>
      </c>
      <c r="M463" s="214" t="e">
        <f>M462/SUM(K462:O462)*$I464</f>
        <v>#DIV/0!</v>
      </c>
      <c r="N463" s="214" t="e">
        <f>N462/SUM(K462:O462)*$I464</f>
        <v>#DIV/0!</v>
      </c>
      <c r="O463" s="214" t="e">
        <f>O462/SUM(K462:O462)*$I464</f>
        <v>#DIV/0!</v>
      </c>
      <c r="P463" s="50" t="s">
        <v>90</v>
      </c>
    </row>
    <row r="464" spans="1:16" ht="16.5" thickTop="1" x14ac:dyDescent="0.25">
      <c r="A464" s="365"/>
      <c r="B464" s="368"/>
      <c r="C464" s="9"/>
      <c r="D464" s="9"/>
      <c r="E464" s="64"/>
      <c r="F464" s="222"/>
      <c r="G464" s="222"/>
      <c r="H464" s="64">
        <f>SUM(H460:H463)</f>
        <v>0</v>
      </c>
      <c r="I464" s="74">
        <f>H464*I$6*I$5</f>
        <v>0</v>
      </c>
    </row>
    <row r="466" spans="1:16" ht="15.6" customHeight="1" x14ac:dyDescent="0.25">
      <c r="A466" s="363">
        <f>A460+1</f>
        <v>45591</v>
      </c>
      <c r="B466" s="366" t="s">
        <v>6</v>
      </c>
      <c r="C466" s="57" t="s">
        <v>72</v>
      </c>
      <c r="D466" s="7"/>
      <c r="E466" s="49"/>
      <c r="F466" s="48">
        <v>1</v>
      </c>
      <c r="G466" s="227">
        <v>1</v>
      </c>
      <c r="H466" s="49">
        <f>F466*D466*G466</f>
        <v>0</v>
      </c>
      <c r="I466" s="55"/>
      <c r="K466" s="369" t="s">
        <v>23</v>
      </c>
      <c r="L466" s="370"/>
      <c r="M466" s="370"/>
      <c r="N466" s="370"/>
      <c r="O466" s="371"/>
    </row>
    <row r="467" spans="1:16" x14ac:dyDescent="0.25">
      <c r="A467" s="364"/>
      <c r="B467" s="367"/>
      <c r="C467" s="21" t="s">
        <v>73</v>
      </c>
      <c r="E467" s="17"/>
      <c r="F467" s="16">
        <v>1</v>
      </c>
      <c r="G467" s="228">
        <v>1</v>
      </c>
      <c r="H467" s="17">
        <f>F467*D467*G467</f>
        <v>0</v>
      </c>
      <c r="I467" s="72"/>
      <c r="K467" s="47" t="s">
        <v>27</v>
      </c>
      <c r="L467" s="47" t="s">
        <v>12</v>
      </c>
      <c r="M467" s="47" t="s">
        <v>87</v>
      </c>
      <c r="N467" s="47" t="s">
        <v>28</v>
      </c>
      <c r="O467" s="28" t="s">
        <v>86</v>
      </c>
      <c r="P467" s="17"/>
    </row>
    <row r="468" spans="1:16" x14ac:dyDescent="0.25">
      <c r="A468" s="364"/>
      <c r="B468" s="367"/>
      <c r="E468" s="17"/>
      <c r="F468" s="16">
        <v>1</v>
      </c>
      <c r="G468" s="228"/>
      <c r="H468" s="17">
        <f>F468*D468</f>
        <v>0</v>
      </c>
      <c r="I468" s="72"/>
      <c r="K468" s="3"/>
      <c r="L468" s="3"/>
      <c r="M468" s="3"/>
      <c r="N468" s="3"/>
      <c r="O468" s="3"/>
      <c r="P468" s="50" t="s">
        <v>50</v>
      </c>
    </row>
    <row r="469" spans="1:16" ht="16.5" thickBot="1" x14ac:dyDescent="0.3">
      <c r="A469" s="364"/>
      <c r="B469" s="367"/>
      <c r="C469" s="225" t="s">
        <v>47</v>
      </c>
      <c r="D469" s="223"/>
      <c r="E469" s="85"/>
      <c r="F469" s="224"/>
      <c r="G469" s="224"/>
      <c r="H469" s="85">
        <f>F469*D469</f>
        <v>0</v>
      </c>
      <c r="I469" s="86"/>
      <c r="K469" s="214" t="e">
        <f>K468/SUM(K468:O468)*I470</f>
        <v>#DIV/0!</v>
      </c>
      <c r="L469" s="214" t="e">
        <f>L468/SUM(K468:O468)*$I470</f>
        <v>#DIV/0!</v>
      </c>
      <c r="M469" s="214" t="e">
        <f>M468/SUM(K468:O468)*$I470</f>
        <v>#DIV/0!</v>
      </c>
      <c r="N469" s="214" t="e">
        <f>N468/SUM(K468:O468)*$I470</f>
        <v>#DIV/0!</v>
      </c>
      <c r="O469" s="214" t="e">
        <f>O468/SUM(K468:O468)*$I470</f>
        <v>#DIV/0!</v>
      </c>
      <c r="P469" s="50" t="s">
        <v>90</v>
      </c>
    </row>
    <row r="470" spans="1:16" ht="16.5" thickTop="1" x14ac:dyDescent="0.25">
      <c r="A470" s="365"/>
      <c r="B470" s="368"/>
      <c r="C470" s="9"/>
      <c r="D470" s="9"/>
      <c r="E470" s="64"/>
      <c r="F470" s="222"/>
      <c r="G470" s="222"/>
      <c r="H470" s="64">
        <f>SUM(H466:H469)</f>
        <v>0</v>
      </c>
      <c r="I470" s="74">
        <f>H470*I$6*I$5</f>
        <v>0</v>
      </c>
    </row>
    <row r="472" spans="1:16" ht="15.6" customHeight="1" x14ac:dyDescent="0.25">
      <c r="A472" s="363">
        <f>A466+1</f>
        <v>45592</v>
      </c>
      <c r="B472" s="366" t="s">
        <v>0</v>
      </c>
      <c r="C472" s="57" t="s">
        <v>72</v>
      </c>
      <c r="D472" s="7">
        <v>1</v>
      </c>
      <c r="E472" s="49">
        <v>10.199999999999999</v>
      </c>
      <c r="F472" s="48">
        <v>1</v>
      </c>
      <c r="G472" s="227">
        <v>1</v>
      </c>
      <c r="H472" s="49">
        <f>F472*D472*G472</f>
        <v>1</v>
      </c>
      <c r="I472" s="55"/>
      <c r="K472" s="369" t="s">
        <v>23</v>
      </c>
      <c r="L472" s="370"/>
      <c r="M472" s="370"/>
      <c r="N472" s="370"/>
      <c r="O472" s="371"/>
    </row>
    <row r="473" spans="1:16" x14ac:dyDescent="0.25">
      <c r="A473" s="364"/>
      <c r="B473" s="367"/>
      <c r="C473" s="21" t="s">
        <v>73</v>
      </c>
      <c r="D473">
        <v>0</v>
      </c>
      <c r="E473" s="17">
        <v>8.8000000000000007</v>
      </c>
      <c r="F473" s="16">
        <v>1</v>
      </c>
      <c r="G473" s="228">
        <v>1</v>
      </c>
      <c r="H473" s="17">
        <f>F473*D473*G473</f>
        <v>0</v>
      </c>
      <c r="I473" s="72"/>
      <c r="K473" s="47" t="s">
        <v>27</v>
      </c>
      <c r="L473" s="47" t="s">
        <v>12</v>
      </c>
      <c r="M473" s="47" t="s">
        <v>87</v>
      </c>
      <c r="N473" s="47" t="s">
        <v>28</v>
      </c>
      <c r="O473" s="28" t="s">
        <v>86</v>
      </c>
      <c r="P473" s="17"/>
    </row>
    <row r="474" spans="1:16" x14ac:dyDescent="0.25">
      <c r="A474" s="364"/>
      <c r="B474" s="367"/>
      <c r="E474" s="17"/>
      <c r="F474" s="16">
        <v>1</v>
      </c>
      <c r="G474" s="228"/>
      <c r="H474" s="17">
        <f>F474*D474</f>
        <v>0</v>
      </c>
      <c r="I474" s="72"/>
      <c r="K474" s="3"/>
      <c r="L474" s="3"/>
      <c r="M474" s="3"/>
      <c r="N474" s="3"/>
      <c r="O474" s="3"/>
      <c r="P474" s="50" t="s">
        <v>50</v>
      </c>
    </row>
    <row r="475" spans="1:16" ht="16.5" thickBot="1" x14ac:dyDescent="0.3">
      <c r="A475" s="364"/>
      <c r="B475" s="367"/>
      <c r="C475" s="225" t="s">
        <v>47</v>
      </c>
      <c r="D475" s="223"/>
      <c r="E475" s="85"/>
      <c r="F475" s="224">
        <v>1</v>
      </c>
      <c r="G475" s="224"/>
      <c r="H475" s="85">
        <f>F475*D475</f>
        <v>0</v>
      </c>
      <c r="I475" s="86"/>
      <c r="K475" s="214" t="e">
        <f>K474/SUM(K474:O474)*I476</f>
        <v>#DIV/0!</v>
      </c>
      <c r="L475" s="214" t="e">
        <f>L474/SUM(K474:O474)*$I476</f>
        <v>#DIV/0!</v>
      </c>
      <c r="M475" s="214" t="e">
        <f>M474/SUM(K474:O474)*$I476</f>
        <v>#DIV/0!</v>
      </c>
      <c r="N475" s="214" t="e">
        <f>N474/SUM(K474:O474)*$I476</f>
        <v>#DIV/0!</v>
      </c>
      <c r="O475" s="214" t="e">
        <f>O474/SUM(K474:O474)*$I476</f>
        <v>#DIV/0!</v>
      </c>
      <c r="P475" s="50" t="s">
        <v>90</v>
      </c>
    </row>
    <row r="476" spans="1:16" ht="16.5" thickTop="1" x14ac:dyDescent="0.25">
      <c r="A476" s="365"/>
      <c r="B476" s="368"/>
      <c r="C476" s="9"/>
      <c r="D476" s="9"/>
      <c r="E476" s="64"/>
      <c r="F476" s="222"/>
      <c r="G476" s="222"/>
      <c r="H476" s="64">
        <f>SUM(H472:H475)</f>
        <v>1</v>
      </c>
      <c r="I476" s="74">
        <f>H476*I$6*I$5</f>
        <v>1.4135</v>
      </c>
    </row>
    <row r="477" spans="1:16" x14ac:dyDescent="0.25">
      <c r="B477" s="9"/>
    </row>
    <row r="478" spans="1:16" ht="15.6" customHeight="1" x14ac:dyDescent="0.25">
      <c r="A478" s="363">
        <f>A472+1</f>
        <v>45593</v>
      </c>
      <c r="B478" s="366" t="s">
        <v>1</v>
      </c>
      <c r="C478" s="57" t="s">
        <v>72</v>
      </c>
      <c r="D478" s="7"/>
      <c r="E478" s="49"/>
      <c r="F478" s="48">
        <v>1</v>
      </c>
      <c r="G478" s="227">
        <v>1</v>
      </c>
      <c r="H478" s="49">
        <f>F478*D478*G478</f>
        <v>0</v>
      </c>
      <c r="I478" s="55"/>
      <c r="K478" s="369" t="s">
        <v>23</v>
      </c>
      <c r="L478" s="370"/>
      <c r="M478" s="370"/>
      <c r="N478" s="370"/>
      <c r="O478" s="371"/>
    </row>
    <row r="479" spans="1:16" x14ac:dyDescent="0.25">
      <c r="A479" s="364"/>
      <c r="B479" s="367"/>
      <c r="C479" s="21" t="s">
        <v>73</v>
      </c>
      <c r="E479" s="17"/>
      <c r="F479" s="16">
        <v>1</v>
      </c>
      <c r="G479" s="228">
        <v>1</v>
      </c>
      <c r="H479" s="17">
        <f>F479*D479*G479</f>
        <v>0</v>
      </c>
      <c r="I479" s="72"/>
      <c r="K479" s="47" t="s">
        <v>27</v>
      </c>
      <c r="L479" s="47" t="s">
        <v>12</v>
      </c>
      <c r="M479" s="47" t="s">
        <v>87</v>
      </c>
      <c r="N479" s="47" t="s">
        <v>28</v>
      </c>
      <c r="O479" s="28" t="s">
        <v>86</v>
      </c>
      <c r="P479" s="17"/>
    </row>
    <row r="480" spans="1:16" x14ac:dyDescent="0.25">
      <c r="A480" s="364"/>
      <c r="B480" s="367"/>
      <c r="E480" s="17"/>
      <c r="F480" s="16">
        <v>1</v>
      </c>
      <c r="G480" s="228"/>
      <c r="H480" s="17">
        <f>F480*D480</f>
        <v>0</v>
      </c>
      <c r="I480" s="72"/>
      <c r="K480" s="3"/>
      <c r="L480" s="3"/>
      <c r="M480" s="3"/>
      <c r="N480" s="3"/>
      <c r="O480" s="3"/>
      <c r="P480" s="50" t="s">
        <v>50</v>
      </c>
    </row>
    <row r="481" spans="1:16" ht="16.5" thickBot="1" x14ac:dyDescent="0.3">
      <c r="A481" s="364"/>
      <c r="B481" s="367"/>
      <c r="C481" s="225" t="s">
        <v>47</v>
      </c>
      <c r="D481" s="223"/>
      <c r="E481" s="85"/>
      <c r="F481" s="224">
        <v>1</v>
      </c>
      <c r="G481" s="224"/>
      <c r="H481" s="85">
        <f>F481*D481</f>
        <v>0</v>
      </c>
      <c r="I481" s="86"/>
      <c r="K481" s="214" t="e">
        <f>K480/SUM(K480:O480)*I482</f>
        <v>#DIV/0!</v>
      </c>
      <c r="L481" s="214" t="e">
        <f>L480/SUM(K480:O480)*$I482</f>
        <v>#DIV/0!</v>
      </c>
      <c r="M481" s="214" t="e">
        <f>M480/SUM(K480:O480)*$I482</f>
        <v>#DIV/0!</v>
      </c>
      <c r="N481" s="214" t="e">
        <f>N480/SUM(K480:O480)*$I482</f>
        <v>#DIV/0!</v>
      </c>
      <c r="O481" s="214" t="e">
        <f>O480/SUM(K480:O480)*$I482</f>
        <v>#DIV/0!</v>
      </c>
      <c r="P481" s="50" t="s">
        <v>90</v>
      </c>
    </row>
    <row r="482" spans="1:16" ht="16.5" thickTop="1" x14ac:dyDescent="0.25">
      <c r="A482" s="365"/>
      <c r="B482" s="368"/>
      <c r="C482" s="9"/>
      <c r="D482" s="9"/>
      <c r="E482" s="64"/>
      <c r="F482" s="222"/>
      <c r="G482" s="222"/>
      <c r="H482" s="64">
        <f>SUM(H478:H481)</f>
        <v>0</v>
      </c>
      <c r="I482" s="74">
        <f>H482*I$6*I$5</f>
        <v>0</v>
      </c>
    </row>
    <row r="484" spans="1:16" ht="15.6" customHeight="1" x14ac:dyDescent="0.25">
      <c r="A484" s="363">
        <f>A478+1</f>
        <v>45594</v>
      </c>
      <c r="B484" s="366" t="s">
        <v>2</v>
      </c>
      <c r="C484" s="57" t="s">
        <v>72</v>
      </c>
      <c r="D484" s="7">
        <v>0</v>
      </c>
      <c r="E484" s="49">
        <v>8.5</v>
      </c>
      <c r="F484" s="48">
        <v>1</v>
      </c>
      <c r="G484" s="227">
        <v>0.5</v>
      </c>
      <c r="H484" s="49">
        <f>F484*D484*G484</f>
        <v>0</v>
      </c>
      <c r="I484" s="55"/>
      <c r="K484" s="369" t="s">
        <v>23</v>
      </c>
      <c r="L484" s="370"/>
      <c r="M484" s="370"/>
      <c r="N484" s="370"/>
      <c r="O484" s="371"/>
    </row>
    <row r="485" spans="1:16" x14ac:dyDescent="0.25">
      <c r="A485" s="364"/>
      <c r="B485" s="367"/>
      <c r="C485" s="21" t="s">
        <v>73</v>
      </c>
      <c r="D485">
        <v>0</v>
      </c>
      <c r="E485" s="17">
        <v>8.1999999999999993</v>
      </c>
      <c r="F485" s="16">
        <v>1</v>
      </c>
      <c r="G485" s="228">
        <v>0.5</v>
      </c>
      <c r="H485" s="17">
        <f>F485*D485*G485</f>
        <v>0</v>
      </c>
      <c r="I485" s="72"/>
      <c r="K485" s="47" t="s">
        <v>27</v>
      </c>
      <c r="L485" s="47" t="s">
        <v>12</v>
      </c>
      <c r="M485" s="47" t="s">
        <v>87</v>
      </c>
      <c r="N485" s="47" t="s">
        <v>28</v>
      </c>
      <c r="O485" s="28" t="s">
        <v>86</v>
      </c>
      <c r="P485" s="17"/>
    </row>
    <row r="486" spans="1:16" x14ac:dyDescent="0.25">
      <c r="A486" s="364"/>
      <c r="B486" s="367"/>
      <c r="E486" s="17"/>
      <c r="F486" s="16">
        <v>1</v>
      </c>
      <c r="G486" s="228"/>
      <c r="H486" s="17">
        <f>F486*D486</f>
        <v>0</v>
      </c>
      <c r="I486" s="72"/>
      <c r="K486" s="3"/>
      <c r="L486" s="3"/>
      <c r="M486" s="3"/>
      <c r="N486" s="3"/>
      <c r="O486" s="3"/>
      <c r="P486" s="50" t="s">
        <v>50</v>
      </c>
    </row>
    <row r="487" spans="1:16" ht="16.5" thickBot="1" x14ac:dyDescent="0.3">
      <c r="A487" s="364"/>
      <c r="B487" s="367"/>
      <c r="C487" s="225" t="s">
        <v>47</v>
      </c>
      <c r="D487" s="223"/>
      <c r="E487" s="85"/>
      <c r="F487" s="224">
        <v>1</v>
      </c>
      <c r="G487" s="224"/>
      <c r="H487" s="85">
        <f>F487*D487</f>
        <v>0</v>
      </c>
      <c r="I487" s="86"/>
      <c r="K487" s="214" t="e">
        <f>K486/SUM(K486:O486)*I488</f>
        <v>#DIV/0!</v>
      </c>
      <c r="L487" s="214" t="e">
        <f>L486/SUM(K486:O486)*$I488</f>
        <v>#DIV/0!</v>
      </c>
      <c r="M487" s="214" t="e">
        <f>M486/SUM(K486:O486)*$I488</f>
        <v>#DIV/0!</v>
      </c>
      <c r="N487" s="214" t="e">
        <f>N486/SUM(K486:O486)*$I488</f>
        <v>#DIV/0!</v>
      </c>
      <c r="O487" s="214" t="e">
        <f>O486/SUM(K486:O486)*$I488</f>
        <v>#DIV/0!</v>
      </c>
      <c r="P487" s="50" t="s">
        <v>90</v>
      </c>
    </row>
    <row r="488" spans="1:16" ht="16.5" thickTop="1" x14ac:dyDescent="0.25">
      <c r="A488" s="365"/>
      <c r="B488" s="368"/>
      <c r="C488" s="9"/>
      <c r="D488" s="9"/>
      <c r="E488" s="64"/>
      <c r="F488" s="222"/>
      <c r="G488" s="222"/>
      <c r="H488" s="64">
        <f>SUM(H484:H487)</f>
        <v>0</v>
      </c>
      <c r="I488" s="74">
        <f>H488*I$6*I$5</f>
        <v>0</v>
      </c>
    </row>
    <row r="490" spans="1:16" ht="15.6" customHeight="1" x14ac:dyDescent="0.25">
      <c r="A490" s="363">
        <f>A484+1</f>
        <v>45595</v>
      </c>
      <c r="B490" s="366" t="s">
        <v>3</v>
      </c>
      <c r="C490" s="57" t="s">
        <v>72</v>
      </c>
      <c r="D490" s="7">
        <v>3</v>
      </c>
      <c r="E490" s="49">
        <v>10</v>
      </c>
      <c r="F490" s="48">
        <v>1</v>
      </c>
      <c r="G490" s="227">
        <v>1</v>
      </c>
      <c r="H490" s="49">
        <f>F490*D490*G490</f>
        <v>3</v>
      </c>
      <c r="I490" s="55"/>
      <c r="K490" s="369" t="s">
        <v>23</v>
      </c>
      <c r="L490" s="370"/>
      <c r="M490" s="370"/>
      <c r="N490" s="370"/>
      <c r="O490" s="371"/>
    </row>
    <row r="491" spans="1:16" x14ac:dyDescent="0.25">
      <c r="A491" s="364"/>
      <c r="B491" s="367"/>
      <c r="C491" s="21" t="s">
        <v>73</v>
      </c>
      <c r="D491">
        <v>0</v>
      </c>
      <c r="E491" s="17">
        <v>9.8000000000000007</v>
      </c>
      <c r="F491" s="16">
        <v>1</v>
      </c>
      <c r="G491" s="228">
        <v>1</v>
      </c>
      <c r="H491" s="17">
        <f>F491*D491*G491</f>
        <v>0</v>
      </c>
      <c r="I491" s="72"/>
      <c r="K491" s="47" t="s">
        <v>27</v>
      </c>
      <c r="L491" s="47" t="s">
        <v>12</v>
      </c>
      <c r="M491" s="47" t="s">
        <v>87</v>
      </c>
      <c r="N491" s="47" t="s">
        <v>28</v>
      </c>
      <c r="O491" s="28" t="s">
        <v>86</v>
      </c>
      <c r="P491" s="17"/>
    </row>
    <row r="492" spans="1:16" x14ac:dyDescent="0.25">
      <c r="A492" s="364"/>
      <c r="B492" s="367"/>
      <c r="E492" s="17"/>
      <c r="F492" s="16">
        <v>1</v>
      </c>
      <c r="G492" s="228"/>
      <c r="H492" s="17">
        <f>F492*D492</f>
        <v>0</v>
      </c>
      <c r="I492" s="72"/>
      <c r="K492" s="3"/>
      <c r="L492" s="3"/>
      <c r="M492" s="3"/>
      <c r="N492" s="3"/>
      <c r="O492" s="3"/>
      <c r="P492" s="50" t="s">
        <v>50</v>
      </c>
    </row>
    <row r="493" spans="1:16" ht="16.5" thickBot="1" x14ac:dyDescent="0.3">
      <c r="A493" s="364"/>
      <c r="B493" s="367"/>
      <c r="C493" s="225" t="s">
        <v>47</v>
      </c>
      <c r="D493" s="223"/>
      <c r="E493" s="85"/>
      <c r="F493" s="224"/>
      <c r="G493" s="224"/>
      <c r="H493" s="85">
        <f>F493*D493</f>
        <v>0</v>
      </c>
      <c r="I493" s="86"/>
      <c r="K493" s="214" t="e">
        <f>K492/SUM(K492:O492)*I494</f>
        <v>#DIV/0!</v>
      </c>
      <c r="L493" s="214" t="e">
        <f>L492/SUM(K492:O492)*$I494</f>
        <v>#DIV/0!</v>
      </c>
      <c r="M493" s="214" t="e">
        <f>M492/SUM(K492:O492)*$I494</f>
        <v>#DIV/0!</v>
      </c>
      <c r="N493" s="214" t="e">
        <f>N492/SUM(K492:O492)*$I494</f>
        <v>#DIV/0!</v>
      </c>
      <c r="O493" s="214" t="e">
        <f>O492/SUM(K492:O492)*$I494</f>
        <v>#DIV/0!</v>
      </c>
      <c r="P493" s="50" t="s">
        <v>90</v>
      </c>
    </row>
    <row r="494" spans="1:16" ht="16.5" thickTop="1" x14ac:dyDescent="0.25">
      <c r="A494" s="365"/>
      <c r="B494" s="368"/>
      <c r="C494" s="9"/>
      <c r="D494" s="9"/>
      <c r="E494" s="64"/>
      <c r="F494" s="222"/>
      <c r="G494" s="222"/>
      <c r="H494" s="64">
        <f>SUM(H490:H493)</f>
        <v>3</v>
      </c>
      <c r="I494" s="74">
        <f>H494*I$6*I$5</f>
        <v>4.2404999999999999</v>
      </c>
    </row>
    <row r="496" spans="1:16" ht="15.6" customHeight="1" x14ac:dyDescent="0.25">
      <c r="A496" s="363">
        <f>A490+1</f>
        <v>45596</v>
      </c>
      <c r="B496" s="366" t="s">
        <v>4</v>
      </c>
      <c r="C496" s="57" t="s">
        <v>72</v>
      </c>
      <c r="D496" s="7"/>
      <c r="E496" s="49"/>
      <c r="F496" s="48">
        <v>1</v>
      </c>
      <c r="G496" s="227">
        <v>1</v>
      </c>
      <c r="H496" s="49">
        <f>F496*D496*G496</f>
        <v>0</v>
      </c>
      <c r="I496" s="55"/>
      <c r="K496" s="369" t="s">
        <v>23</v>
      </c>
      <c r="L496" s="370"/>
      <c r="M496" s="370"/>
      <c r="N496" s="370"/>
      <c r="O496" s="371"/>
    </row>
    <row r="497" spans="1:16" x14ac:dyDescent="0.25">
      <c r="A497" s="364"/>
      <c r="B497" s="367"/>
      <c r="C497" s="21" t="s">
        <v>73</v>
      </c>
      <c r="E497" s="17"/>
      <c r="F497" s="16">
        <v>1</v>
      </c>
      <c r="G497" s="228">
        <v>1</v>
      </c>
      <c r="H497" s="17">
        <f>F497*D497*G497</f>
        <v>0</v>
      </c>
      <c r="I497" s="72"/>
      <c r="K497" s="47" t="s">
        <v>27</v>
      </c>
      <c r="L497" s="47" t="s">
        <v>12</v>
      </c>
      <c r="M497" s="47" t="s">
        <v>87</v>
      </c>
      <c r="N497" s="47" t="s">
        <v>28</v>
      </c>
      <c r="O497" s="28" t="s">
        <v>86</v>
      </c>
      <c r="P497" s="17"/>
    </row>
    <row r="498" spans="1:16" x14ac:dyDescent="0.25">
      <c r="A498" s="364"/>
      <c r="B498" s="367"/>
      <c r="E498" s="17"/>
      <c r="F498" s="16">
        <v>1</v>
      </c>
      <c r="G498" s="228"/>
      <c r="H498" s="17">
        <f>F498*D498</f>
        <v>0</v>
      </c>
      <c r="I498" s="72"/>
      <c r="K498" s="3"/>
      <c r="L498" s="3"/>
      <c r="M498" s="3"/>
      <c r="N498" s="3"/>
      <c r="O498" s="3"/>
      <c r="P498" s="50" t="s">
        <v>50</v>
      </c>
    </row>
    <row r="499" spans="1:16" ht="16.5" thickBot="1" x14ac:dyDescent="0.3">
      <c r="A499" s="364"/>
      <c r="B499" s="367"/>
      <c r="C499" s="225" t="s">
        <v>47</v>
      </c>
      <c r="D499" s="223"/>
      <c r="E499" s="85"/>
      <c r="F499" s="224"/>
      <c r="G499" s="224"/>
      <c r="H499" s="85">
        <f>F499*D499</f>
        <v>0</v>
      </c>
      <c r="I499" s="86"/>
      <c r="K499" s="214" t="e">
        <f>K498/SUM(K498:O498)*I500</f>
        <v>#DIV/0!</v>
      </c>
      <c r="L499" s="214" t="e">
        <f>L498/SUM(K498:O498)*$I500</f>
        <v>#DIV/0!</v>
      </c>
      <c r="M499" s="214" t="e">
        <f>M498/SUM(K498:O498)*$I500</f>
        <v>#DIV/0!</v>
      </c>
      <c r="N499" s="214" t="e">
        <f>N498/SUM(K498:O498)*$I500</f>
        <v>#DIV/0!</v>
      </c>
      <c r="O499" s="214" t="e">
        <f>O498/SUM(K498:O498)*$I500</f>
        <v>#DIV/0!</v>
      </c>
      <c r="P499" s="50" t="s">
        <v>90</v>
      </c>
    </row>
    <row r="500" spans="1:16" ht="16.5" thickTop="1" x14ac:dyDescent="0.25">
      <c r="A500" s="365"/>
      <c r="B500" s="368"/>
      <c r="C500" s="9"/>
      <c r="D500" s="9"/>
      <c r="E500" s="64"/>
      <c r="F500" s="222"/>
      <c r="G500" s="222"/>
      <c r="H500" s="64">
        <f>SUM(H496:H499)</f>
        <v>0</v>
      </c>
      <c r="I500" s="74">
        <f>H500*I$6*I$5</f>
        <v>0</v>
      </c>
    </row>
    <row r="502" spans="1:16" ht="15.6" customHeight="1" x14ac:dyDescent="0.25">
      <c r="A502" s="363">
        <f>A496+1</f>
        <v>45597</v>
      </c>
      <c r="B502" s="366" t="s">
        <v>5</v>
      </c>
      <c r="C502" s="57" t="s">
        <v>72</v>
      </c>
      <c r="D502" s="7">
        <v>2</v>
      </c>
      <c r="E502" s="49">
        <v>8.3000000000000007</v>
      </c>
      <c r="F502" s="48">
        <v>1</v>
      </c>
      <c r="G502" s="227">
        <f>6/8</f>
        <v>0.75</v>
      </c>
      <c r="H502" s="49">
        <f>F502*D502*G502</f>
        <v>1.5</v>
      </c>
      <c r="I502" s="55"/>
      <c r="K502" s="369" t="s">
        <v>23</v>
      </c>
      <c r="L502" s="370"/>
      <c r="M502" s="370"/>
      <c r="N502" s="370"/>
      <c r="O502" s="371"/>
    </row>
    <row r="503" spans="1:16" x14ac:dyDescent="0.25">
      <c r="A503" s="364"/>
      <c r="B503" s="367"/>
      <c r="C503" s="21" t="s">
        <v>73</v>
      </c>
      <c r="D503">
        <v>8</v>
      </c>
      <c r="E503" s="17">
        <v>8.1999999999999993</v>
      </c>
      <c r="F503" s="16">
        <v>1</v>
      </c>
      <c r="G503" s="228">
        <v>0.75</v>
      </c>
      <c r="H503" s="17">
        <f>F503*D503*G503</f>
        <v>6</v>
      </c>
      <c r="I503" s="72"/>
      <c r="K503" s="47" t="s">
        <v>27</v>
      </c>
      <c r="L503" s="47" t="s">
        <v>12</v>
      </c>
      <c r="M503" s="47" t="s">
        <v>87</v>
      </c>
      <c r="N503" s="47" t="s">
        <v>28</v>
      </c>
      <c r="O503" s="28" t="s">
        <v>86</v>
      </c>
      <c r="P503" s="17"/>
    </row>
    <row r="504" spans="1:16" x14ac:dyDescent="0.25">
      <c r="A504" s="364"/>
      <c r="B504" s="367"/>
      <c r="E504" s="17"/>
      <c r="F504" s="16">
        <v>1</v>
      </c>
      <c r="G504" s="228"/>
      <c r="H504" s="17">
        <f>F504*D504</f>
        <v>0</v>
      </c>
      <c r="I504" s="72"/>
      <c r="K504" s="3">
        <v>6</v>
      </c>
      <c r="L504" s="3">
        <v>2</v>
      </c>
      <c r="M504" s="3"/>
      <c r="N504" s="3"/>
      <c r="O504" s="3"/>
      <c r="P504" s="50" t="s">
        <v>50</v>
      </c>
    </row>
    <row r="505" spans="1:16" ht="16.5" thickBot="1" x14ac:dyDescent="0.3">
      <c r="A505" s="364"/>
      <c r="B505" s="367"/>
      <c r="C505" s="225" t="s">
        <v>47</v>
      </c>
      <c r="D505" s="223"/>
      <c r="E505" s="85"/>
      <c r="F505" s="224">
        <v>1</v>
      </c>
      <c r="G505" s="224"/>
      <c r="H505" s="85">
        <f>F505*D505</f>
        <v>0</v>
      </c>
      <c r="I505" s="86"/>
      <c r="K505" s="214">
        <f>K504/SUM(K504:O504)*I506</f>
        <v>7.9509375000000002</v>
      </c>
      <c r="L505" s="214">
        <f>L504/SUM(K504:O504)*$I506</f>
        <v>2.6503125000000001</v>
      </c>
      <c r="M505" s="214">
        <f>M504/SUM(K504:O504)*$I506</f>
        <v>0</v>
      </c>
      <c r="N505" s="214">
        <f>N504/SUM(K504:O504)*$I506</f>
        <v>0</v>
      </c>
      <c r="O505" s="214">
        <f>O504/SUM(K504:O504)*$I506</f>
        <v>0</v>
      </c>
      <c r="P505" s="50" t="s">
        <v>90</v>
      </c>
    </row>
    <row r="506" spans="1:16" ht="16.5" thickTop="1" x14ac:dyDescent="0.25">
      <c r="A506" s="365"/>
      <c r="B506" s="368"/>
      <c r="C506" s="9"/>
      <c r="D506" s="9"/>
      <c r="E506" s="64"/>
      <c r="F506" s="222"/>
      <c r="G506" s="222"/>
      <c r="H506" s="64">
        <f>SUM(H502:H505)</f>
        <v>7.5</v>
      </c>
      <c r="I506" s="74">
        <f>H506*I$6*I$5</f>
        <v>10.60125</v>
      </c>
    </row>
    <row r="508" spans="1:16" ht="15.6" customHeight="1" x14ac:dyDescent="0.25">
      <c r="A508" s="363">
        <f>A502+1</f>
        <v>45598</v>
      </c>
      <c r="B508" s="366" t="s">
        <v>6</v>
      </c>
      <c r="C508" s="57" t="s">
        <v>72</v>
      </c>
      <c r="D508" s="7">
        <v>4</v>
      </c>
      <c r="E508" s="49">
        <v>8.5</v>
      </c>
      <c r="F508" s="48">
        <v>1</v>
      </c>
      <c r="G508" s="227">
        <f>2/4</f>
        <v>0.5</v>
      </c>
      <c r="H508" s="49">
        <f>F508*D508*G508</f>
        <v>2</v>
      </c>
      <c r="I508" s="55"/>
      <c r="K508" s="369" t="s">
        <v>23</v>
      </c>
      <c r="L508" s="370"/>
      <c r="M508" s="370"/>
      <c r="N508" s="370"/>
      <c r="O508" s="371"/>
    </row>
    <row r="509" spans="1:16" x14ac:dyDescent="0.25">
      <c r="A509" s="364"/>
      <c r="B509" s="367"/>
      <c r="C509" s="21" t="s">
        <v>73</v>
      </c>
      <c r="D509">
        <v>6</v>
      </c>
      <c r="E509" s="17">
        <v>8.4</v>
      </c>
      <c r="F509" s="16">
        <v>1</v>
      </c>
      <c r="G509" s="228">
        <f>2/4</f>
        <v>0.5</v>
      </c>
      <c r="H509" s="17">
        <f>F509*D509*G509</f>
        <v>3</v>
      </c>
      <c r="I509" s="72"/>
      <c r="K509" s="47" t="s">
        <v>27</v>
      </c>
      <c r="L509" s="47" t="s">
        <v>12</v>
      </c>
      <c r="M509" s="47" t="s">
        <v>87</v>
      </c>
      <c r="N509" s="47" t="s">
        <v>28</v>
      </c>
      <c r="O509" s="28" t="s">
        <v>86</v>
      </c>
      <c r="P509" s="17"/>
    </row>
    <row r="510" spans="1:16" x14ac:dyDescent="0.25">
      <c r="A510" s="364"/>
      <c r="B510" s="367"/>
      <c r="E510" s="17"/>
      <c r="F510" s="16">
        <v>1</v>
      </c>
      <c r="G510" s="228"/>
      <c r="H510" s="17">
        <f>F510*D510</f>
        <v>0</v>
      </c>
      <c r="I510" s="72"/>
      <c r="K510" s="3">
        <v>2</v>
      </c>
      <c r="L510" s="3">
        <v>2</v>
      </c>
      <c r="M510" s="3"/>
      <c r="N510" s="3"/>
      <c r="O510" s="3"/>
      <c r="P510" s="50" t="s">
        <v>50</v>
      </c>
    </row>
    <row r="511" spans="1:16" ht="16.5" thickBot="1" x14ac:dyDescent="0.3">
      <c r="A511" s="364"/>
      <c r="B511" s="367"/>
      <c r="C511" s="225" t="s">
        <v>47</v>
      </c>
      <c r="D511" s="223"/>
      <c r="E511" s="85"/>
      <c r="F511" s="224">
        <v>1</v>
      </c>
      <c r="G511" s="224"/>
      <c r="H511" s="85">
        <f>F511*D511</f>
        <v>0</v>
      </c>
      <c r="I511" s="86"/>
      <c r="K511" s="214">
        <f>K510/SUM(K510:O510)*I512</f>
        <v>3.5337500000000004</v>
      </c>
      <c r="L511" s="214">
        <f>L510/SUM(K510:O510)*$I512</f>
        <v>3.5337500000000004</v>
      </c>
      <c r="M511" s="214">
        <f>M510/SUM(K510:O510)*$I512</f>
        <v>0</v>
      </c>
      <c r="N511" s="214">
        <f>N510/SUM(K510:O510)*$I512</f>
        <v>0</v>
      </c>
      <c r="O511" s="214">
        <f>O510/SUM(K510:O510)*$I512</f>
        <v>0</v>
      </c>
      <c r="P511" s="50" t="s">
        <v>90</v>
      </c>
    </row>
    <row r="512" spans="1:16" ht="16.5" thickTop="1" x14ac:dyDescent="0.25">
      <c r="A512" s="365"/>
      <c r="B512" s="368"/>
      <c r="C512" s="9"/>
      <c r="D512" s="9"/>
      <c r="E512" s="64"/>
      <c r="F512" s="222"/>
      <c r="G512" s="222"/>
      <c r="H512" s="64">
        <f>SUM(H508:H511)</f>
        <v>5</v>
      </c>
      <c r="I512" s="74">
        <f>H512*I$6*I$5</f>
        <v>7.0675000000000008</v>
      </c>
    </row>
    <row r="514" spans="1:16" ht="15.6" customHeight="1" x14ac:dyDescent="0.25">
      <c r="A514" s="363">
        <f>A508+1</f>
        <v>45599</v>
      </c>
      <c r="B514" s="366" t="s">
        <v>0</v>
      </c>
      <c r="C514" s="57" t="s">
        <v>72</v>
      </c>
      <c r="D514" s="7">
        <v>20</v>
      </c>
      <c r="E514" s="49">
        <v>8.1</v>
      </c>
      <c r="F514" s="48">
        <v>1</v>
      </c>
      <c r="G514" s="227">
        <f>1/18</f>
        <v>5.5555555555555552E-2</v>
      </c>
      <c r="H514" s="49">
        <f>F514*D514*G514</f>
        <v>1.1111111111111112</v>
      </c>
      <c r="I514" s="55"/>
      <c r="K514" s="369" t="s">
        <v>23</v>
      </c>
      <c r="L514" s="370"/>
      <c r="M514" s="370"/>
      <c r="N514" s="370"/>
      <c r="O514" s="371"/>
    </row>
    <row r="515" spans="1:16" x14ac:dyDescent="0.25">
      <c r="A515" s="364"/>
      <c r="B515" s="367"/>
      <c r="C515" s="21" t="s">
        <v>73</v>
      </c>
      <c r="D515">
        <v>8</v>
      </c>
      <c r="E515" s="17">
        <v>7.9</v>
      </c>
      <c r="F515" s="16">
        <v>1</v>
      </c>
      <c r="G515" s="228">
        <v>0.06</v>
      </c>
      <c r="H515" s="17">
        <f>F515*D515*G515</f>
        <v>0.48</v>
      </c>
      <c r="I515" s="72"/>
      <c r="K515" s="47" t="s">
        <v>27</v>
      </c>
      <c r="L515" s="47" t="s">
        <v>12</v>
      </c>
      <c r="M515" s="47" t="s">
        <v>87</v>
      </c>
      <c r="N515" s="47" t="s">
        <v>28</v>
      </c>
      <c r="O515" s="28" t="s">
        <v>86</v>
      </c>
      <c r="P515" s="17"/>
    </row>
    <row r="516" spans="1:16" x14ac:dyDescent="0.25">
      <c r="A516" s="364"/>
      <c r="B516" s="367"/>
      <c r="E516" s="17"/>
      <c r="F516" s="16">
        <v>1</v>
      </c>
      <c r="G516" s="228"/>
      <c r="H516" s="17">
        <f>F516*D516</f>
        <v>0</v>
      </c>
      <c r="I516" s="72"/>
      <c r="K516" s="3">
        <v>1</v>
      </c>
      <c r="L516" s="3">
        <v>17</v>
      </c>
      <c r="M516" s="3"/>
      <c r="N516" s="3"/>
      <c r="O516" s="3"/>
      <c r="P516" s="50" t="s">
        <v>50</v>
      </c>
    </row>
    <row r="517" spans="1:16" ht="16.5" thickBot="1" x14ac:dyDescent="0.3">
      <c r="A517" s="364"/>
      <c r="B517" s="367"/>
      <c r="C517" s="225" t="s">
        <v>47</v>
      </c>
      <c r="D517" s="223"/>
      <c r="E517" s="85"/>
      <c r="F517" s="224">
        <v>1</v>
      </c>
      <c r="G517" s="224"/>
      <c r="H517" s="85">
        <f>F517*D517</f>
        <v>0</v>
      </c>
      <c r="I517" s="86"/>
      <c r="K517" s="214">
        <f>K516/SUM(K516:O516)*I518</f>
        <v>0.1249464197530864</v>
      </c>
      <c r="L517" s="214">
        <f>L516/SUM(K516:O516)*$I518</f>
        <v>2.1240891358024689</v>
      </c>
      <c r="M517" s="214">
        <f>M516/SUM(K516:O516)*$I518</f>
        <v>0</v>
      </c>
      <c r="N517" s="214">
        <f>N516/SUM(K516:O516)*$I518</f>
        <v>0</v>
      </c>
      <c r="O517" s="214">
        <f>O516/SUM(K516:O516)*$I518</f>
        <v>0</v>
      </c>
      <c r="P517" s="50" t="s">
        <v>90</v>
      </c>
    </row>
    <row r="518" spans="1:16" ht="16.5" thickTop="1" x14ac:dyDescent="0.25">
      <c r="A518" s="365"/>
      <c r="B518" s="368"/>
      <c r="C518" s="9"/>
      <c r="D518" s="9"/>
      <c r="E518" s="64"/>
      <c r="F518" s="222"/>
      <c r="G518" s="222"/>
      <c r="H518" s="64">
        <f>SUM(H514:H517)</f>
        <v>1.5911111111111111</v>
      </c>
      <c r="I518" s="74">
        <f>H518*I$6*I$5</f>
        <v>2.2490355555555555</v>
      </c>
    </row>
    <row r="519" spans="1:16" x14ac:dyDescent="0.25">
      <c r="B519" s="9"/>
    </row>
    <row r="520" spans="1:16" ht="15.6" customHeight="1" x14ac:dyDescent="0.25">
      <c r="A520" s="363">
        <f>A514+1</f>
        <v>45600</v>
      </c>
      <c r="B520" s="366" t="s">
        <v>1</v>
      </c>
      <c r="C520" s="57" t="s">
        <v>72</v>
      </c>
      <c r="D520" s="7"/>
      <c r="E520" s="49"/>
      <c r="F520" s="48">
        <v>1</v>
      </c>
      <c r="G520" s="227"/>
      <c r="H520" s="49">
        <f>F520*D520*G520</f>
        <v>0</v>
      </c>
      <c r="I520" s="55"/>
      <c r="K520" s="369" t="s">
        <v>23</v>
      </c>
      <c r="L520" s="370"/>
      <c r="M520" s="370"/>
      <c r="N520" s="370"/>
      <c r="O520" s="371"/>
    </row>
    <row r="521" spans="1:16" x14ac:dyDescent="0.25">
      <c r="A521" s="364"/>
      <c r="B521" s="367"/>
      <c r="C521" s="21" t="s">
        <v>73</v>
      </c>
      <c r="E521" s="17"/>
      <c r="F521" s="16">
        <v>1</v>
      </c>
      <c r="G521" s="228"/>
      <c r="H521" s="17">
        <f>F521*D521*G521</f>
        <v>0</v>
      </c>
      <c r="I521" s="72"/>
      <c r="K521" s="47" t="s">
        <v>27</v>
      </c>
      <c r="L521" s="47" t="s">
        <v>12</v>
      </c>
      <c r="M521" s="47" t="s">
        <v>87</v>
      </c>
      <c r="N521" s="47" t="s">
        <v>28</v>
      </c>
      <c r="O521" s="28" t="s">
        <v>86</v>
      </c>
      <c r="P521" s="17"/>
    </row>
    <row r="522" spans="1:16" x14ac:dyDescent="0.25">
      <c r="A522" s="364"/>
      <c r="B522" s="367"/>
      <c r="E522" s="17"/>
      <c r="F522" s="16">
        <v>1</v>
      </c>
      <c r="G522" s="228"/>
      <c r="H522" s="17">
        <f>F522*D522</f>
        <v>0</v>
      </c>
      <c r="I522" s="72"/>
      <c r="K522" s="3"/>
      <c r="L522" s="3"/>
      <c r="M522" s="3"/>
      <c r="N522" s="3"/>
      <c r="O522" s="3"/>
      <c r="P522" s="50" t="s">
        <v>50</v>
      </c>
    </row>
    <row r="523" spans="1:16" ht="16.5" thickBot="1" x14ac:dyDescent="0.3">
      <c r="A523" s="364"/>
      <c r="B523" s="367"/>
      <c r="C523" s="225" t="s">
        <v>47</v>
      </c>
      <c r="D523" s="223"/>
      <c r="E523" s="85"/>
      <c r="F523" s="224">
        <v>1</v>
      </c>
      <c r="G523" s="224"/>
      <c r="H523" s="85">
        <f>F523*D523</f>
        <v>0</v>
      </c>
      <c r="I523" s="86"/>
      <c r="K523" s="214" t="e">
        <f>K522/SUM(K522:O522)*I524</f>
        <v>#DIV/0!</v>
      </c>
      <c r="L523" s="214" t="e">
        <f>L522/SUM(K522:O522)*$I524</f>
        <v>#DIV/0!</v>
      </c>
      <c r="M523" s="214" t="e">
        <f>M522/SUM(K522:O522)*$I524</f>
        <v>#DIV/0!</v>
      </c>
      <c r="N523" s="214" t="e">
        <f>N522/SUM(K522:O522)*$I524</f>
        <v>#DIV/0!</v>
      </c>
      <c r="O523" s="214" t="e">
        <f>O522/SUM(K522:O522)*$I524</f>
        <v>#DIV/0!</v>
      </c>
      <c r="P523" s="50" t="s">
        <v>90</v>
      </c>
    </row>
    <row r="524" spans="1:16" ht="16.5" thickTop="1" x14ac:dyDescent="0.25">
      <c r="A524" s="365"/>
      <c r="B524" s="368"/>
      <c r="C524" s="9"/>
      <c r="D524" s="9"/>
      <c r="E524" s="64"/>
      <c r="F524" s="222"/>
      <c r="G524" s="222"/>
      <c r="H524" s="64">
        <f>SUM(H520:H523)</f>
        <v>0</v>
      </c>
      <c r="I524" s="74">
        <f>H524*I$6*I$5</f>
        <v>0</v>
      </c>
    </row>
    <row r="526" spans="1:16" ht="15.6" customHeight="1" x14ac:dyDescent="0.25">
      <c r="A526" s="363">
        <f>A520+1</f>
        <v>45601</v>
      </c>
      <c r="B526" s="366" t="s">
        <v>2</v>
      </c>
      <c r="C526" s="57" t="s">
        <v>72</v>
      </c>
      <c r="D526" s="7"/>
      <c r="E526" s="49"/>
      <c r="F526" s="48">
        <v>1</v>
      </c>
      <c r="G526" s="227">
        <v>1</v>
      </c>
      <c r="H526" s="49">
        <f>F526*D526*G526</f>
        <v>0</v>
      </c>
      <c r="I526" s="55"/>
      <c r="K526" s="369" t="s">
        <v>23</v>
      </c>
      <c r="L526" s="370"/>
      <c r="M526" s="370"/>
      <c r="N526" s="370"/>
      <c r="O526" s="371"/>
    </row>
    <row r="527" spans="1:16" x14ac:dyDescent="0.25">
      <c r="A527" s="364"/>
      <c r="B527" s="367"/>
      <c r="C527" s="21" t="s">
        <v>73</v>
      </c>
      <c r="E527" s="17"/>
      <c r="F527" s="16">
        <v>1</v>
      </c>
      <c r="G527" s="228">
        <v>1</v>
      </c>
      <c r="H527" s="17">
        <f>F527*D527*G527</f>
        <v>0</v>
      </c>
      <c r="I527" s="72"/>
      <c r="K527" s="47" t="s">
        <v>27</v>
      </c>
      <c r="L527" s="47" t="s">
        <v>12</v>
      </c>
      <c r="M527" s="47" t="s">
        <v>87</v>
      </c>
      <c r="N527" s="47" t="s">
        <v>28</v>
      </c>
      <c r="O527" s="28" t="s">
        <v>86</v>
      </c>
      <c r="P527" s="17"/>
    </row>
    <row r="528" spans="1:16" x14ac:dyDescent="0.25">
      <c r="A528" s="364"/>
      <c r="B528" s="367"/>
      <c r="E528" s="17"/>
      <c r="F528" s="16">
        <v>1</v>
      </c>
      <c r="G528" s="228"/>
      <c r="H528" s="17">
        <f>F528*D528</f>
        <v>0</v>
      </c>
      <c r="I528" s="72"/>
      <c r="K528" s="3"/>
      <c r="L528" s="3"/>
      <c r="M528" s="3"/>
      <c r="N528" s="3"/>
      <c r="O528" s="3"/>
      <c r="P528" s="50" t="s">
        <v>50</v>
      </c>
    </row>
    <row r="529" spans="1:16" ht="16.5" thickBot="1" x14ac:dyDescent="0.3">
      <c r="A529" s="364"/>
      <c r="B529" s="367"/>
      <c r="C529" s="225" t="s">
        <v>47</v>
      </c>
      <c r="D529" s="223"/>
      <c r="E529" s="85"/>
      <c r="F529" s="224">
        <v>1</v>
      </c>
      <c r="G529" s="224"/>
      <c r="H529" s="85">
        <f>F529*D529</f>
        <v>0</v>
      </c>
      <c r="I529" s="86"/>
      <c r="K529" s="214" t="e">
        <f>K528/SUM(K528:O528)*I530</f>
        <v>#DIV/0!</v>
      </c>
      <c r="L529" s="214" t="e">
        <f>L528/SUM(K528:O528)*$I530</f>
        <v>#DIV/0!</v>
      </c>
      <c r="M529" s="214" t="e">
        <f>M528/SUM(K528:O528)*$I530</f>
        <v>#DIV/0!</v>
      </c>
      <c r="N529" s="214" t="e">
        <f>N528/SUM(K528:O528)*$I530</f>
        <v>#DIV/0!</v>
      </c>
      <c r="O529" s="214" t="e">
        <f>O528/SUM(K528:O528)*$I530</f>
        <v>#DIV/0!</v>
      </c>
      <c r="P529" s="50" t="s">
        <v>90</v>
      </c>
    </row>
    <row r="530" spans="1:16" ht="16.5" thickTop="1" x14ac:dyDescent="0.25">
      <c r="A530" s="365"/>
      <c r="B530" s="368"/>
      <c r="C530" s="9"/>
      <c r="D530" s="9"/>
      <c r="E530" s="64"/>
      <c r="F530" s="222"/>
      <c r="G530" s="222"/>
      <c r="H530" s="64">
        <f>SUM(H526:H529)</f>
        <v>0</v>
      </c>
      <c r="I530" s="74">
        <f>H530*I$6*I$5</f>
        <v>0</v>
      </c>
    </row>
    <row r="532" spans="1:16" ht="15.6" customHeight="1" x14ac:dyDescent="0.25">
      <c r="A532" s="363">
        <f>A526+1</f>
        <v>45602</v>
      </c>
      <c r="B532" s="366" t="s">
        <v>3</v>
      </c>
      <c r="C532" s="57" t="s">
        <v>72</v>
      </c>
      <c r="D532" s="7">
        <v>16</v>
      </c>
      <c r="E532" s="49">
        <v>9.6999999999999993</v>
      </c>
      <c r="F532" s="48">
        <v>1</v>
      </c>
      <c r="G532" s="227">
        <v>1</v>
      </c>
      <c r="H532" s="49">
        <f>F532*D532*G532</f>
        <v>16</v>
      </c>
      <c r="I532" s="55"/>
      <c r="K532" s="369" t="s">
        <v>23</v>
      </c>
      <c r="L532" s="370"/>
      <c r="M532" s="370"/>
      <c r="N532" s="370"/>
      <c r="O532" s="371"/>
    </row>
    <row r="533" spans="1:16" x14ac:dyDescent="0.25">
      <c r="A533" s="364"/>
      <c r="B533" s="367"/>
      <c r="C533" s="21" t="s">
        <v>73</v>
      </c>
      <c r="D533">
        <v>10</v>
      </c>
      <c r="E533" s="17">
        <v>9.5</v>
      </c>
      <c r="F533" s="16">
        <v>1</v>
      </c>
      <c r="G533" s="228">
        <v>1</v>
      </c>
      <c r="H533" s="17">
        <f>F533*D533*G533</f>
        <v>10</v>
      </c>
      <c r="I533" s="72"/>
      <c r="K533" s="47" t="s">
        <v>27</v>
      </c>
      <c r="L533" s="47" t="s">
        <v>12</v>
      </c>
      <c r="M533" s="47" t="s">
        <v>87</v>
      </c>
      <c r="N533" s="47" t="s">
        <v>28</v>
      </c>
      <c r="O533" s="28" t="s">
        <v>86</v>
      </c>
      <c r="P533" s="17"/>
    </row>
    <row r="534" spans="1:16" x14ac:dyDescent="0.25">
      <c r="A534" s="364"/>
      <c r="B534" s="367"/>
      <c r="E534" s="17"/>
      <c r="F534" s="16">
        <v>1</v>
      </c>
      <c r="G534" s="228"/>
      <c r="H534" s="17">
        <f>F534*D534</f>
        <v>0</v>
      </c>
      <c r="I534" s="72"/>
      <c r="K534" s="3"/>
      <c r="L534" s="3"/>
      <c r="M534" s="3"/>
      <c r="N534" s="3"/>
      <c r="O534" s="3"/>
      <c r="P534" s="50" t="s">
        <v>50</v>
      </c>
    </row>
    <row r="535" spans="1:16" ht="16.5" thickBot="1" x14ac:dyDescent="0.3">
      <c r="A535" s="364"/>
      <c r="B535" s="367"/>
      <c r="C535" s="225" t="s">
        <v>47</v>
      </c>
      <c r="D535" s="223"/>
      <c r="E535" s="85"/>
      <c r="F535" s="224">
        <v>1</v>
      </c>
      <c r="G535" s="224"/>
      <c r="H535" s="85">
        <f>F535*D535</f>
        <v>0</v>
      </c>
      <c r="I535" s="86"/>
      <c r="K535" s="214" t="e">
        <f>K534/SUM(K534:O534)*I536</f>
        <v>#DIV/0!</v>
      </c>
      <c r="L535" s="214" t="e">
        <f>L534/SUM(K534:O534)*$I536</f>
        <v>#DIV/0!</v>
      </c>
      <c r="M535" s="214" t="e">
        <f>M534/SUM(K534:O534)*$I536</f>
        <v>#DIV/0!</v>
      </c>
      <c r="N535" s="214" t="e">
        <f>N534/SUM(K534:O534)*$I536</f>
        <v>#DIV/0!</v>
      </c>
      <c r="O535" s="214" t="e">
        <f>O534/SUM(K534:O534)*$I536</f>
        <v>#DIV/0!</v>
      </c>
      <c r="P535" s="50" t="s">
        <v>90</v>
      </c>
    </row>
    <row r="536" spans="1:16" ht="16.5" thickTop="1" x14ac:dyDescent="0.25">
      <c r="A536" s="365"/>
      <c r="B536" s="368"/>
      <c r="C536" s="9"/>
      <c r="D536" s="9"/>
      <c r="E536" s="64"/>
      <c r="F536" s="222"/>
      <c r="G536" s="222"/>
      <c r="H536" s="64">
        <f>SUM(H532:H535)</f>
        <v>26</v>
      </c>
      <c r="I536" s="74">
        <f>H536*I$6*I$5</f>
        <v>36.750999999999998</v>
      </c>
    </row>
    <row r="538" spans="1:16" ht="15.6" customHeight="1" x14ac:dyDescent="0.25">
      <c r="A538" s="363">
        <f>A532+1</f>
        <v>45603</v>
      </c>
      <c r="B538" s="366" t="s">
        <v>4</v>
      </c>
      <c r="C538" s="57" t="s">
        <v>72</v>
      </c>
      <c r="D538" s="7">
        <v>15</v>
      </c>
      <c r="E538" s="49">
        <v>13.3</v>
      </c>
      <c r="F538" s="48">
        <v>1</v>
      </c>
      <c r="G538" s="227">
        <v>1</v>
      </c>
      <c r="H538" s="49">
        <f>F538*D538*G538</f>
        <v>15</v>
      </c>
      <c r="I538" s="55"/>
      <c r="K538" s="369" t="s">
        <v>23</v>
      </c>
      <c r="L538" s="370"/>
      <c r="M538" s="370"/>
      <c r="N538" s="370"/>
      <c r="O538" s="371"/>
    </row>
    <row r="539" spans="1:16" x14ac:dyDescent="0.25">
      <c r="A539" s="364"/>
      <c r="B539" s="367"/>
      <c r="C539" s="21" t="s">
        <v>73</v>
      </c>
      <c r="D539">
        <v>2</v>
      </c>
      <c r="E539" s="17">
        <v>11.4</v>
      </c>
      <c r="F539" s="16">
        <v>1</v>
      </c>
      <c r="G539" s="228">
        <v>1</v>
      </c>
      <c r="H539" s="17">
        <f>F539*D539*G539</f>
        <v>2</v>
      </c>
      <c r="I539" s="72"/>
      <c r="K539" s="47" t="s">
        <v>27</v>
      </c>
      <c r="L539" s="47" t="s">
        <v>12</v>
      </c>
      <c r="M539" s="47" t="s">
        <v>87</v>
      </c>
      <c r="N539" s="47" t="s">
        <v>28</v>
      </c>
      <c r="O539" s="28" t="s">
        <v>86</v>
      </c>
      <c r="P539" s="17"/>
    </row>
    <row r="540" spans="1:16" x14ac:dyDescent="0.25">
      <c r="A540" s="364"/>
      <c r="B540" s="367"/>
      <c r="E540" s="17"/>
      <c r="F540" s="16">
        <v>1</v>
      </c>
      <c r="G540" s="228"/>
      <c r="H540" s="17">
        <f>F540*D540</f>
        <v>0</v>
      </c>
      <c r="I540" s="72"/>
      <c r="K540" s="3"/>
      <c r="L540" s="3"/>
      <c r="M540" s="3"/>
      <c r="N540" s="3"/>
      <c r="O540" s="3"/>
      <c r="P540" s="50" t="s">
        <v>50</v>
      </c>
    </row>
    <row r="541" spans="1:16" ht="16.5" thickBot="1" x14ac:dyDescent="0.3">
      <c r="A541" s="364"/>
      <c r="B541" s="367"/>
      <c r="C541" s="225" t="s">
        <v>47</v>
      </c>
      <c r="D541" s="223"/>
      <c r="E541" s="85"/>
      <c r="F541" s="224">
        <v>1</v>
      </c>
      <c r="G541" s="224"/>
      <c r="H541" s="85">
        <f>F541*D541</f>
        <v>0</v>
      </c>
      <c r="I541" s="86"/>
      <c r="K541" s="214" t="e">
        <f>K540/SUM(K540:O540)*I542</f>
        <v>#DIV/0!</v>
      </c>
      <c r="L541" s="214" t="e">
        <f>L540/SUM(K540:O540)*$I542</f>
        <v>#DIV/0!</v>
      </c>
      <c r="M541" s="214" t="e">
        <f>M540/SUM(K540:O540)*$I542</f>
        <v>#DIV/0!</v>
      </c>
      <c r="N541" s="214" t="e">
        <f>N540/SUM(K540:O540)*$I542</f>
        <v>#DIV/0!</v>
      </c>
      <c r="O541" s="214" t="e">
        <f>O540/SUM(K540:O540)*$I542</f>
        <v>#DIV/0!</v>
      </c>
      <c r="P541" s="50" t="s">
        <v>90</v>
      </c>
    </row>
    <row r="542" spans="1:16" ht="16.5" thickTop="1" x14ac:dyDescent="0.25">
      <c r="A542" s="365"/>
      <c r="B542" s="368"/>
      <c r="C542" s="9"/>
      <c r="D542" s="9"/>
      <c r="E542" s="64"/>
      <c r="F542" s="222"/>
      <c r="G542" s="222"/>
      <c r="H542" s="64">
        <f>SUM(H538:H541)</f>
        <v>17</v>
      </c>
      <c r="I542" s="74">
        <f>H542*I$6*I$5</f>
        <v>24.029500000000002</v>
      </c>
    </row>
    <row r="544" spans="1:16" ht="15.6" customHeight="1" x14ac:dyDescent="0.25">
      <c r="A544" s="363">
        <f>A538+1</f>
        <v>45604</v>
      </c>
      <c r="B544" s="366" t="s">
        <v>5</v>
      </c>
      <c r="C544" s="57" t="s">
        <v>72</v>
      </c>
      <c r="D544" s="7"/>
      <c r="E544" s="49"/>
      <c r="F544" s="48">
        <v>1</v>
      </c>
      <c r="G544" s="227">
        <v>1</v>
      </c>
      <c r="H544" s="49">
        <f>F544*D544*G544</f>
        <v>0</v>
      </c>
      <c r="I544" s="55"/>
      <c r="K544" s="369" t="s">
        <v>23</v>
      </c>
      <c r="L544" s="370"/>
      <c r="M544" s="370"/>
      <c r="N544" s="370"/>
      <c r="O544" s="371"/>
    </row>
    <row r="545" spans="1:16" x14ac:dyDescent="0.25">
      <c r="A545" s="364"/>
      <c r="B545" s="367"/>
      <c r="C545" s="21" t="s">
        <v>73</v>
      </c>
      <c r="E545" s="17"/>
      <c r="F545" s="16">
        <v>1</v>
      </c>
      <c r="G545" s="228">
        <v>1</v>
      </c>
      <c r="H545" s="17">
        <f>F545*D545*G545</f>
        <v>0</v>
      </c>
      <c r="I545" s="72"/>
      <c r="K545" s="47" t="s">
        <v>27</v>
      </c>
      <c r="L545" s="47" t="s">
        <v>12</v>
      </c>
      <c r="M545" s="47" t="s">
        <v>87</v>
      </c>
      <c r="N545" s="47" t="s">
        <v>28</v>
      </c>
      <c r="O545" s="28" t="s">
        <v>86</v>
      </c>
      <c r="P545" s="17"/>
    </row>
    <row r="546" spans="1:16" x14ac:dyDescent="0.25">
      <c r="A546" s="364"/>
      <c r="B546" s="367"/>
      <c r="E546" s="17"/>
      <c r="F546" s="16">
        <v>1</v>
      </c>
      <c r="G546" s="228"/>
      <c r="H546" s="17">
        <f>F546*D546</f>
        <v>0</v>
      </c>
      <c r="I546" s="72"/>
      <c r="K546" s="3"/>
      <c r="L546" s="3"/>
      <c r="M546" s="3"/>
      <c r="N546" s="3"/>
      <c r="O546" s="3"/>
      <c r="P546" s="50" t="s">
        <v>50</v>
      </c>
    </row>
    <row r="547" spans="1:16" ht="16.5" thickBot="1" x14ac:dyDescent="0.3">
      <c r="A547" s="364"/>
      <c r="B547" s="367"/>
      <c r="C547" s="225" t="s">
        <v>47</v>
      </c>
      <c r="D547" s="223"/>
      <c r="E547" s="85"/>
      <c r="F547" s="224">
        <v>1</v>
      </c>
      <c r="G547" s="224"/>
      <c r="H547" s="85">
        <f>F547*D547</f>
        <v>0</v>
      </c>
      <c r="I547" s="86"/>
      <c r="K547" s="214" t="e">
        <f>K546/SUM(K546:O546)*I548</f>
        <v>#DIV/0!</v>
      </c>
      <c r="L547" s="214" t="e">
        <f>L546/SUM(K546:O546)*$I548</f>
        <v>#DIV/0!</v>
      </c>
      <c r="M547" s="214" t="e">
        <f>M546/SUM(K546:O546)*$I548</f>
        <v>#DIV/0!</v>
      </c>
      <c r="N547" s="214" t="e">
        <f>N546/SUM(K546:O546)*$I548</f>
        <v>#DIV/0!</v>
      </c>
      <c r="O547" s="214" t="e">
        <f>O546/SUM(K546:O546)*$I548</f>
        <v>#DIV/0!</v>
      </c>
      <c r="P547" s="50" t="s">
        <v>90</v>
      </c>
    </row>
    <row r="548" spans="1:16" ht="16.5" thickTop="1" x14ac:dyDescent="0.25">
      <c r="A548" s="365"/>
      <c r="B548" s="368"/>
      <c r="C548" s="9"/>
      <c r="D548" s="9"/>
      <c r="E548" s="64"/>
      <c r="F548" s="222"/>
      <c r="G548" s="222"/>
      <c r="H548" s="64">
        <f>SUM(H544:H547)</f>
        <v>0</v>
      </c>
      <c r="I548" s="74">
        <f>H548*I$6*I$5</f>
        <v>0</v>
      </c>
    </row>
    <row r="550" spans="1:16" ht="15.6" customHeight="1" x14ac:dyDescent="0.25">
      <c r="A550" s="363">
        <f>A544+1</f>
        <v>45605</v>
      </c>
      <c r="B550" s="366" t="s">
        <v>6</v>
      </c>
      <c r="C550" s="57" t="s">
        <v>72</v>
      </c>
      <c r="D550" s="7">
        <v>25</v>
      </c>
      <c r="E550" s="49">
        <v>8.4</v>
      </c>
      <c r="F550" s="48">
        <v>1</v>
      </c>
      <c r="G550" s="227">
        <v>1</v>
      </c>
      <c r="H550" s="49">
        <f>F550*D550*G550</f>
        <v>25</v>
      </c>
      <c r="I550" s="55"/>
      <c r="K550" s="369" t="s">
        <v>23</v>
      </c>
      <c r="L550" s="370"/>
      <c r="M550" s="370"/>
      <c r="N550" s="370"/>
      <c r="O550" s="371"/>
    </row>
    <row r="551" spans="1:16" x14ac:dyDescent="0.25">
      <c r="A551" s="364"/>
      <c r="B551" s="367"/>
      <c r="C551" s="21" t="s">
        <v>73</v>
      </c>
      <c r="D551">
        <v>8</v>
      </c>
      <c r="E551" s="17">
        <v>8.3000000000000007</v>
      </c>
      <c r="F551" s="16">
        <v>1</v>
      </c>
      <c r="G551" s="228">
        <v>1</v>
      </c>
      <c r="H551" s="17">
        <f>F551*D551*G551</f>
        <v>8</v>
      </c>
      <c r="I551" s="72"/>
      <c r="K551" s="47" t="s">
        <v>27</v>
      </c>
      <c r="L551" s="47" t="s">
        <v>12</v>
      </c>
      <c r="M551" s="47" t="s">
        <v>87</v>
      </c>
      <c r="N551" s="47" t="s">
        <v>28</v>
      </c>
      <c r="O551" s="28" t="s">
        <v>86</v>
      </c>
      <c r="P551" s="17"/>
    </row>
    <row r="552" spans="1:16" x14ac:dyDescent="0.25">
      <c r="A552" s="364"/>
      <c r="B552" s="367"/>
      <c r="E552" s="17"/>
      <c r="F552" s="16">
        <v>1</v>
      </c>
      <c r="G552" s="228"/>
      <c r="H552" s="17">
        <f>F552*D552</f>
        <v>0</v>
      </c>
      <c r="I552" s="72"/>
      <c r="K552" s="3"/>
      <c r="L552" s="3"/>
      <c r="M552" s="3"/>
      <c r="N552" s="3"/>
      <c r="O552" s="3"/>
      <c r="P552" s="50" t="s">
        <v>50</v>
      </c>
    </row>
    <row r="553" spans="1:16" ht="16.5" thickBot="1" x14ac:dyDescent="0.3">
      <c r="A553" s="364"/>
      <c r="B553" s="367"/>
      <c r="C553" s="225" t="s">
        <v>47</v>
      </c>
      <c r="D553" s="223"/>
      <c r="E553" s="85"/>
      <c r="F553" s="224">
        <v>1</v>
      </c>
      <c r="G553" s="224"/>
      <c r="H553" s="85">
        <f>F553*D553</f>
        <v>0</v>
      </c>
      <c r="I553" s="86"/>
      <c r="K553" s="214" t="e">
        <f>K552/SUM(K552:O552)*I554</f>
        <v>#DIV/0!</v>
      </c>
      <c r="L553" s="214" t="e">
        <f>L552/SUM(K552:O552)*$I554</f>
        <v>#DIV/0!</v>
      </c>
      <c r="M553" s="214" t="e">
        <f>M552/SUM(K552:O552)*$I554</f>
        <v>#DIV/0!</v>
      </c>
      <c r="N553" s="214" t="e">
        <f>N552/SUM(K552:O552)*$I554</f>
        <v>#DIV/0!</v>
      </c>
      <c r="O553" s="214" t="e">
        <f>O552/SUM(K552:O552)*$I554</f>
        <v>#DIV/0!</v>
      </c>
      <c r="P553" s="50" t="s">
        <v>90</v>
      </c>
    </row>
    <row r="554" spans="1:16" ht="16.5" thickTop="1" x14ac:dyDescent="0.25">
      <c r="A554" s="365"/>
      <c r="B554" s="368"/>
      <c r="C554" s="9"/>
      <c r="D554" s="9"/>
      <c r="E554" s="64"/>
      <c r="F554" s="222"/>
      <c r="G554" s="222"/>
      <c r="H554" s="64">
        <f>SUM(H550:H553)</f>
        <v>33</v>
      </c>
      <c r="I554" s="74">
        <f>H554*I$6*I$5</f>
        <v>46.645499999999998</v>
      </c>
    </row>
    <row r="556" spans="1:16" ht="15.6" customHeight="1" x14ac:dyDescent="0.25">
      <c r="A556" s="363">
        <f>A550+1</f>
        <v>45606</v>
      </c>
      <c r="B556" s="366" t="s">
        <v>0</v>
      </c>
      <c r="C556" s="57" t="s">
        <v>72</v>
      </c>
      <c r="D556" s="7"/>
      <c r="E556" s="49"/>
      <c r="F556" s="48">
        <v>1</v>
      </c>
      <c r="G556" s="227"/>
      <c r="H556" s="49">
        <f>F556*D556*G556</f>
        <v>0</v>
      </c>
      <c r="I556" s="55"/>
      <c r="K556" s="369" t="s">
        <v>23</v>
      </c>
      <c r="L556" s="370"/>
      <c r="M556" s="370"/>
      <c r="N556" s="370"/>
      <c r="O556" s="371"/>
    </row>
    <row r="557" spans="1:16" x14ac:dyDescent="0.25">
      <c r="A557" s="364"/>
      <c r="B557" s="367"/>
      <c r="C557" s="21" t="s">
        <v>73</v>
      </c>
      <c r="E557" s="17"/>
      <c r="F557" s="16">
        <v>1</v>
      </c>
      <c r="G557" s="228"/>
      <c r="H557" s="17">
        <f>F557*D557*G557</f>
        <v>0</v>
      </c>
      <c r="I557" s="72"/>
      <c r="K557" s="47" t="s">
        <v>27</v>
      </c>
      <c r="L557" s="47" t="s">
        <v>12</v>
      </c>
      <c r="M557" s="47" t="s">
        <v>87</v>
      </c>
      <c r="N557" s="47" t="s">
        <v>28</v>
      </c>
      <c r="O557" s="28" t="s">
        <v>86</v>
      </c>
      <c r="P557" s="17"/>
    </row>
    <row r="558" spans="1:16" x14ac:dyDescent="0.25">
      <c r="A558" s="364"/>
      <c r="B558" s="367"/>
      <c r="E558" s="17"/>
      <c r="F558" s="16">
        <v>1</v>
      </c>
      <c r="G558" s="228"/>
      <c r="H558" s="17">
        <f>F558*D558</f>
        <v>0</v>
      </c>
      <c r="I558" s="72"/>
      <c r="K558" s="3"/>
      <c r="L558" s="3"/>
      <c r="M558" s="3"/>
      <c r="N558" s="3"/>
      <c r="O558" s="3"/>
      <c r="P558" s="50" t="s">
        <v>50</v>
      </c>
    </row>
    <row r="559" spans="1:16" ht="16.5" thickBot="1" x14ac:dyDescent="0.3">
      <c r="A559" s="364"/>
      <c r="B559" s="367"/>
      <c r="C559" s="225" t="s">
        <v>47</v>
      </c>
      <c r="D559" s="223"/>
      <c r="E559" s="85"/>
      <c r="F559" s="224">
        <v>1</v>
      </c>
      <c r="G559" s="224"/>
      <c r="H559" s="85">
        <f>F559*D559</f>
        <v>0</v>
      </c>
      <c r="I559" s="86"/>
      <c r="K559" s="214" t="e">
        <f>K558/SUM(K558:O558)*I560</f>
        <v>#DIV/0!</v>
      </c>
      <c r="L559" s="214" t="e">
        <f>L558/SUM(K558:O558)*$I560</f>
        <v>#DIV/0!</v>
      </c>
      <c r="M559" s="214" t="e">
        <f>M558/SUM(K558:O558)*$I560</f>
        <v>#DIV/0!</v>
      </c>
      <c r="N559" s="214" t="e">
        <f>N558/SUM(K558:O558)*$I560</f>
        <v>#DIV/0!</v>
      </c>
      <c r="O559" s="214" t="e">
        <f>O558/SUM(K558:O558)*$I560</f>
        <v>#DIV/0!</v>
      </c>
      <c r="P559" s="50" t="s">
        <v>90</v>
      </c>
    </row>
    <row r="560" spans="1:16" ht="16.5" thickTop="1" x14ac:dyDescent="0.25">
      <c r="A560" s="365"/>
      <c r="B560" s="368"/>
      <c r="C560" s="9"/>
      <c r="D560" s="9"/>
      <c r="E560" s="64"/>
      <c r="F560" s="222"/>
      <c r="G560" s="222"/>
      <c r="H560" s="64">
        <f>SUM(H556:H559)</f>
        <v>0</v>
      </c>
      <c r="I560" s="74">
        <f>H560*I$6*I$5</f>
        <v>0</v>
      </c>
    </row>
    <row r="561" spans="1:16" x14ac:dyDescent="0.25">
      <c r="B561" s="9"/>
    </row>
    <row r="562" spans="1:16" ht="15.6" customHeight="1" x14ac:dyDescent="0.25">
      <c r="A562" s="363">
        <f>A556+1</f>
        <v>45607</v>
      </c>
      <c r="B562" s="366" t="s">
        <v>1</v>
      </c>
      <c r="C562" s="57" t="s">
        <v>72</v>
      </c>
      <c r="D562" s="7"/>
      <c r="E562" s="49"/>
      <c r="F562" s="48">
        <v>1</v>
      </c>
      <c r="G562" s="227"/>
      <c r="H562" s="49">
        <f>F562*D562*G562</f>
        <v>0</v>
      </c>
      <c r="I562" s="55"/>
      <c r="K562" s="369" t="s">
        <v>23</v>
      </c>
      <c r="L562" s="370"/>
      <c r="M562" s="370"/>
      <c r="N562" s="370"/>
      <c r="O562" s="371"/>
    </row>
    <row r="563" spans="1:16" x14ac:dyDescent="0.25">
      <c r="A563" s="364"/>
      <c r="B563" s="367"/>
      <c r="C563" s="21" t="s">
        <v>73</v>
      </c>
      <c r="E563" s="17"/>
      <c r="F563" s="16">
        <v>1</v>
      </c>
      <c r="G563" s="228"/>
      <c r="H563" s="17">
        <f>F563*D563*G563</f>
        <v>0</v>
      </c>
      <c r="I563" s="72"/>
      <c r="K563" s="47" t="s">
        <v>27</v>
      </c>
      <c r="L563" s="47" t="s">
        <v>12</v>
      </c>
      <c r="M563" s="47" t="s">
        <v>87</v>
      </c>
      <c r="N563" s="47" t="s">
        <v>28</v>
      </c>
      <c r="O563" s="28" t="s">
        <v>86</v>
      </c>
      <c r="P563" s="17"/>
    </row>
    <row r="564" spans="1:16" x14ac:dyDescent="0.25">
      <c r="A564" s="364"/>
      <c r="B564" s="367"/>
      <c r="E564" s="17"/>
      <c r="F564" s="16">
        <v>1</v>
      </c>
      <c r="G564" s="228"/>
      <c r="H564" s="17">
        <f>F564*D564</f>
        <v>0</v>
      </c>
      <c r="I564" s="72"/>
      <c r="K564" s="3"/>
      <c r="L564" s="3"/>
      <c r="M564" s="3"/>
      <c r="N564" s="3"/>
      <c r="O564" s="3"/>
      <c r="P564" s="50" t="s">
        <v>50</v>
      </c>
    </row>
    <row r="565" spans="1:16" ht="16.5" thickBot="1" x14ac:dyDescent="0.3">
      <c r="A565" s="364"/>
      <c r="B565" s="367"/>
      <c r="C565" s="225" t="s">
        <v>47</v>
      </c>
      <c r="D565" s="223"/>
      <c r="E565" s="85"/>
      <c r="F565" s="224">
        <v>1</v>
      </c>
      <c r="G565" s="224"/>
      <c r="H565" s="85">
        <f>F565*D565</f>
        <v>0</v>
      </c>
      <c r="I565" s="86"/>
      <c r="K565" s="214" t="e">
        <f>K564/SUM(K564:O564)*I566</f>
        <v>#DIV/0!</v>
      </c>
      <c r="L565" s="214" t="e">
        <f>L564/SUM(K564:O564)*$I566</f>
        <v>#DIV/0!</v>
      </c>
      <c r="M565" s="214" t="e">
        <f>M564/SUM(K564:O564)*$I566</f>
        <v>#DIV/0!</v>
      </c>
      <c r="N565" s="214" t="e">
        <f>N564/SUM(K564:O564)*$I566</f>
        <v>#DIV/0!</v>
      </c>
      <c r="O565" s="214" t="e">
        <f>O564/SUM(K564:O564)*$I566</f>
        <v>#DIV/0!</v>
      </c>
      <c r="P565" s="50" t="s">
        <v>90</v>
      </c>
    </row>
    <row r="566" spans="1:16" ht="16.5" thickTop="1" x14ac:dyDescent="0.25">
      <c r="A566" s="365"/>
      <c r="B566" s="368"/>
      <c r="C566" s="9"/>
      <c r="D566" s="9"/>
      <c r="E566" s="64"/>
      <c r="F566" s="222"/>
      <c r="G566" s="222"/>
      <c r="H566" s="64">
        <f>SUM(H562:H565)</f>
        <v>0</v>
      </c>
      <c r="I566" s="74">
        <f>H566*I$6*I$5</f>
        <v>0</v>
      </c>
    </row>
    <row r="568" spans="1:16" ht="15.6" customHeight="1" x14ac:dyDescent="0.25">
      <c r="A568" s="363">
        <f>A562+1</f>
        <v>45608</v>
      </c>
      <c r="B568" s="366" t="s">
        <v>2</v>
      </c>
      <c r="C568" s="57" t="s">
        <v>72</v>
      </c>
      <c r="D568" s="7">
        <v>1</v>
      </c>
      <c r="E568" s="49">
        <v>12.6</v>
      </c>
      <c r="F568" s="48">
        <v>1</v>
      </c>
      <c r="G568" s="227">
        <v>1</v>
      </c>
      <c r="H568" s="49">
        <f>F568*D568*G568</f>
        <v>1</v>
      </c>
      <c r="I568" s="55"/>
      <c r="K568" s="369" t="s">
        <v>23</v>
      </c>
      <c r="L568" s="370"/>
      <c r="M568" s="370"/>
      <c r="N568" s="370"/>
      <c r="O568" s="371"/>
    </row>
    <row r="569" spans="1:16" x14ac:dyDescent="0.25">
      <c r="A569" s="364"/>
      <c r="B569" s="367"/>
      <c r="C569" s="21" t="s">
        <v>73</v>
      </c>
      <c r="D569">
        <v>1</v>
      </c>
      <c r="E569" s="17">
        <v>12.7</v>
      </c>
      <c r="F569" s="16">
        <v>1</v>
      </c>
      <c r="G569" s="228">
        <v>1</v>
      </c>
      <c r="H569" s="17">
        <f>F569*D569*G569</f>
        <v>1</v>
      </c>
      <c r="I569" s="72"/>
      <c r="K569" s="47" t="s">
        <v>27</v>
      </c>
      <c r="L569" s="47" t="s">
        <v>12</v>
      </c>
      <c r="M569" s="47" t="s">
        <v>87</v>
      </c>
      <c r="N569" s="47" t="s">
        <v>28</v>
      </c>
      <c r="O569" s="28" t="s">
        <v>86</v>
      </c>
      <c r="P569" s="17"/>
    </row>
    <row r="570" spans="1:16" x14ac:dyDescent="0.25">
      <c r="A570" s="364"/>
      <c r="B570" s="367"/>
      <c r="E570" s="17"/>
      <c r="F570" s="16">
        <v>1</v>
      </c>
      <c r="G570" s="228"/>
      <c r="H570" s="17">
        <f>F570*D570</f>
        <v>0</v>
      </c>
      <c r="I570" s="72"/>
      <c r="K570" s="3"/>
      <c r="L570" s="3"/>
      <c r="M570" s="3"/>
      <c r="N570" s="3"/>
      <c r="O570" s="3"/>
      <c r="P570" s="50" t="s">
        <v>50</v>
      </c>
    </row>
    <row r="571" spans="1:16" ht="16.5" thickBot="1" x14ac:dyDescent="0.3">
      <c r="A571" s="364"/>
      <c r="B571" s="367"/>
      <c r="C571" s="225" t="s">
        <v>47</v>
      </c>
      <c r="D571" s="223"/>
      <c r="E571" s="85"/>
      <c r="F571" s="224">
        <v>1</v>
      </c>
      <c r="G571" s="224"/>
      <c r="H571" s="85">
        <f>F571*D571</f>
        <v>0</v>
      </c>
      <c r="I571" s="86"/>
      <c r="K571" s="214" t="e">
        <f>K570/SUM(K570:O570)*I572</f>
        <v>#DIV/0!</v>
      </c>
      <c r="L571" s="214" t="e">
        <f>L570/SUM(K570:O570)*$I572</f>
        <v>#DIV/0!</v>
      </c>
      <c r="M571" s="214" t="e">
        <f>M570/SUM(K570:O570)*$I572</f>
        <v>#DIV/0!</v>
      </c>
      <c r="N571" s="214" t="e">
        <f>N570/SUM(K570:O570)*$I572</f>
        <v>#DIV/0!</v>
      </c>
      <c r="O571" s="214" t="e">
        <f>O570/SUM(K570:O570)*$I572</f>
        <v>#DIV/0!</v>
      </c>
      <c r="P571" s="50" t="s">
        <v>90</v>
      </c>
    </row>
    <row r="572" spans="1:16" ht="16.5" thickTop="1" x14ac:dyDescent="0.25">
      <c r="A572" s="365"/>
      <c r="B572" s="368"/>
      <c r="C572" s="9"/>
      <c r="D572" s="9"/>
      <c r="E572" s="64"/>
      <c r="F572" s="222"/>
      <c r="G572" s="222"/>
      <c r="H572" s="64">
        <f>SUM(H568:H571)</f>
        <v>2</v>
      </c>
      <c r="I572" s="74">
        <f>H572*I$6*I$5</f>
        <v>2.827</v>
      </c>
    </row>
    <row r="574" spans="1:16" ht="15.6" customHeight="1" x14ac:dyDescent="0.25">
      <c r="A574" s="363">
        <f>A568+1</f>
        <v>45609</v>
      </c>
      <c r="B574" s="366" t="s">
        <v>3</v>
      </c>
      <c r="C574" s="57" t="s">
        <v>72</v>
      </c>
      <c r="D574" s="7">
        <v>1</v>
      </c>
      <c r="E574" s="49">
        <v>9.5</v>
      </c>
      <c r="F574" s="48">
        <v>1</v>
      </c>
      <c r="G574" s="227">
        <v>1</v>
      </c>
      <c r="H574" s="49">
        <f>F574*D574*G574</f>
        <v>1</v>
      </c>
      <c r="I574" s="55"/>
      <c r="K574" s="369" t="s">
        <v>23</v>
      </c>
      <c r="L574" s="370"/>
      <c r="M574" s="370"/>
      <c r="N574" s="370"/>
      <c r="O574" s="371"/>
    </row>
    <row r="575" spans="1:16" x14ac:dyDescent="0.25">
      <c r="A575" s="364"/>
      <c r="B575" s="367"/>
      <c r="C575" s="21" t="s">
        <v>73</v>
      </c>
      <c r="D575">
        <v>0</v>
      </c>
      <c r="E575" s="17">
        <v>9.4</v>
      </c>
      <c r="F575" s="16">
        <v>1</v>
      </c>
      <c r="G575" s="228">
        <v>1</v>
      </c>
      <c r="H575" s="17">
        <f>F575*D575*G575</f>
        <v>0</v>
      </c>
      <c r="I575" s="72"/>
      <c r="K575" s="47" t="s">
        <v>27</v>
      </c>
      <c r="L575" s="47" t="s">
        <v>12</v>
      </c>
      <c r="M575" s="47" t="s">
        <v>87</v>
      </c>
      <c r="N575" s="47" t="s">
        <v>28</v>
      </c>
      <c r="O575" s="28" t="s">
        <v>86</v>
      </c>
      <c r="P575" s="17"/>
    </row>
    <row r="576" spans="1:16" x14ac:dyDescent="0.25">
      <c r="A576" s="364"/>
      <c r="B576" s="367"/>
      <c r="E576" s="17"/>
      <c r="F576" s="16">
        <v>1</v>
      </c>
      <c r="G576" s="228"/>
      <c r="H576" s="17">
        <f>F576*D576</f>
        <v>0</v>
      </c>
      <c r="I576" s="72"/>
      <c r="K576" s="3"/>
      <c r="L576" s="3"/>
      <c r="M576" s="3"/>
      <c r="N576" s="3"/>
      <c r="O576" s="3"/>
      <c r="P576" s="50" t="s">
        <v>50</v>
      </c>
    </row>
    <row r="577" spans="1:16" ht="16.5" thickBot="1" x14ac:dyDescent="0.3">
      <c r="A577" s="364"/>
      <c r="B577" s="367"/>
      <c r="C577" s="225" t="s">
        <v>47</v>
      </c>
      <c r="D577" s="223"/>
      <c r="E577" s="85"/>
      <c r="F577" s="224">
        <v>1</v>
      </c>
      <c r="G577" s="224"/>
      <c r="H577" s="85">
        <f>F577*D577</f>
        <v>0</v>
      </c>
      <c r="I577" s="86"/>
      <c r="K577" s="214" t="e">
        <f>K576/SUM(K576:O576)*I578</f>
        <v>#DIV/0!</v>
      </c>
      <c r="L577" s="214" t="e">
        <f>L576/SUM(K576:O576)*$I578</f>
        <v>#DIV/0!</v>
      </c>
      <c r="M577" s="214" t="e">
        <f>M576/SUM(K576:O576)*$I578</f>
        <v>#DIV/0!</v>
      </c>
      <c r="N577" s="214" t="e">
        <f>N576/SUM(K576:O576)*$I578</f>
        <v>#DIV/0!</v>
      </c>
      <c r="O577" s="214" t="e">
        <f>O576/SUM(K576:O576)*$I578</f>
        <v>#DIV/0!</v>
      </c>
      <c r="P577" s="50" t="s">
        <v>90</v>
      </c>
    </row>
    <row r="578" spans="1:16" ht="16.5" thickTop="1" x14ac:dyDescent="0.25">
      <c r="A578" s="365"/>
      <c r="B578" s="368"/>
      <c r="C578" s="9"/>
      <c r="D578" s="9"/>
      <c r="E578" s="64"/>
      <c r="F578" s="222"/>
      <c r="G578" s="222"/>
      <c r="H578" s="64">
        <f>SUM(H574:H577)</f>
        <v>1</v>
      </c>
      <c r="I578" s="74">
        <f>H578*I$6*I$5</f>
        <v>1.4135</v>
      </c>
    </row>
    <row r="580" spans="1:16" ht="15.6" customHeight="1" x14ac:dyDescent="0.25">
      <c r="A580" s="363">
        <f>A574+1</f>
        <v>45610</v>
      </c>
      <c r="B580" s="366" t="s">
        <v>4</v>
      </c>
      <c r="C580" s="57" t="s">
        <v>72</v>
      </c>
      <c r="D580" s="7">
        <v>6</v>
      </c>
      <c r="E580" s="49">
        <v>12.7</v>
      </c>
      <c r="F580" s="48">
        <v>1</v>
      </c>
      <c r="G580" s="227">
        <v>1</v>
      </c>
      <c r="H580" s="49">
        <f>F580*D580*G580</f>
        <v>6</v>
      </c>
      <c r="I580" s="55"/>
      <c r="K580" s="369" t="s">
        <v>23</v>
      </c>
      <c r="L580" s="370"/>
      <c r="M580" s="370"/>
      <c r="N580" s="370"/>
      <c r="O580" s="371"/>
    </row>
    <row r="581" spans="1:16" x14ac:dyDescent="0.25">
      <c r="A581" s="364"/>
      <c r="B581" s="367"/>
      <c r="C581" s="21" t="s">
        <v>73</v>
      </c>
      <c r="D581">
        <v>4</v>
      </c>
      <c r="E581" s="17">
        <v>12.5</v>
      </c>
      <c r="F581" s="16">
        <v>1</v>
      </c>
      <c r="G581" s="228">
        <v>1</v>
      </c>
      <c r="H581" s="17">
        <f>F581*D581*G581</f>
        <v>4</v>
      </c>
      <c r="I581" s="72"/>
      <c r="K581" s="47" t="s">
        <v>27</v>
      </c>
      <c r="L581" s="47" t="s">
        <v>12</v>
      </c>
      <c r="M581" s="47" t="s">
        <v>87</v>
      </c>
      <c r="N581" s="47" t="s">
        <v>28</v>
      </c>
      <c r="O581" s="28" t="s">
        <v>86</v>
      </c>
      <c r="P581" s="17"/>
    </row>
    <row r="582" spans="1:16" x14ac:dyDescent="0.25">
      <c r="A582" s="364"/>
      <c r="B582" s="367"/>
      <c r="E582" s="17"/>
      <c r="F582" s="16">
        <v>1</v>
      </c>
      <c r="G582" s="228"/>
      <c r="H582" s="17">
        <f>F582*D582</f>
        <v>0</v>
      </c>
      <c r="I582" s="72"/>
      <c r="K582" s="3"/>
      <c r="L582" s="3"/>
      <c r="M582" s="3"/>
      <c r="N582" s="3"/>
      <c r="O582" s="3"/>
      <c r="P582" s="50" t="s">
        <v>50</v>
      </c>
    </row>
    <row r="583" spans="1:16" ht="16.5" thickBot="1" x14ac:dyDescent="0.3">
      <c r="A583" s="364"/>
      <c r="B583" s="367"/>
      <c r="C583" s="225" t="s">
        <v>47</v>
      </c>
      <c r="D583" s="223"/>
      <c r="E583" s="85"/>
      <c r="F583" s="224">
        <v>1</v>
      </c>
      <c r="G583" s="224"/>
      <c r="H583" s="85">
        <f>F583*D583</f>
        <v>0</v>
      </c>
      <c r="I583" s="86"/>
      <c r="K583" s="214" t="e">
        <f>K582/SUM(K582:O582)*I584</f>
        <v>#DIV/0!</v>
      </c>
      <c r="L583" s="214" t="e">
        <f>L582/SUM(K582:O582)*$I584</f>
        <v>#DIV/0!</v>
      </c>
      <c r="M583" s="214" t="e">
        <f>M582/SUM(K582:O582)*$I584</f>
        <v>#DIV/0!</v>
      </c>
      <c r="N583" s="214" t="e">
        <f>N582/SUM(K582:O582)*$I584</f>
        <v>#DIV/0!</v>
      </c>
      <c r="O583" s="214" t="e">
        <f>O582/SUM(K582:O582)*$I584</f>
        <v>#DIV/0!</v>
      </c>
      <c r="P583" s="50" t="s">
        <v>90</v>
      </c>
    </row>
    <row r="584" spans="1:16" ht="16.5" thickTop="1" x14ac:dyDescent="0.25">
      <c r="A584" s="365"/>
      <c r="B584" s="368"/>
      <c r="C584" s="9"/>
      <c r="D584" s="9"/>
      <c r="E584" s="64"/>
      <c r="F584" s="222"/>
      <c r="G584" s="222"/>
      <c r="H584" s="64">
        <f>SUM(H580:H583)</f>
        <v>10</v>
      </c>
      <c r="I584" s="74">
        <f>H584*I$6*I$5</f>
        <v>14.135000000000002</v>
      </c>
    </row>
    <row r="586" spans="1:16" ht="15.6" customHeight="1" x14ac:dyDescent="0.25">
      <c r="A586" s="363">
        <f>A580+1</f>
        <v>45611</v>
      </c>
      <c r="B586" s="366" t="s">
        <v>5</v>
      </c>
      <c r="C586" s="57" t="s">
        <v>72</v>
      </c>
      <c r="D586" s="7"/>
      <c r="E586" s="49"/>
      <c r="F586" s="48">
        <v>1</v>
      </c>
      <c r="G586" s="227"/>
      <c r="H586" s="49">
        <f>F586*D586*G586</f>
        <v>0</v>
      </c>
      <c r="I586" s="55"/>
      <c r="K586" s="369" t="s">
        <v>23</v>
      </c>
      <c r="L586" s="370"/>
      <c r="M586" s="370"/>
      <c r="N586" s="370"/>
      <c r="O586" s="371"/>
    </row>
    <row r="587" spans="1:16" x14ac:dyDescent="0.25">
      <c r="A587" s="364"/>
      <c r="B587" s="367"/>
      <c r="C587" s="21" t="s">
        <v>73</v>
      </c>
      <c r="E587" s="17"/>
      <c r="F587" s="16">
        <v>1</v>
      </c>
      <c r="G587" s="228"/>
      <c r="H587" s="17">
        <f>F587*D587*G587</f>
        <v>0</v>
      </c>
      <c r="I587" s="72"/>
      <c r="K587" s="47" t="s">
        <v>27</v>
      </c>
      <c r="L587" s="47" t="s">
        <v>12</v>
      </c>
      <c r="M587" s="47" t="s">
        <v>87</v>
      </c>
      <c r="N587" s="47" t="s">
        <v>28</v>
      </c>
      <c r="O587" s="28" t="s">
        <v>86</v>
      </c>
      <c r="P587" s="17"/>
    </row>
    <row r="588" spans="1:16" x14ac:dyDescent="0.25">
      <c r="A588" s="364"/>
      <c r="B588" s="367"/>
      <c r="E588" s="17"/>
      <c r="F588" s="16">
        <v>1</v>
      </c>
      <c r="G588" s="228"/>
      <c r="H588" s="17">
        <f>F588*D588</f>
        <v>0</v>
      </c>
      <c r="I588" s="72"/>
      <c r="K588" s="3"/>
      <c r="L588" s="3"/>
      <c r="M588" s="3"/>
      <c r="N588" s="3"/>
      <c r="O588" s="3"/>
      <c r="P588" s="50" t="s">
        <v>50</v>
      </c>
    </row>
    <row r="589" spans="1:16" ht="16.5" thickBot="1" x14ac:dyDescent="0.3">
      <c r="A589" s="364"/>
      <c r="B589" s="367"/>
      <c r="C589" s="225" t="s">
        <v>47</v>
      </c>
      <c r="D589" s="223"/>
      <c r="E589" s="85"/>
      <c r="F589" s="224">
        <v>1</v>
      </c>
      <c r="G589" s="224"/>
      <c r="H589" s="85">
        <f>F589*D589</f>
        <v>0</v>
      </c>
      <c r="I589" s="86"/>
      <c r="K589" s="214" t="e">
        <f>K588/SUM(K588:O588)*I590</f>
        <v>#DIV/0!</v>
      </c>
      <c r="L589" s="214" t="e">
        <f>L588/SUM(K588:O588)*$I590</f>
        <v>#DIV/0!</v>
      </c>
      <c r="M589" s="214" t="e">
        <f>M588/SUM(K588:O588)*$I590</f>
        <v>#DIV/0!</v>
      </c>
      <c r="N589" s="214" t="e">
        <f>N588/SUM(K588:O588)*$I590</f>
        <v>#DIV/0!</v>
      </c>
      <c r="O589" s="214" t="e">
        <f>O588/SUM(K588:O588)*$I590</f>
        <v>#DIV/0!</v>
      </c>
      <c r="P589" s="50" t="s">
        <v>90</v>
      </c>
    </row>
    <row r="590" spans="1:16" ht="16.5" thickTop="1" x14ac:dyDescent="0.25">
      <c r="A590" s="365"/>
      <c r="B590" s="368"/>
      <c r="C590" s="9"/>
      <c r="D590" s="9"/>
      <c r="E590" s="64"/>
      <c r="F590" s="222"/>
      <c r="G590" s="222"/>
      <c r="H590" s="64">
        <f>SUM(H586:H589)</f>
        <v>0</v>
      </c>
      <c r="I590" s="74">
        <f>H590*I$6*I$5</f>
        <v>0</v>
      </c>
    </row>
    <row r="592" spans="1:16" ht="15.6" customHeight="1" x14ac:dyDescent="0.25">
      <c r="A592" s="363">
        <f>A586+1</f>
        <v>45612</v>
      </c>
      <c r="B592" s="366" t="s">
        <v>6</v>
      </c>
      <c r="C592" s="57" t="s">
        <v>72</v>
      </c>
      <c r="D592" s="7"/>
      <c r="E592" s="49"/>
      <c r="F592" s="48">
        <v>1</v>
      </c>
      <c r="G592" s="227"/>
      <c r="H592" s="49">
        <f>F592*D592*G592</f>
        <v>0</v>
      </c>
      <c r="I592" s="55"/>
      <c r="K592" s="369" t="s">
        <v>23</v>
      </c>
      <c r="L592" s="370"/>
      <c r="M592" s="370"/>
      <c r="N592" s="370"/>
      <c r="O592" s="371"/>
    </row>
    <row r="593" spans="1:16" x14ac:dyDescent="0.25">
      <c r="A593" s="364"/>
      <c r="B593" s="367"/>
      <c r="C593" s="21" t="s">
        <v>73</v>
      </c>
      <c r="E593" s="17"/>
      <c r="F593" s="16">
        <v>1</v>
      </c>
      <c r="G593" s="228"/>
      <c r="H593" s="17">
        <f>F593*D593*G593</f>
        <v>0</v>
      </c>
      <c r="I593" s="72"/>
      <c r="K593" s="47" t="s">
        <v>27</v>
      </c>
      <c r="L593" s="47" t="s">
        <v>12</v>
      </c>
      <c r="M593" s="47" t="s">
        <v>87</v>
      </c>
      <c r="N593" s="47" t="s">
        <v>28</v>
      </c>
      <c r="O593" s="28" t="s">
        <v>86</v>
      </c>
      <c r="P593" s="17"/>
    </row>
    <row r="594" spans="1:16" x14ac:dyDescent="0.25">
      <c r="A594" s="364"/>
      <c r="B594" s="367"/>
      <c r="E594" s="17"/>
      <c r="F594" s="16">
        <v>1</v>
      </c>
      <c r="G594" s="228"/>
      <c r="H594" s="17">
        <f>F594*D594</f>
        <v>0</v>
      </c>
      <c r="I594" s="72"/>
      <c r="K594" s="3"/>
      <c r="L594" s="3"/>
      <c r="M594" s="3"/>
      <c r="N594" s="3"/>
      <c r="O594" s="3"/>
      <c r="P594" s="50" t="s">
        <v>50</v>
      </c>
    </row>
    <row r="595" spans="1:16" ht="16.5" thickBot="1" x14ac:dyDescent="0.3">
      <c r="A595" s="364"/>
      <c r="B595" s="367"/>
      <c r="C595" s="225" t="s">
        <v>47</v>
      </c>
      <c r="D595" s="223"/>
      <c r="E595" s="85"/>
      <c r="F595" s="224">
        <v>1</v>
      </c>
      <c r="G595" s="224"/>
      <c r="H595" s="85">
        <f>F595*D595</f>
        <v>0</v>
      </c>
      <c r="I595" s="86"/>
      <c r="K595" s="214" t="e">
        <f>K594/SUM(K594:O594)*I596</f>
        <v>#DIV/0!</v>
      </c>
      <c r="L595" s="214" t="e">
        <f>L594/SUM(K594:O594)*$I596</f>
        <v>#DIV/0!</v>
      </c>
      <c r="M595" s="214" t="e">
        <f>M594/SUM(K594:O594)*$I596</f>
        <v>#DIV/0!</v>
      </c>
      <c r="N595" s="214" t="e">
        <f>N594/SUM(K594:O594)*$I596</f>
        <v>#DIV/0!</v>
      </c>
      <c r="O595" s="214" t="e">
        <f>O594/SUM(K594:O594)*$I596</f>
        <v>#DIV/0!</v>
      </c>
      <c r="P595" s="50" t="s">
        <v>90</v>
      </c>
    </row>
    <row r="596" spans="1:16" ht="16.5" thickTop="1" x14ac:dyDescent="0.25">
      <c r="A596" s="365"/>
      <c r="B596" s="368"/>
      <c r="C596" s="9"/>
      <c r="D596" s="9"/>
      <c r="E596" s="64"/>
      <c r="F596" s="222"/>
      <c r="G596" s="222"/>
      <c r="H596" s="64">
        <f>SUM(H592:H595)</f>
        <v>0</v>
      </c>
      <c r="I596" s="74">
        <f>H596*I$6*I$5</f>
        <v>0</v>
      </c>
    </row>
    <row r="598" spans="1:16" ht="15.6" customHeight="1" x14ac:dyDescent="0.25">
      <c r="A598" s="363">
        <f>A592+1</f>
        <v>45613</v>
      </c>
      <c r="B598" s="366" t="s">
        <v>0</v>
      </c>
      <c r="C598" s="57" t="s">
        <v>72</v>
      </c>
      <c r="D598" s="7"/>
      <c r="E598" s="49"/>
      <c r="F598" s="48">
        <v>1</v>
      </c>
      <c r="G598" s="227"/>
      <c r="H598" s="49">
        <f>F598*D598*G598</f>
        <v>0</v>
      </c>
      <c r="I598" s="55"/>
      <c r="K598" s="369" t="s">
        <v>23</v>
      </c>
      <c r="L598" s="370"/>
      <c r="M598" s="370"/>
      <c r="N598" s="370"/>
      <c r="O598" s="371"/>
    </row>
    <row r="599" spans="1:16" x14ac:dyDescent="0.25">
      <c r="A599" s="364"/>
      <c r="B599" s="367"/>
      <c r="C599" s="21" t="s">
        <v>73</v>
      </c>
      <c r="E599" s="17"/>
      <c r="F599" s="16">
        <v>1</v>
      </c>
      <c r="G599" s="228"/>
      <c r="H599" s="17">
        <f>F599*D599*G599</f>
        <v>0</v>
      </c>
      <c r="I599" s="72"/>
      <c r="K599" s="47" t="s">
        <v>27</v>
      </c>
      <c r="L599" s="47" t="s">
        <v>12</v>
      </c>
      <c r="M599" s="47" t="s">
        <v>87</v>
      </c>
      <c r="N599" s="47" t="s">
        <v>28</v>
      </c>
      <c r="O599" s="28" t="s">
        <v>86</v>
      </c>
      <c r="P599" s="17"/>
    </row>
    <row r="600" spans="1:16" x14ac:dyDescent="0.25">
      <c r="A600" s="364"/>
      <c r="B600" s="367"/>
      <c r="E600" s="17"/>
      <c r="F600" s="16">
        <v>1</v>
      </c>
      <c r="G600" s="228"/>
      <c r="H600" s="17">
        <f>F600*D600</f>
        <v>0</v>
      </c>
      <c r="I600" s="72"/>
      <c r="K600" s="3"/>
      <c r="L600" s="3"/>
      <c r="M600" s="3"/>
      <c r="N600" s="3"/>
      <c r="O600" s="3"/>
      <c r="P600" s="50" t="s">
        <v>50</v>
      </c>
    </row>
    <row r="601" spans="1:16" ht="16.5" thickBot="1" x14ac:dyDescent="0.3">
      <c r="A601" s="364"/>
      <c r="B601" s="367"/>
      <c r="C601" s="225" t="s">
        <v>47</v>
      </c>
      <c r="D601" s="223"/>
      <c r="E601" s="85"/>
      <c r="F601" s="224">
        <v>1</v>
      </c>
      <c r="G601" s="224"/>
      <c r="H601" s="85">
        <f>F601*D601</f>
        <v>0</v>
      </c>
      <c r="I601" s="86"/>
      <c r="K601" s="214" t="e">
        <f>K600/SUM(K600:O600)*I602</f>
        <v>#DIV/0!</v>
      </c>
      <c r="L601" s="214" t="e">
        <f>L600/SUM(K600:O600)*$I602</f>
        <v>#DIV/0!</v>
      </c>
      <c r="M601" s="214" t="e">
        <f>M600/SUM(K600:O600)*$I602</f>
        <v>#DIV/0!</v>
      </c>
      <c r="N601" s="214" t="e">
        <f>N600/SUM(K600:O600)*$I602</f>
        <v>#DIV/0!</v>
      </c>
      <c r="O601" s="214" t="e">
        <f>O600/SUM(K600:O600)*$I602</f>
        <v>#DIV/0!</v>
      </c>
      <c r="P601" s="50" t="s">
        <v>90</v>
      </c>
    </row>
    <row r="602" spans="1:16" ht="16.5" thickTop="1" x14ac:dyDescent="0.25">
      <c r="A602" s="365"/>
      <c r="B602" s="368"/>
      <c r="C602" s="9"/>
      <c r="D602" s="9"/>
      <c r="E602" s="64"/>
      <c r="F602" s="222"/>
      <c r="G602" s="222"/>
      <c r="H602" s="64">
        <f>SUM(H598:H601)</f>
        <v>0</v>
      </c>
      <c r="I602" s="74">
        <f>H602*I$6*I$5</f>
        <v>0</v>
      </c>
    </row>
    <row r="603" spans="1:16" x14ac:dyDescent="0.25">
      <c r="B603" s="9"/>
    </row>
    <row r="604" spans="1:16" x14ac:dyDescent="0.25">
      <c r="A604" s="363">
        <f>A598+1</f>
        <v>45614</v>
      </c>
      <c r="B604" s="366" t="s">
        <v>1</v>
      </c>
      <c r="C604" s="57" t="s">
        <v>72</v>
      </c>
      <c r="D604" s="7">
        <v>0</v>
      </c>
      <c r="E604" s="49">
        <v>13.4</v>
      </c>
      <c r="F604" s="48">
        <v>1</v>
      </c>
      <c r="G604" s="227">
        <v>1</v>
      </c>
      <c r="H604" s="49">
        <f>F604*D604*G604</f>
        <v>0</v>
      </c>
      <c r="I604" s="55"/>
      <c r="K604" s="369" t="s">
        <v>23</v>
      </c>
      <c r="L604" s="370"/>
      <c r="M604" s="370"/>
      <c r="N604" s="370"/>
      <c r="O604" s="371"/>
    </row>
    <row r="605" spans="1:16" x14ac:dyDescent="0.25">
      <c r="A605" s="364"/>
      <c r="B605" s="367"/>
      <c r="C605" s="21" t="s">
        <v>73</v>
      </c>
      <c r="D605">
        <v>0</v>
      </c>
      <c r="E605" s="17">
        <v>13.3</v>
      </c>
      <c r="F605" s="16">
        <v>1</v>
      </c>
      <c r="G605" s="228">
        <v>1</v>
      </c>
      <c r="H605" s="17">
        <f>F605*D605*G605</f>
        <v>0</v>
      </c>
      <c r="I605" s="72"/>
      <c r="K605" s="47" t="s">
        <v>27</v>
      </c>
      <c r="L605" s="47" t="s">
        <v>12</v>
      </c>
      <c r="M605" s="47" t="s">
        <v>87</v>
      </c>
      <c r="N605" s="47" t="s">
        <v>28</v>
      </c>
      <c r="O605" s="28" t="s">
        <v>86</v>
      </c>
      <c r="P605" s="17"/>
    </row>
    <row r="606" spans="1:16" x14ac:dyDescent="0.25">
      <c r="A606" s="364"/>
      <c r="B606" s="367"/>
      <c r="E606" s="17"/>
      <c r="F606" s="16">
        <v>1</v>
      </c>
      <c r="G606" s="228"/>
      <c r="H606" s="17">
        <f>F606*D606</f>
        <v>0</v>
      </c>
      <c r="I606" s="72"/>
      <c r="K606" s="3"/>
      <c r="L606" s="3"/>
      <c r="M606" s="3"/>
      <c r="N606" s="3"/>
      <c r="O606" s="3"/>
      <c r="P606" s="50" t="s">
        <v>50</v>
      </c>
    </row>
    <row r="607" spans="1:16" ht="16.5" thickBot="1" x14ac:dyDescent="0.3">
      <c r="A607" s="364"/>
      <c r="B607" s="367"/>
      <c r="C607" s="225" t="s">
        <v>47</v>
      </c>
      <c r="D607" s="223"/>
      <c r="E607" s="85"/>
      <c r="F607" s="224"/>
      <c r="G607" s="224"/>
      <c r="H607" s="85">
        <f>F607*D607</f>
        <v>0</v>
      </c>
      <c r="I607" s="86"/>
      <c r="K607" s="214" t="e">
        <f>K606/SUM(K606:O606)*I608</f>
        <v>#DIV/0!</v>
      </c>
      <c r="L607" s="214" t="e">
        <f>L606/SUM(K606:O606)*$I608</f>
        <v>#DIV/0!</v>
      </c>
      <c r="M607" s="214" t="e">
        <f>M606/SUM(K606:O606)*$I608</f>
        <v>#DIV/0!</v>
      </c>
      <c r="N607" s="214" t="e">
        <f>N606/SUM(K606:O606)*$I608</f>
        <v>#DIV/0!</v>
      </c>
      <c r="O607" s="214" t="e">
        <f>O606/SUM(K606:O606)*$I608</f>
        <v>#DIV/0!</v>
      </c>
      <c r="P607" s="50" t="s">
        <v>90</v>
      </c>
    </row>
    <row r="608" spans="1:16" ht="16.5" thickTop="1" x14ac:dyDescent="0.25">
      <c r="A608" s="365"/>
      <c r="B608" s="368"/>
      <c r="C608" s="9"/>
      <c r="D608" s="9"/>
      <c r="E608" s="64"/>
      <c r="F608" s="222"/>
      <c r="G608" s="222"/>
      <c r="H608" s="64">
        <f>SUM(H604:H607)</f>
        <v>0</v>
      </c>
      <c r="I608" s="74">
        <f>H608*I$6*I$5</f>
        <v>0</v>
      </c>
    </row>
    <row r="610" spans="1:16" x14ac:dyDescent="0.25">
      <c r="A610" s="363">
        <f>A604+1</f>
        <v>45615</v>
      </c>
      <c r="B610" s="366" t="s">
        <v>2</v>
      </c>
      <c r="C610" s="57" t="s">
        <v>72</v>
      </c>
      <c r="D610" s="7">
        <v>4</v>
      </c>
      <c r="E610" s="49">
        <v>9.5</v>
      </c>
      <c r="F610" s="48">
        <v>1</v>
      </c>
      <c r="G610" s="227">
        <v>1</v>
      </c>
      <c r="H610" s="49">
        <f>F610*D610*G610</f>
        <v>4</v>
      </c>
      <c r="I610" s="55"/>
      <c r="K610" s="369" t="s">
        <v>23</v>
      </c>
      <c r="L610" s="370"/>
      <c r="M610" s="370"/>
      <c r="N610" s="370"/>
      <c r="O610" s="371"/>
    </row>
    <row r="611" spans="1:16" x14ac:dyDescent="0.25">
      <c r="A611" s="364"/>
      <c r="B611" s="367"/>
      <c r="C611" s="21" t="s">
        <v>73</v>
      </c>
      <c r="D611">
        <v>1</v>
      </c>
      <c r="E611" s="17">
        <v>9.3000000000000007</v>
      </c>
      <c r="F611" s="16">
        <v>1</v>
      </c>
      <c r="G611" s="228">
        <v>1</v>
      </c>
      <c r="H611" s="17">
        <f>F611*D611*G611</f>
        <v>1</v>
      </c>
      <c r="I611" s="72"/>
      <c r="K611" s="47" t="s">
        <v>27</v>
      </c>
      <c r="L611" s="47" t="s">
        <v>12</v>
      </c>
      <c r="M611" s="47" t="s">
        <v>87</v>
      </c>
      <c r="N611" s="47" t="s">
        <v>28</v>
      </c>
      <c r="O611" s="28" t="s">
        <v>86</v>
      </c>
      <c r="P611" s="17"/>
    </row>
    <row r="612" spans="1:16" x14ac:dyDescent="0.25">
      <c r="A612" s="364"/>
      <c r="B612" s="367"/>
      <c r="E612" s="17"/>
      <c r="F612" s="16">
        <v>1</v>
      </c>
      <c r="G612" s="228"/>
      <c r="H612" s="17">
        <f>F612*D612</f>
        <v>0</v>
      </c>
      <c r="I612" s="72"/>
      <c r="K612" s="3"/>
      <c r="L612" s="3">
        <v>9</v>
      </c>
      <c r="M612" s="3"/>
      <c r="N612" s="3"/>
      <c r="O612" s="3"/>
      <c r="P612" s="50" t="s">
        <v>50</v>
      </c>
    </row>
    <row r="613" spans="1:16" ht="16.5" thickBot="1" x14ac:dyDescent="0.3">
      <c r="A613" s="364"/>
      <c r="B613" s="367"/>
      <c r="C613" s="225" t="s">
        <v>47</v>
      </c>
      <c r="D613" s="223"/>
      <c r="E613" s="85"/>
      <c r="F613" s="224"/>
      <c r="G613" s="224"/>
      <c r="H613" s="85">
        <f>F613*D613</f>
        <v>0</v>
      </c>
      <c r="I613" s="86"/>
      <c r="K613" s="214">
        <f>K612/SUM(K612:O612)*I614</f>
        <v>0</v>
      </c>
      <c r="L613" s="214">
        <f>L612/SUM(K612:O612)*$I614</f>
        <v>7.0675000000000008</v>
      </c>
      <c r="M613" s="214">
        <f>M612/SUM(K612:O612)*$I614</f>
        <v>0</v>
      </c>
      <c r="N613" s="214">
        <f>N612/SUM(K612:O612)*$I614</f>
        <v>0</v>
      </c>
      <c r="O613" s="214">
        <f>O612/SUM(K612:O612)*$I614</f>
        <v>0</v>
      </c>
      <c r="P613" s="50" t="s">
        <v>90</v>
      </c>
    </row>
    <row r="614" spans="1:16" ht="16.5" thickTop="1" x14ac:dyDescent="0.25">
      <c r="A614" s="365"/>
      <c r="B614" s="368"/>
      <c r="C614" s="9"/>
      <c r="D614" s="9"/>
      <c r="E614" s="64"/>
      <c r="F614" s="222"/>
      <c r="G614" s="222"/>
      <c r="H614" s="64">
        <f>SUM(H610:H613)</f>
        <v>5</v>
      </c>
      <c r="I614" s="74">
        <f>H614*I$6*I$5</f>
        <v>7.0675000000000008</v>
      </c>
    </row>
    <row r="616" spans="1:16" x14ac:dyDescent="0.25">
      <c r="A616" s="363">
        <f>A610+1</f>
        <v>45616</v>
      </c>
      <c r="B616" s="366" t="s">
        <v>3</v>
      </c>
      <c r="C616" s="57" t="s">
        <v>72</v>
      </c>
      <c r="D616" s="7">
        <v>2</v>
      </c>
      <c r="E616" s="49">
        <v>12.2</v>
      </c>
      <c r="F616" s="48">
        <v>1</v>
      </c>
      <c r="G616" s="227">
        <v>1</v>
      </c>
      <c r="H616" s="49">
        <f>F616*D616*G616</f>
        <v>2</v>
      </c>
      <c r="I616" s="55"/>
      <c r="K616" s="369" t="s">
        <v>23</v>
      </c>
      <c r="L616" s="370"/>
      <c r="M616" s="370"/>
      <c r="N616" s="370"/>
      <c r="O616" s="371"/>
    </row>
    <row r="617" spans="1:16" x14ac:dyDescent="0.25">
      <c r="A617" s="364"/>
      <c r="B617" s="367"/>
      <c r="C617" s="21" t="s">
        <v>73</v>
      </c>
      <c r="D617">
        <v>0</v>
      </c>
      <c r="E617" s="17">
        <v>12</v>
      </c>
      <c r="F617" s="16">
        <v>1</v>
      </c>
      <c r="G617" s="228">
        <v>1</v>
      </c>
      <c r="H617" s="17">
        <f>F617*D617*G617</f>
        <v>0</v>
      </c>
      <c r="I617" s="72"/>
      <c r="K617" s="47" t="s">
        <v>27</v>
      </c>
      <c r="L617" s="47" t="s">
        <v>12</v>
      </c>
      <c r="M617" s="47" t="s">
        <v>87</v>
      </c>
      <c r="N617" s="47" t="s">
        <v>28</v>
      </c>
      <c r="O617" s="28" t="s">
        <v>86</v>
      </c>
      <c r="P617" s="17"/>
    </row>
    <row r="618" spans="1:16" x14ac:dyDescent="0.25">
      <c r="A618" s="364"/>
      <c r="B618" s="367"/>
      <c r="E618" s="17"/>
      <c r="F618" s="16">
        <v>1</v>
      </c>
      <c r="G618" s="228"/>
      <c r="H618" s="17">
        <f>F618*D618</f>
        <v>0</v>
      </c>
      <c r="I618" s="72"/>
      <c r="K618" s="3"/>
      <c r="L618" s="3"/>
      <c r="M618" s="3"/>
      <c r="N618" s="3"/>
      <c r="O618" s="3"/>
      <c r="P618" s="50" t="s">
        <v>50</v>
      </c>
    </row>
    <row r="619" spans="1:16" ht="16.5" thickBot="1" x14ac:dyDescent="0.3">
      <c r="A619" s="364"/>
      <c r="B619" s="367"/>
      <c r="C619" s="225" t="s">
        <v>47</v>
      </c>
      <c r="D619" s="223"/>
      <c r="E619" s="85"/>
      <c r="F619" s="224">
        <v>1</v>
      </c>
      <c r="G619" s="224"/>
      <c r="H619" s="85">
        <f>F619*D619</f>
        <v>0</v>
      </c>
      <c r="I619" s="86"/>
      <c r="K619" s="214" t="e">
        <f>K618/SUM(K618:O618)*I620</f>
        <v>#DIV/0!</v>
      </c>
      <c r="L619" s="214" t="e">
        <f>L618/SUM(K618:O618)*$I620</f>
        <v>#DIV/0!</v>
      </c>
      <c r="M619" s="214" t="e">
        <f>M618/SUM(K618:O618)*$I620</f>
        <v>#DIV/0!</v>
      </c>
      <c r="N619" s="214" t="e">
        <f>N618/SUM(K618:O618)*$I620</f>
        <v>#DIV/0!</v>
      </c>
      <c r="O619" s="214" t="e">
        <f>O618/SUM(K618:O618)*$I620</f>
        <v>#DIV/0!</v>
      </c>
      <c r="P619" s="50" t="s">
        <v>90</v>
      </c>
    </row>
    <row r="620" spans="1:16" ht="16.5" thickTop="1" x14ac:dyDescent="0.25">
      <c r="A620" s="365"/>
      <c r="B620" s="368"/>
      <c r="C620" s="9"/>
      <c r="D620" s="9"/>
      <c r="E620" s="64"/>
      <c r="F620" s="222"/>
      <c r="G620" s="222"/>
      <c r="H620" s="64">
        <f>SUM(H616:H619)</f>
        <v>2</v>
      </c>
      <c r="I620" s="74">
        <f>H620*I$6*I$5</f>
        <v>2.827</v>
      </c>
    </row>
    <row r="622" spans="1:16" x14ac:dyDescent="0.25">
      <c r="A622" s="363">
        <f>A616+1</f>
        <v>45617</v>
      </c>
      <c r="B622" s="366" t="s">
        <v>4</v>
      </c>
      <c r="C622" s="57" t="s">
        <v>72</v>
      </c>
      <c r="D622" s="7">
        <v>7</v>
      </c>
      <c r="E622" s="49">
        <v>9.5</v>
      </c>
      <c r="F622" s="48">
        <v>1</v>
      </c>
      <c r="G622" s="227">
        <v>1</v>
      </c>
      <c r="H622" s="49">
        <f>F622*D622*G622</f>
        <v>7</v>
      </c>
      <c r="I622" s="55"/>
      <c r="K622" s="369" t="s">
        <v>23</v>
      </c>
      <c r="L622" s="370"/>
      <c r="M622" s="370"/>
      <c r="N622" s="370"/>
      <c r="O622" s="371"/>
    </row>
    <row r="623" spans="1:16" x14ac:dyDescent="0.25">
      <c r="A623" s="364"/>
      <c r="B623" s="367"/>
      <c r="C623" s="21" t="s">
        <v>73</v>
      </c>
      <c r="D623">
        <v>1</v>
      </c>
      <c r="E623" s="17">
        <v>9.4</v>
      </c>
      <c r="F623" s="16">
        <v>1</v>
      </c>
      <c r="G623" s="228">
        <v>1</v>
      </c>
      <c r="H623" s="17">
        <f>F623*D623*G623</f>
        <v>1</v>
      </c>
      <c r="I623" s="72"/>
      <c r="K623" s="47" t="s">
        <v>27</v>
      </c>
      <c r="L623" s="47" t="s">
        <v>12</v>
      </c>
      <c r="M623" s="47" t="s">
        <v>87</v>
      </c>
      <c r="N623" s="47" t="s">
        <v>28</v>
      </c>
      <c r="O623" s="28" t="s">
        <v>86</v>
      </c>
      <c r="P623" s="17"/>
    </row>
    <row r="624" spans="1:16" x14ac:dyDescent="0.25">
      <c r="A624" s="364"/>
      <c r="B624" s="367"/>
      <c r="E624" s="17"/>
      <c r="F624" s="16">
        <v>1</v>
      </c>
      <c r="G624" s="228"/>
      <c r="H624" s="17">
        <f>F624*D624</f>
        <v>0</v>
      </c>
      <c r="I624" s="72"/>
      <c r="K624" s="3"/>
      <c r="L624" s="3"/>
      <c r="M624" s="3"/>
      <c r="N624" s="3"/>
      <c r="O624" s="3"/>
      <c r="P624" s="50" t="s">
        <v>50</v>
      </c>
    </row>
    <row r="625" spans="1:16" ht="16.5" thickBot="1" x14ac:dyDescent="0.3">
      <c r="A625" s="364"/>
      <c r="B625" s="367"/>
      <c r="C625" s="225" t="s">
        <v>47</v>
      </c>
      <c r="D625" s="223"/>
      <c r="E625" s="85"/>
      <c r="F625" s="224"/>
      <c r="G625" s="224"/>
      <c r="H625" s="85">
        <f>F625*D625</f>
        <v>0</v>
      </c>
      <c r="I625" s="86"/>
      <c r="K625" s="214" t="e">
        <f>K624/SUM(K624:O624)*I626</f>
        <v>#DIV/0!</v>
      </c>
      <c r="L625" s="214" t="e">
        <f>L624/SUM(K624:O624)*$I626</f>
        <v>#DIV/0!</v>
      </c>
      <c r="M625" s="214" t="e">
        <f>M624/SUM(K624:O624)*$I626</f>
        <v>#DIV/0!</v>
      </c>
      <c r="N625" s="214" t="e">
        <f>N624/SUM(K624:O624)*$I626</f>
        <v>#DIV/0!</v>
      </c>
      <c r="O625" s="214" t="e">
        <f>O624/SUM(K624:O624)*$I626</f>
        <v>#DIV/0!</v>
      </c>
      <c r="P625" s="50" t="s">
        <v>90</v>
      </c>
    </row>
    <row r="626" spans="1:16" ht="16.5" thickTop="1" x14ac:dyDescent="0.25">
      <c r="A626" s="365"/>
      <c r="B626" s="368"/>
      <c r="C626" s="9"/>
      <c r="D626" s="9"/>
      <c r="E626" s="64"/>
      <c r="F626" s="222"/>
      <c r="G626" s="222"/>
      <c r="H626" s="64">
        <f>SUM(H622:H625)</f>
        <v>8</v>
      </c>
      <c r="I626" s="74">
        <f>H626*I$6*I$5</f>
        <v>11.308</v>
      </c>
    </row>
    <row r="628" spans="1:16" x14ac:dyDescent="0.25">
      <c r="A628" s="363">
        <f>A622+1</f>
        <v>45618</v>
      </c>
      <c r="B628" s="366" t="s">
        <v>5</v>
      </c>
      <c r="C628" s="57" t="s">
        <v>72</v>
      </c>
      <c r="D628" s="7"/>
      <c r="E628" s="49"/>
      <c r="F628" s="48">
        <v>1</v>
      </c>
      <c r="G628" s="227">
        <v>1</v>
      </c>
      <c r="H628" s="49">
        <f>F628*D628*G628</f>
        <v>0</v>
      </c>
      <c r="I628" s="55"/>
      <c r="K628" s="369" t="s">
        <v>23</v>
      </c>
      <c r="L628" s="370"/>
      <c r="M628" s="370"/>
      <c r="N628" s="370"/>
      <c r="O628" s="371"/>
    </row>
    <row r="629" spans="1:16" x14ac:dyDescent="0.25">
      <c r="A629" s="364"/>
      <c r="B629" s="367"/>
      <c r="C629" s="21" t="s">
        <v>73</v>
      </c>
      <c r="E629" s="17"/>
      <c r="F629" s="16">
        <v>1</v>
      </c>
      <c r="G629" s="228">
        <v>1</v>
      </c>
      <c r="H629" s="17">
        <f>F629*D629*G629</f>
        <v>0</v>
      </c>
      <c r="I629" s="72"/>
      <c r="K629" s="47" t="s">
        <v>27</v>
      </c>
      <c r="L629" s="47" t="s">
        <v>12</v>
      </c>
      <c r="M629" s="47" t="s">
        <v>87</v>
      </c>
      <c r="N629" s="47" t="s">
        <v>28</v>
      </c>
      <c r="O629" s="28" t="s">
        <v>86</v>
      </c>
      <c r="P629" s="17"/>
    </row>
    <row r="630" spans="1:16" x14ac:dyDescent="0.25">
      <c r="A630" s="364"/>
      <c r="B630" s="367"/>
      <c r="E630" s="17"/>
      <c r="F630" s="16">
        <v>1</v>
      </c>
      <c r="G630" s="228"/>
      <c r="H630" s="17">
        <f>F630*D630</f>
        <v>0</v>
      </c>
      <c r="I630" s="72"/>
      <c r="K630" s="3"/>
      <c r="L630" s="3"/>
      <c r="M630" s="3"/>
      <c r="N630" s="3"/>
      <c r="O630" s="3"/>
      <c r="P630" s="50" t="s">
        <v>50</v>
      </c>
    </row>
    <row r="631" spans="1:16" ht="16.5" thickBot="1" x14ac:dyDescent="0.3">
      <c r="A631" s="364"/>
      <c r="B631" s="367"/>
      <c r="C631" s="225" t="s">
        <v>47</v>
      </c>
      <c r="D631" s="223"/>
      <c r="E631" s="85"/>
      <c r="F631" s="224"/>
      <c r="G631" s="224"/>
      <c r="H631" s="85">
        <f>F631*D631</f>
        <v>0</v>
      </c>
      <c r="I631" s="86"/>
      <c r="K631" s="214" t="e">
        <f>K630/SUM(K630:O630)*I632</f>
        <v>#DIV/0!</v>
      </c>
      <c r="L631" s="214" t="e">
        <f>L630/SUM(K630:O630)*$I632</f>
        <v>#DIV/0!</v>
      </c>
      <c r="M631" s="214" t="e">
        <f>M630/SUM(K630:O630)*$I632</f>
        <v>#DIV/0!</v>
      </c>
      <c r="N631" s="214" t="e">
        <f>N630/SUM(K630:O630)*$I632</f>
        <v>#DIV/0!</v>
      </c>
      <c r="O631" s="214" t="e">
        <f>O630/SUM(K630:O630)*$I632</f>
        <v>#DIV/0!</v>
      </c>
      <c r="P631" s="50" t="s">
        <v>90</v>
      </c>
    </row>
    <row r="632" spans="1:16" ht="16.5" thickTop="1" x14ac:dyDescent="0.25">
      <c r="A632" s="365"/>
      <c r="B632" s="368"/>
      <c r="C632" s="9"/>
      <c r="D632" s="9"/>
      <c r="E632" s="64"/>
      <c r="F632" s="222"/>
      <c r="G632" s="222"/>
      <c r="H632" s="64">
        <f>SUM(H628:H631)</f>
        <v>0</v>
      </c>
      <c r="I632" s="74">
        <f>H632*I$6*I$5</f>
        <v>0</v>
      </c>
    </row>
    <row r="634" spans="1:16" x14ac:dyDescent="0.25">
      <c r="A634" s="363">
        <f>A628+1</f>
        <v>45619</v>
      </c>
      <c r="B634" s="366" t="s">
        <v>6</v>
      </c>
      <c r="C634" s="57" t="s">
        <v>72</v>
      </c>
      <c r="D634" s="7">
        <v>8</v>
      </c>
      <c r="E634" s="49">
        <v>8.3000000000000007</v>
      </c>
      <c r="F634" s="48">
        <v>1</v>
      </c>
      <c r="G634" s="227">
        <v>1</v>
      </c>
      <c r="H634" s="49">
        <f>F634*D634*G634</f>
        <v>8</v>
      </c>
      <c r="I634" s="55"/>
      <c r="K634" s="369" t="s">
        <v>23</v>
      </c>
      <c r="L634" s="370"/>
      <c r="M634" s="370"/>
      <c r="N634" s="370"/>
      <c r="O634" s="371"/>
    </row>
    <row r="635" spans="1:16" x14ac:dyDescent="0.25">
      <c r="A635" s="364"/>
      <c r="B635" s="367"/>
      <c r="C635" s="21" t="s">
        <v>73</v>
      </c>
      <c r="D635">
        <v>7</v>
      </c>
      <c r="E635" s="17">
        <v>8.6999999999999993</v>
      </c>
      <c r="F635" s="16">
        <v>1</v>
      </c>
      <c r="G635" s="228">
        <v>1</v>
      </c>
      <c r="H635" s="17">
        <f>F635*D635*G635</f>
        <v>7</v>
      </c>
      <c r="I635" s="72"/>
      <c r="K635" s="47" t="s">
        <v>27</v>
      </c>
      <c r="L635" s="47" t="s">
        <v>12</v>
      </c>
      <c r="M635" s="47" t="s">
        <v>87</v>
      </c>
      <c r="N635" s="47" t="s">
        <v>28</v>
      </c>
      <c r="O635" s="28" t="s">
        <v>86</v>
      </c>
      <c r="P635" s="17"/>
    </row>
    <row r="636" spans="1:16" x14ac:dyDescent="0.25">
      <c r="A636" s="364"/>
      <c r="B636" s="367"/>
      <c r="E636" s="17"/>
      <c r="F636" s="16">
        <v>1</v>
      </c>
      <c r="G636" s="228"/>
      <c r="H636" s="17">
        <f>F636*D636</f>
        <v>0</v>
      </c>
      <c r="I636" s="72"/>
      <c r="K636" s="3"/>
      <c r="L636" s="3"/>
      <c r="M636" s="3"/>
      <c r="N636" s="3"/>
      <c r="O636" s="3"/>
      <c r="P636" s="50" t="s">
        <v>50</v>
      </c>
    </row>
    <row r="637" spans="1:16" ht="16.5" thickBot="1" x14ac:dyDescent="0.3">
      <c r="A637" s="364"/>
      <c r="B637" s="367"/>
      <c r="C637" s="225" t="s">
        <v>47</v>
      </c>
      <c r="D637" s="223"/>
      <c r="E637" s="85"/>
      <c r="F637" s="224"/>
      <c r="G637" s="224"/>
      <c r="H637" s="85">
        <f>F637*D637</f>
        <v>0</v>
      </c>
      <c r="I637" s="86"/>
      <c r="K637" s="214" t="e">
        <f>K636/SUM(K636:O636)*I638</f>
        <v>#DIV/0!</v>
      </c>
      <c r="L637" s="214" t="e">
        <f>L636/SUM(K636:O636)*$I638</f>
        <v>#DIV/0!</v>
      </c>
      <c r="M637" s="214" t="e">
        <f>M636/SUM(K636:O636)*$I638</f>
        <v>#DIV/0!</v>
      </c>
      <c r="N637" s="214" t="e">
        <f>N636/SUM(K636:O636)*$I638</f>
        <v>#DIV/0!</v>
      </c>
      <c r="O637" s="214" t="e">
        <f>O636/SUM(K636:O636)*$I638</f>
        <v>#DIV/0!</v>
      </c>
      <c r="P637" s="50" t="s">
        <v>90</v>
      </c>
    </row>
    <row r="638" spans="1:16" ht="16.5" thickTop="1" x14ac:dyDescent="0.25">
      <c r="A638" s="365"/>
      <c r="B638" s="368"/>
      <c r="C638" s="9"/>
      <c r="D638" s="9"/>
      <c r="E638" s="64"/>
      <c r="F638" s="222"/>
      <c r="G638" s="222"/>
      <c r="H638" s="64">
        <f>SUM(H634:H637)</f>
        <v>15</v>
      </c>
      <c r="I638" s="74">
        <f>H638*I$6*I$5</f>
        <v>21.202500000000001</v>
      </c>
    </row>
    <row r="640" spans="1:16" x14ac:dyDescent="0.25">
      <c r="A640" s="363">
        <f>A634+1</f>
        <v>45620</v>
      </c>
      <c r="B640" s="366" t="s">
        <v>0</v>
      </c>
      <c r="C640" s="57" t="s">
        <v>72</v>
      </c>
      <c r="D640" s="7"/>
      <c r="E640" s="49"/>
      <c r="F640" s="48">
        <v>1</v>
      </c>
      <c r="G640" s="227">
        <v>1</v>
      </c>
      <c r="H640" s="49">
        <f>F640*D640*G640</f>
        <v>0</v>
      </c>
      <c r="I640" s="55"/>
      <c r="K640" s="369" t="s">
        <v>23</v>
      </c>
      <c r="L640" s="370"/>
      <c r="M640" s="370"/>
      <c r="N640" s="370"/>
      <c r="O640" s="371"/>
    </row>
    <row r="641" spans="1:16" x14ac:dyDescent="0.25">
      <c r="A641" s="364"/>
      <c r="B641" s="367"/>
      <c r="C641" s="21" t="s">
        <v>73</v>
      </c>
      <c r="E641" s="17"/>
      <c r="F641" s="16">
        <v>1</v>
      </c>
      <c r="G641" s="228">
        <v>1</v>
      </c>
      <c r="H641" s="17">
        <f>F641*D641*G641</f>
        <v>0</v>
      </c>
      <c r="I641" s="72"/>
      <c r="K641" s="47" t="s">
        <v>27</v>
      </c>
      <c r="L641" s="47" t="s">
        <v>12</v>
      </c>
      <c r="M641" s="47" t="s">
        <v>87</v>
      </c>
      <c r="N641" s="47" t="s">
        <v>28</v>
      </c>
      <c r="O641" s="28" t="s">
        <v>86</v>
      </c>
      <c r="P641" s="17"/>
    </row>
    <row r="642" spans="1:16" x14ac:dyDescent="0.25">
      <c r="A642" s="364"/>
      <c r="B642" s="367"/>
      <c r="E642" s="17"/>
      <c r="F642" s="16">
        <v>1</v>
      </c>
      <c r="G642" s="228"/>
      <c r="H642" s="17">
        <f>F642*D642</f>
        <v>0</v>
      </c>
      <c r="I642" s="72"/>
      <c r="K642" s="3"/>
      <c r="L642" s="3"/>
      <c r="M642" s="3"/>
      <c r="N642" s="3"/>
      <c r="O642" s="3"/>
      <c r="P642" s="50" t="s">
        <v>50</v>
      </c>
    </row>
    <row r="643" spans="1:16" ht="16.5" thickBot="1" x14ac:dyDescent="0.3">
      <c r="A643" s="364"/>
      <c r="B643" s="367"/>
      <c r="C643" s="225" t="s">
        <v>47</v>
      </c>
      <c r="D643" s="223"/>
      <c r="E643" s="85"/>
      <c r="F643" s="224"/>
      <c r="G643" s="224"/>
      <c r="H643" s="85">
        <f>F643*D643</f>
        <v>0</v>
      </c>
      <c r="I643" s="86"/>
      <c r="K643" s="214" t="e">
        <f>K642/SUM(K642:O642)*I644</f>
        <v>#DIV/0!</v>
      </c>
      <c r="L643" s="214" t="e">
        <f>L642/SUM(K642:O642)*$I644</f>
        <v>#DIV/0!</v>
      </c>
      <c r="M643" s="214" t="e">
        <f>M642/SUM(K642:O642)*$I644</f>
        <v>#DIV/0!</v>
      </c>
      <c r="N643" s="214" t="e">
        <f>N642/SUM(K642:O642)*$I644</f>
        <v>#DIV/0!</v>
      </c>
      <c r="O643" s="214" t="e">
        <f>O642/SUM(K642:O642)*$I644</f>
        <v>#DIV/0!</v>
      </c>
      <c r="P643" s="50" t="s">
        <v>90</v>
      </c>
    </row>
    <row r="644" spans="1:16" ht="16.5" thickTop="1" x14ac:dyDescent="0.25">
      <c r="A644" s="365"/>
      <c r="B644" s="368"/>
      <c r="C644" s="9"/>
      <c r="D644" s="9"/>
      <c r="E644" s="64"/>
      <c r="F644" s="222"/>
      <c r="G644" s="222"/>
      <c r="H644" s="64">
        <f>SUM(H640:H643)</f>
        <v>0</v>
      </c>
      <c r="I644" s="74">
        <f>H644*I$6*I$5</f>
        <v>0</v>
      </c>
    </row>
    <row r="645" spans="1:16" x14ac:dyDescent="0.25">
      <c r="B645" s="9"/>
    </row>
    <row r="646" spans="1:16" x14ac:dyDescent="0.25">
      <c r="A646" s="363">
        <f>A640+1</f>
        <v>45621</v>
      </c>
      <c r="B646" s="366" t="s">
        <v>1</v>
      </c>
      <c r="C646" s="57" t="s">
        <v>72</v>
      </c>
      <c r="D646" s="7"/>
      <c r="E646" s="49"/>
      <c r="F646" s="48">
        <v>1</v>
      </c>
      <c r="G646" s="227"/>
      <c r="H646" s="49">
        <f>F646*D646*G646</f>
        <v>0</v>
      </c>
      <c r="I646" s="55"/>
      <c r="K646" s="369" t="s">
        <v>23</v>
      </c>
      <c r="L646" s="370"/>
      <c r="M646" s="370"/>
      <c r="N646" s="370"/>
      <c r="O646" s="371"/>
    </row>
    <row r="647" spans="1:16" x14ac:dyDescent="0.25">
      <c r="A647" s="364"/>
      <c r="B647" s="367"/>
      <c r="C647" s="21" t="s">
        <v>73</v>
      </c>
      <c r="E647" s="17"/>
      <c r="F647" s="16">
        <v>1</v>
      </c>
      <c r="G647" s="228"/>
      <c r="H647" s="17">
        <f>F647*D647*G647</f>
        <v>0</v>
      </c>
      <c r="I647" s="72"/>
      <c r="K647" s="47" t="s">
        <v>27</v>
      </c>
      <c r="L647" s="47" t="s">
        <v>12</v>
      </c>
      <c r="M647" s="47" t="s">
        <v>87</v>
      </c>
      <c r="N647" s="47" t="s">
        <v>28</v>
      </c>
      <c r="O647" s="28" t="s">
        <v>86</v>
      </c>
      <c r="P647" s="17"/>
    </row>
    <row r="648" spans="1:16" x14ac:dyDescent="0.25">
      <c r="A648" s="364"/>
      <c r="B648" s="367"/>
      <c r="E648" s="17"/>
      <c r="F648" s="16">
        <v>1</v>
      </c>
      <c r="G648" s="228"/>
      <c r="H648" s="17">
        <f>F648*D648</f>
        <v>0</v>
      </c>
      <c r="I648" s="72"/>
      <c r="K648" s="3"/>
      <c r="L648" s="3"/>
      <c r="M648" s="3"/>
      <c r="N648" s="3"/>
      <c r="O648" s="3"/>
      <c r="P648" s="50" t="s">
        <v>50</v>
      </c>
    </row>
    <row r="649" spans="1:16" ht="16.5" thickBot="1" x14ac:dyDescent="0.3">
      <c r="A649" s="364"/>
      <c r="B649" s="367"/>
      <c r="C649" s="225" t="s">
        <v>47</v>
      </c>
      <c r="D649" s="223"/>
      <c r="E649" s="85"/>
      <c r="F649" s="224">
        <v>1</v>
      </c>
      <c r="G649" s="224"/>
      <c r="H649" s="85">
        <f>F649*D649</f>
        <v>0</v>
      </c>
      <c r="I649" s="86"/>
      <c r="K649" s="214" t="e">
        <f>K648/SUM(K648:O648)*I650</f>
        <v>#DIV/0!</v>
      </c>
      <c r="L649" s="214" t="e">
        <f>L648/SUM(K648:O648)*$I650</f>
        <v>#DIV/0!</v>
      </c>
      <c r="M649" s="214" t="e">
        <f>M648/SUM(K648:O648)*$I650</f>
        <v>#DIV/0!</v>
      </c>
      <c r="N649" s="214" t="e">
        <f>N648/SUM(K648:O648)*$I650</f>
        <v>#DIV/0!</v>
      </c>
      <c r="O649" s="214" t="e">
        <f>O648/SUM(K648:O648)*$I650</f>
        <v>#DIV/0!</v>
      </c>
      <c r="P649" s="50" t="s">
        <v>90</v>
      </c>
    </row>
    <row r="650" spans="1:16" ht="16.5" thickTop="1" x14ac:dyDescent="0.25">
      <c r="A650" s="365"/>
      <c r="B650" s="368"/>
      <c r="C650" s="9"/>
      <c r="D650" s="9"/>
      <c r="E650" s="64"/>
      <c r="F650" s="222"/>
      <c r="G650" s="222"/>
      <c r="H650" s="64">
        <f>SUM(H646:H649)</f>
        <v>0</v>
      </c>
      <c r="I650" s="74">
        <f>H650*I$6*I$5</f>
        <v>0</v>
      </c>
    </row>
    <row r="652" spans="1:16" x14ac:dyDescent="0.25">
      <c r="A652" s="363">
        <f>A646+1</f>
        <v>45622</v>
      </c>
      <c r="B652" s="366" t="s">
        <v>2</v>
      </c>
      <c r="C652" s="57" t="s">
        <v>72</v>
      </c>
      <c r="D652" s="7">
        <v>10</v>
      </c>
      <c r="E652" s="49">
        <v>9.4</v>
      </c>
      <c r="F652" s="48">
        <v>1</v>
      </c>
      <c r="G652" s="227">
        <v>1</v>
      </c>
      <c r="H652" s="49">
        <f>F652*D652*G652</f>
        <v>10</v>
      </c>
      <c r="I652" s="55"/>
      <c r="K652" s="369" t="s">
        <v>23</v>
      </c>
      <c r="L652" s="370"/>
      <c r="M652" s="370"/>
      <c r="N652" s="370"/>
      <c r="O652" s="371"/>
    </row>
    <row r="653" spans="1:16" x14ac:dyDescent="0.25">
      <c r="A653" s="364"/>
      <c r="B653" s="367"/>
      <c r="C653" s="21" t="s">
        <v>73</v>
      </c>
      <c r="D653">
        <v>1</v>
      </c>
      <c r="E653" s="17">
        <v>9.1999999999999993</v>
      </c>
      <c r="F653" s="16">
        <v>1</v>
      </c>
      <c r="G653" s="228">
        <v>1</v>
      </c>
      <c r="H653" s="17">
        <f>F653*D653*G653</f>
        <v>1</v>
      </c>
      <c r="I653" s="72"/>
      <c r="K653" s="47" t="s">
        <v>27</v>
      </c>
      <c r="L653" s="47" t="s">
        <v>12</v>
      </c>
      <c r="M653" s="47" t="s">
        <v>87</v>
      </c>
      <c r="N653" s="47" t="s">
        <v>28</v>
      </c>
      <c r="O653" s="28" t="s">
        <v>86</v>
      </c>
      <c r="P653" s="17"/>
    </row>
    <row r="654" spans="1:16" x14ac:dyDescent="0.25">
      <c r="A654" s="364"/>
      <c r="B654" s="367"/>
      <c r="E654" s="17"/>
      <c r="F654" s="16">
        <v>1</v>
      </c>
      <c r="G654" s="228"/>
      <c r="H654" s="17">
        <f>F654*D654</f>
        <v>0</v>
      </c>
      <c r="I654" s="72"/>
      <c r="K654" s="3"/>
      <c r="L654" s="3"/>
      <c r="M654" s="3"/>
      <c r="N654" s="3"/>
      <c r="O654" s="3"/>
      <c r="P654" s="50" t="s">
        <v>50</v>
      </c>
    </row>
    <row r="655" spans="1:16" ht="16.5" thickBot="1" x14ac:dyDescent="0.3">
      <c r="A655" s="364"/>
      <c r="B655" s="367"/>
      <c r="C655" s="225" t="s">
        <v>47</v>
      </c>
      <c r="D655" s="223"/>
      <c r="E655" s="85"/>
      <c r="F655" s="224">
        <v>1</v>
      </c>
      <c r="G655" s="224"/>
      <c r="H655" s="85">
        <f>F655*D655</f>
        <v>0</v>
      </c>
      <c r="I655" s="86"/>
      <c r="K655" s="214" t="e">
        <f>K654/SUM(K654:O654)*I656</f>
        <v>#DIV/0!</v>
      </c>
      <c r="L655" s="214" t="e">
        <f>L654/SUM(K654:O654)*$I656</f>
        <v>#DIV/0!</v>
      </c>
      <c r="M655" s="214" t="e">
        <f>M654/SUM(K654:O654)*$I656</f>
        <v>#DIV/0!</v>
      </c>
      <c r="N655" s="214" t="e">
        <f>N654/SUM(K654:O654)*$I656</f>
        <v>#DIV/0!</v>
      </c>
      <c r="O655" s="214" t="e">
        <f>O654/SUM(K654:O654)*$I656</f>
        <v>#DIV/0!</v>
      </c>
      <c r="P655" s="50" t="s">
        <v>90</v>
      </c>
    </row>
    <row r="656" spans="1:16" ht="16.5" thickTop="1" x14ac:dyDescent="0.25">
      <c r="A656" s="365"/>
      <c r="B656" s="368"/>
      <c r="C656" s="9"/>
      <c r="D656" s="9"/>
      <c r="E656" s="64"/>
      <c r="F656" s="222"/>
      <c r="G656" s="222"/>
      <c r="H656" s="64">
        <f>SUM(H652:H655)</f>
        <v>11</v>
      </c>
      <c r="I656" s="74">
        <f>H656*I$6*I$5</f>
        <v>15.548500000000001</v>
      </c>
    </row>
    <row r="658" spans="1:16" x14ac:dyDescent="0.25">
      <c r="A658" s="363">
        <f>A652+1</f>
        <v>45623</v>
      </c>
      <c r="B658" s="366" t="s">
        <v>3</v>
      </c>
      <c r="C658" s="57" t="s">
        <v>72</v>
      </c>
      <c r="D658" s="7"/>
      <c r="E658" s="49"/>
      <c r="F658" s="48">
        <v>1</v>
      </c>
      <c r="G658" s="227">
        <v>1</v>
      </c>
      <c r="H658" s="49">
        <f>F658*D658*G658</f>
        <v>0</v>
      </c>
      <c r="I658" s="55"/>
      <c r="K658" s="369" t="s">
        <v>23</v>
      </c>
      <c r="L658" s="370"/>
      <c r="M658" s="370"/>
      <c r="N658" s="370"/>
      <c r="O658" s="371"/>
    </row>
    <row r="659" spans="1:16" x14ac:dyDescent="0.25">
      <c r="A659" s="364"/>
      <c r="B659" s="367"/>
      <c r="C659" s="21" t="s">
        <v>73</v>
      </c>
      <c r="E659" s="17"/>
      <c r="F659" s="16">
        <v>1</v>
      </c>
      <c r="G659" s="228">
        <v>1</v>
      </c>
      <c r="H659" s="17">
        <f>F659*D659*G659</f>
        <v>0</v>
      </c>
      <c r="I659" s="72"/>
      <c r="K659" s="47" t="s">
        <v>27</v>
      </c>
      <c r="L659" s="47" t="s">
        <v>12</v>
      </c>
      <c r="M659" s="47" t="s">
        <v>87</v>
      </c>
      <c r="N659" s="47" t="s">
        <v>28</v>
      </c>
      <c r="O659" s="28" t="s">
        <v>86</v>
      </c>
      <c r="P659" s="17"/>
    </row>
    <row r="660" spans="1:16" x14ac:dyDescent="0.25">
      <c r="A660" s="364"/>
      <c r="B660" s="367"/>
      <c r="E660" s="17"/>
      <c r="F660" s="16">
        <v>1</v>
      </c>
      <c r="G660" s="228"/>
      <c r="H660" s="17">
        <f>F660*D660</f>
        <v>0</v>
      </c>
      <c r="I660" s="72"/>
      <c r="K660" s="3"/>
      <c r="L660" s="3"/>
      <c r="M660" s="3"/>
      <c r="N660" s="3"/>
      <c r="O660" s="3"/>
      <c r="P660" s="50" t="s">
        <v>50</v>
      </c>
    </row>
    <row r="661" spans="1:16" ht="16.5" thickBot="1" x14ac:dyDescent="0.3">
      <c r="A661" s="364"/>
      <c r="B661" s="367"/>
      <c r="C661" s="225" t="s">
        <v>47</v>
      </c>
      <c r="D661" s="223"/>
      <c r="E661" s="85"/>
      <c r="F661" s="224"/>
      <c r="G661" s="224"/>
      <c r="H661" s="85">
        <f>F661*D661</f>
        <v>0</v>
      </c>
      <c r="I661" s="86"/>
      <c r="K661" s="214" t="e">
        <f>K660/SUM(K660:O660)*I662</f>
        <v>#DIV/0!</v>
      </c>
      <c r="L661" s="214" t="e">
        <f>L660/SUM(K660:O660)*$I662</f>
        <v>#DIV/0!</v>
      </c>
      <c r="M661" s="214" t="e">
        <f>M660/SUM(K660:O660)*$I662</f>
        <v>#DIV/0!</v>
      </c>
      <c r="N661" s="214" t="e">
        <f>N660/SUM(K660:O660)*$I662</f>
        <v>#DIV/0!</v>
      </c>
      <c r="O661" s="214" t="e">
        <f>O660/SUM(K660:O660)*$I662</f>
        <v>#DIV/0!</v>
      </c>
      <c r="P661" s="50" t="s">
        <v>90</v>
      </c>
    </row>
    <row r="662" spans="1:16" ht="16.5" thickTop="1" x14ac:dyDescent="0.25">
      <c r="A662" s="365"/>
      <c r="B662" s="368"/>
      <c r="C662" s="9"/>
      <c r="D662" s="9"/>
      <c r="E662" s="64"/>
      <c r="F662" s="222"/>
      <c r="G662" s="222"/>
      <c r="H662" s="64">
        <f>SUM(H658:H661)</f>
        <v>0</v>
      </c>
      <c r="I662" s="240">
        <v>15</v>
      </c>
    </row>
    <row r="664" spans="1:16" x14ac:dyDescent="0.25">
      <c r="A664" s="363">
        <f>A658+1</f>
        <v>45624</v>
      </c>
      <c r="B664" s="366" t="s">
        <v>4</v>
      </c>
      <c r="C664" s="57" t="s">
        <v>72</v>
      </c>
      <c r="D664" s="7"/>
      <c r="E664" s="49"/>
      <c r="F664" s="48">
        <v>1</v>
      </c>
      <c r="G664" s="227"/>
      <c r="H664" s="49">
        <f>F664*D664*G664</f>
        <v>0</v>
      </c>
      <c r="I664" s="55"/>
      <c r="K664" s="369" t="s">
        <v>23</v>
      </c>
      <c r="L664" s="370"/>
      <c r="M664" s="370"/>
      <c r="N664" s="370"/>
      <c r="O664" s="371"/>
    </row>
    <row r="665" spans="1:16" x14ac:dyDescent="0.25">
      <c r="A665" s="364"/>
      <c r="B665" s="367"/>
      <c r="C665" s="21" t="s">
        <v>73</v>
      </c>
      <c r="E665" s="17"/>
      <c r="F665" s="16">
        <v>1</v>
      </c>
      <c r="G665" s="228"/>
      <c r="H665" s="17">
        <f>F665*D665*G665</f>
        <v>0</v>
      </c>
      <c r="I665" s="72"/>
      <c r="K665" s="47" t="s">
        <v>27</v>
      </c>
      <c r="L665" s="47" t="s">
        <v>12</v>
      </c>
      <c r="M665" s="47" t="s">
        <v>87</v>
      </c>
      <c r="N665" s="47" t="s">
        <v>28</v>
      </c>
      <c r="O665" s="28" t="s">
        <v>86</v>
      </c>
      <c r="P665" s="17"/>
    </row>
    <row r="666" spans="1:16" x14ac:dyDescent="0.25">
      <c r="A666" s="364"/>
      <c r="B666" s="367"/>
      <c r="E666" s="17"/>
      <c r="F666" s="16">
        <v>1</v>
      </c>
      <c r="G666" s="228"/>
      <c r="H666" s="17">
        <f>F666*D666</f>
        <v>0</v>
      </c>
      <c r="I666" s="72"/>
      <c r="K666" s="3"/>
      <c r="L666" s="3"/>
      <c r="M666" s="3"/>
      <c r="N666" s="3"/>
      <c r="O666" s="3"/>
      <c r="P666" s="50" t="s">
        <v>50</v>
      </c>
    </row>
    <row r="667" spans="1:16" ht="16.5" thickBot="1" x14ac:dyDescent="0.3">
      <c r="A667" s="364"/>
      <c r="B667" s="367"/>
      <c r="C667" s="225" t="s">
        <v>47</v>
      </c>
      <c r="D667" s="223"/>
      <c r="E667" s="85"/>
      <c r="F667" s="224">
        <v>1</v>
      </c>
      <c r="G667" s="224"/>
      <c r="H667" s="85">
        <f>F667*D667</f>
        <v>0</v>
      </c>
      <c r="I667" s="86"/>
      <c r="K667" s="214" t="e">
        <f>K666/SUM(K666:O666)*I668</f>
        <v>#DIV/0!</v>
      </c>
      <c r="L667" s="214" t="e">
        <f>L666/SUM(K666:O666)*$I668</f>
        <v>#DIV/0!</v>
      </c>
      <c r="M667" s="214" t="e">
        <f>M666/SUM(K666:O666)*$I668</f>
        <v>#DIV/0!</v>
      </c>
      <c r="N667" s="214" t="e">
        <f>N666/SUM(K666:O666)*$I668</f>
        <v>#DIV/0!</v>
      </c>
      <c r="O667" s="214" t="e">
        <f>O666/SUM(K666:O666)*$I668</f>
        <v>#DIV/0!</v>
      </c>
      <c r="P667" s="50" t="s">
        <v>90</v>
      </c>
    </row>
    <row r="668" spans="1:16" ht="16.5" thickTop="1" x14ac:dyDescent="0.25">
      <c r="A668" s="365"/>
      <c r="B668" s="368"/>
      <c r="C668" s="9"/>
      <c r="D668" s="9"/>
      <c r="E668" s="64"/>
      <c r="F668" s="222"/>
      <c r="G668" s="222"/>
      <c r="H668" s="64">
        <f>SUM(H664:H667)</f>
        <v>0</v>
      </c>
      <c r="I668" s="74">
        <f>H668*I$6*I$5</f>
        <v>0</v>
      </c>
    </row>
    <row r="670" spans="1:16" x14ac:dyDescent="0.25">
      <c r="A670" s="363">
        <f>A664+1</f>
        <v>45625</v>
      </c>
      <c r="B670" s="366" t="s">
        <v>5</v>
      </c>
      <c r="C670" s="57" t="s">
        <v>72</v>
      </c>
      <c r="D670" s="7"/>
      <c r="E670" s="49"/>
      <c r="F670" s="48">
        <v>1</v>
      </c>
      <c r="G670" s="227">
        <v>1</v>
      </c>
      <c r="H670" s="49">
        <f>F670*D670*G670</f>
        <v>0</v>
      </c>
      <c r="I670" s="55"/>
      <c r="K670" s="369" t="s">
        <v>23</v>
      </c>
      <c r="L670" s="370"/>
      <c r="M670" s="370"/>
      <c r="N670" s="370"/>
      <c r="O670" s="371"/>
    </row>
    <row r="671" spans="1:16" x14ac:dyDescent="0.25">
      <c r="A671" s="364"/>
      <c r="B671" s="367"/>
      <c r="C671" s="21" t="s">
        <v>73</v>
      </c>
      <c r="E671" s="17"/>
      <c r="F671" s="16">
        <v>1</v>
      </c>
      <c r="G671" s="228">
        <v>1</v>
      </c>
      <c r="H671" s="17">
        <f>F671*D671*G671</f>
        <v>0</v>
      </c>
      <c r="I671" s="72"/>
      <c r="K671" s="47" t="s">
        <v>27</v>
      </c>
      <c r="L671" s="47" t="s">
        <v>12</v>
      </c>
      <c r="M671" s="47" t="s">
        <v>87</v>
      </c>
      <c r="N671" s="47" t="s">
        <v>28</v>
      </c>
      <c r="O671" s="28" t="s">
        <v>86</v>
      </c>
      <c r="P671" s="17"/>
    </row>
    <row r="672" spans="1:16" x14ac:dyDescent="0.25">
      <c r="A672" s="364"/>
      <c r="B672" s="367"/>
      <c r="E672" s="17"/>
      <c r="F672" s="16">
        <v>1</v>
      </c>
      <c r="G672" s="228"/>
      <c r="H672" s="17">
        <f>F672*D672</f>
        <v>0</v>
      </c>
      <c r="I672" s="72"/>
      <c r="K672" s="3"/>
      <c r="L672" s="3"/>
      <c r="M672" s="3"/>
      <c r="N672" s="3"/>
      <c r="O672" s="3"/>
      <c r="P672" s="50" t="s">
        <v>50</v>
      </c>
    </row>
    <row r="673" spans="1:16" ht="16.5" thickBot="1" x14ac:dyDescent="0.3">
      <c r="A673" s="364"/>
      <c r="B673" s="367"/>
      <c r="C673" s="225" t="s">
        <v>47</v>
      </c>
      <c r="D673" s="223"/>
      <c r="E673" s="85"/>
      <c r="F673" s="224"/>
      <c r="G673" s="224"/>
      <c r="H673" s="85">
        <f>F673*D673</f>
        <v>0</v>
      </c>
      <c r="I673" s="86"/>
      <c r="K673" s="214" t="e">
        <f>K672/SUM(K672:O672)*I674</f>
        <v>#DIV/0!</v>
      </c>
      <c r="L673" s="214" t="e">
        <f>L672/SUM(K672:O672)*$I674</f>
        <v>#DIV/0!</v>
      </c>
      <c r="M673" s="214" t="e">
        <f>M672/SUM(K672:O672)*$I674</f>
        <v>#DIV/0!</v>
      </c>
      <c r="N673" s="214" t="e">
        <f>N672/SUM(K672:O672)*$I674</f>
        <v>#DIV/0!</v>
      </c>
      <c r="O673" s="214" t="e">
        <f>O672/SUM(K672:O672)*$I674</f>
        <v>#DIV/0!</v>
      </c>
      <c r="P673" s="50" t="s">
        <v>90</v>
      </c>
    </row>
    <row r="674" spans="1:16" ht="16.5" thickTop="1" x14ac:dyDescent="0.25">
      <c r="A674" s="365"/>
      <c r="B674" s="368"/>
      <c r="C674" s="9"/>
      <c r="D674" s="9"/>
      <c r="E674" s="64"/>
      <c r="F674" s="222"/>
      <c r="G674" s="222"/>
      <c r="H674" s="64">
        <f>SUM(H670:H673)</f>
        <v>0</v>
      </c>
      <c r="I674" s="240">
        <v>15</v>
      </c>
    </row>
    <row r="676" spans="1:16" x14ac:dyDescent="0.25">
      <c r="A676" s="363">
        <f>A670+1</f>
        <v>45626</v>
      </c>
      <c r="B676" s="366" t="s">
        <v>6</v>
      </c>
      <c r="C676" s="57" t="s">
        <v>72</v>
      </c>
      <c r="D676" s="7">
        <v>13</v>
      </c>
      <c r="E676" s="49">
        <v>9.4</v>
      </c>
      <c r="F676" s="16">
        <v>1</v>
      </c>
      <c r="G676" s="227">
        <v>1</v>
      </c>
      <c r="H676" s="49">
        <f>F676*D676*G676</f>
        <v>13</v>
      </c>
      <c r="I676" s="55"/>
      <c r="K676" s="369" t="s">
        <v>23</v>
      </c>
      <c r="L676" s="370"/>
      <c r="M676" s="370"/>
      <c r="N676" s="370"/>
      <c r="O676" s="371"/>
    </row>
    <row r="677" spans="1:16" x14ac:dyDescent="0.25">
      <c r="A677" s="364"/>
      <c r="B677" s="367"/>
      <c r="C677" s="21" t="s">
        <v>73</v>
      </c>
      <c r="D677">
        <v>5</v>
      </c>
      <c r="E677" s="17">
        <v>9.1</v>
      </c>
      <c r="F677" s="16">
        <v>1</v>
      </c>
      <c r="G677" s="228">
        <v>1</v>
      </c>
      <c r="H677" s="17">
        <f>F677*D677*G677</f>
        <v>5</v>
      </c>
      <c r="I677" s="72"/>
      <c r="K677" s="47" t="s">
        <v>27</v>
      </c>
      <c r="L677" s="47" t="s">
        <v>12</v>
      </c>
      <c r="M677" s="47" t="s">
        <v>87</v>
      </c>
      <c r="N677" s="47" t="s">
        <v>28</v>
      </c>
      <c r="O677" s="28" t="s">
        <v>86</v>
      </c>
      <c r="P677" s="17"/>
    </row>
    <row r="678" spans="1:16" x14ac:dyDescent="0.25">
      <c r="A678" s="364"/>
      <c r="B678" s="367"/>
      <c r="E678" s="17"/>
      <c r="F678" s="16">
        <v>1</v>
      </c>
      <c r="G678" s="228"/>
      <c r="H678" s="17">
        <f>F678*D678</f>
        <v>0</v>
      </c>
      <c r="I678" s="72"/>
      <c r="K678" s="3"/>
      <c r="L678" s="3"/>
      <c r="M678" s="3"/>
      <c r="N678" s="3"/>
      <c r="O678" s="3"/>
      <c r="P678" s="50" t="s">
        <v>50</v>
      </c>
    </row>
    <row r="679" spans="1:16" ht="16.5" thickBot="1" x14ac:dyDescent="0.3">
      <c r="A679" s="364"/>
      <c r="B679" s="367"/>
      <c r="C679" s="225" t="s">
        <v>47</v>
      </c>
      <c r="D679" s="223"/>
      <c r="E679" s="85"/>
      <c r="F679" s="224"/>
      <c r="G679" s="224"/>
      <c r="H679" s="85">
        <f>F679*D679</f>
        <v>0</v>
      </c>
      <c r="I679" s="86"/>
      <c r="K679" s="214" t="e">
        <f>K678/SUM(K678:O678)*I680</f>
        <v>#DIV/0!</v>
      </c>
      <c r="L679" s="214" t="e">
        <f>L678/SUM(K678:O678)*$I680</f>
        <v>#DIV/0!</v>
      </c>
      <c r="M679" s="214" t="e">
        <f>M678/SUM(K678:O678)*$I680</f>
        <v>#DIV/0!</v>
      </c>
      <c r="N679" s="214" t="e">
        <f>N678/SUM(K678:O678)*$I680</f>
        <v>#DIV/0!</v>
      </c>
      <c r="O679" s="214" t="e">
        <f>O678/SUM(K678:O678)*$I680</f>
        <v>#DIV/0!</v>
      </c>
      <c r="P679" s="50" t="s">
        <v>90</v>
      </c>
    </row>
    <row r="680" spans="1:16" ht="16.5" thickTop="1" x14ac:dyDescent="0.25">
      <c r="A680" s="365"/>
      <c r="B680" s="368"/>
      <c r="C680" s="9"/>
      <c r="D680" s="9"/>
      <c r="E680" s="64"/>
      <c r="F680" s="222"/>
      <c r="G680" s="222"/>
      <c r="H680" s="64">
        <f>SUM(H676:H679)</f>
        <v>18</v>
      </c>
      <c r="I680" s="74">
        <f>H680*I$6*I$5</f>
        <v>25.443000000000001</v>
      </c>
    </row>
    <row r="682" spans="1:16" x14ac:dyDescent="0.25">
      <c r="A682" s="363">
        <f>A676+1</f>
        <v>45627</v>
      </c>
      <c r="B682" s="366" t="s">
        <v>0</v>
      </c>
      <c r="C682" s="57" t="s">
        <v>72</v>
      </c>
      <c r="D682" s="7"/>
      <c r="E682" s="49"/>
      <c r="F682" s="48">
        <v>1</v>
      </c>
      <c r="G682" s="227">
        <f>3/4</f>
        <v>0.75</v>
      </c>
      <c r="H682" s="49">
        <f>F682*D682*G682</f>
        <v>0</v>
      </c>
      <c r="I682" s="55"/>
      <c r="K682" s="369" t="s">
        <v>23</v>
      </c>
      <c r="L682" s="370"/>
      <c r="M682" s="370"/>
      <c r="N682" s="370"/>
      <c r="O682" s="371"/>
    </row>
    <row r="683" spans="1:16" x14ac:dyDescent="0.25">
      <c r="A683" s="364"/>
      <c r="B683" s="367"/>
      <c r="C683" s="21" t="s">
        <v>73</v>
      </c>
      <c r="E683" s="17"/>
      <c r="F683" s="16">
        <v>1</v>
      </c>
      <c r="G683" s="228">
        <v>1</v>
      </c>
      <c r="H683" s="17">
        <f>F683*D683*G683</f>
        <v>0</v>
      </c>
      <c r="I683" s="72"/>
      <c r="K683" s="47" t="s">
        <v>27</v>
      </c>
      <c r="L683" s="47" t="s">
        <v>12</v>
      </c>
      <c r="M683" s="47" t="s">
        <v>87</v>
      </c>
      <c r="N683" s="47" t="s">
        <v>28</v>
      </c>
      <c r="O683" s="28" t="s">
        <v>86</v>
      </c>
      <c r="P683" s="17"/>
    </row>
    <row r="684" spans="1:16" x14ac:dyDescent="0.25">
      <c r="A684" s="364"/>
      <c r="B684" s="367"/>
      <c r="E684" s="17"/>
      <c r="F684" s="16">
        <v>1</v>
      </c>
      <c r="G684" s="228"/>
      <c r="H684" s="17">
        <f>F684*D684</f>
        <v>0</v>
      </c>
      <c r="I684" s="72"/>
      <c r="K684" s="3"/>
      <c r="L684" s="3"/>
      <c r="M684" s="3"/>
      <c r="N684" s="3"/>
      <c r="O684" s="3"/>
      <c r="P684" s="50" t="s">
        <v>50</v>
      </c>
    </row>
    <row r="685" spans="1:16" ht="16.5" thickBot="1" x14ac:dyDescent="0.3">
      <c r="A685" s="364"/>
      <c r="B685" s="367"/>
      <c r="C685" s="225" t="s">
        <v>47</v>
      </c>
      <c r="D685" s="223"/>
      <c r="E685" s="85"/>
      <c r="F685" s="224"/>
      <c r="G685" s="224"/>
      <c r="H685" s="85">
        <f>F685*D685</f>
        <v>0</v>
      </c>
      <c r="I685" s="86"/>
      <c r="K685" s="214" t="e">
        <f>K684/SUM(K684:O684)*I686</f>
        <v>#DIV/0!</v>
      </c>
      <c r="L685" s="214" t="e">
        <f>L684/SUM(K684:O684)*$I686</f>
        <v>#DIV/0!</v>
      </c>
      <c r="M685" s="214" t="e">
        <f>M684/SUM(K684:O684)*$I686</f>
        <v>#DIV/0!</v>
      </c>
      <c r="N685" s="214" t="e">
        <f>N684/SUM(K684:O684)*$I686</f>
        <v>#DIV/0!</v>
      </c>
      <c r="O685" s="214" t="e">
        <f>O684/SUM(K684:O684)*$I686</f>
        <v>#DIV/0!</v>
      </c>
      <c r="P685" s="50" t="s">
        <v>90</v>
      </c>
    </row>
    <row r="686" spans="1:16" ht="16.5" thickTop="1" x14ac:dyDescent="0.25">
      <c r="A686" s="365"/>
      <c r="B686" s="368"/>
      <c r="C686" s="9"/>
      <c r="D686" s="9"/>
      <c r="E686" s="64"/>
      <c r="F686" s="222"/>
      <c r="G686" s="222"/>
      <c r="H686" s="64">
        <f>SUM(H682:H685)</f>
        <v>0</v>
      </c>
      <c r="I686" s="240">
        <v>25</v>
      </c>
    </row>
    <row r="687" spans="1:16" x14ac:dyDescent="0.25">
      <c r="B687" s="9"/>
    </row>
    <row r="688" spans="1:16" x14ac:dyDescent="0.25">
      <c r="A688" s="363">
        <f>A682+1</f>
        <v>45628</v>
      </c>
      <c r="B688" s="366" t="s">
        <v>1</v>
      </c>
      <c r="C688" s="57" t="s">
        <v>72</v>
      </c>
      <c r="D688" s="7"/>
      <c r="E688" s="49"/>
      <c r="F688" s="48">
        <v>1</v>
      </c>
      <c r="G688" s="227"/>
      <c r="H688" s="49">
        <f>F688*D688*G688</f>
        <v>0</v>
      </c>
      <c r="I688" s="55"/>
      <c r="K688" s="369" t="s">
        <v>23</v>
      </c>
      <c r="L688" s="370"/>
      <c r="M688" s="370"/>
      <c r="N688" s="370"/>
      <c r="O688" s="371"/>
    </row>
    <row r="689" spans="1:16" x14ac:dyDescent="0.25">
      <c r="A689" s="364"/>
      <c r="B689" s="367"/>
      <c r="C689" s="21" t="s">
        <v>73</v>
      </c>
      <c r="E689" s="17"/>
      <c r="F689" s="16">
        <v>1</v>
      </c>
      <c r="G689" s="228"/>
      <c r="H689" s="17">
        <f>F689*D689*G689</f>
        <v>0</v>
      </c>
      <c r="I689" s="72"/>
      <c r="K689" s="47" t="s">
        <v>27</v>
      </c>
      <c r="L689" s="47" t="s">
        <v>12</v>
      </c>
      <c r="M689" s="47" t="s">
        <v>87</v>
      </c>
      <c r="N689" s="47" t="s">
        <v>28</v>
      </c>
      <c r="O689" s="28" t="s">
        <v>86</v>
      </c>
      <c r="P689" s="17"/>
    </row>
    <row r="690" spans="1:16" x14ac:dyDescent="0.25">
      <c r="A690" s="364"/>
      <c r="B690" s="367"/>
      <c r="E690" s="17"/>
      <c r="F690" s="16">
        <v>1</v>
      </c>
      <c r="G690" s="228"/>
      <c r="H690" s="17">
        <f>F690*D690</f>
        <v>0</v>
      </c>
      <c r="I690" s="72"/>
      <c r="K690" s="3"/>
      <c r="L690" s="3"/>
      <c r="M690" s="3"/>
      <c r="N690" s="3"/>
      <c r="O690" s="3"/>
      <c r="P690" s="50" t="s">
        <v>50</v>
      </c>
    </row>
    <row r="691" spans="1:16" ht="16.5" thickBot="1" x14ac:dyDescent="0.3">
      <c r="A691" s="364"/>
      <c r="B691" s="367"/>
      <c r="C691" s="225" t="s">
        <v>47</v>
      </c>
      <c r="D691" s="223"/>
      <c r="E691" s="85"/>
      <c r="F691" s="224">
        <v>1</v>
      </c>
      <c r="G691" s="224"/>
      <c r="H691" s="85">
        <f>F691*D691</f>
        <v>0</v>
      </c>
      <c r="I691" s="86"/>
      <c r="K691" s="214" t="e">
        <f>K690/SUM(K690:O690)*I692</f>
        <v>#DIV/0!</v>
      </c>
      <c r="L691" s="214" t="e">
        <f>L690/SUM(K690:O690)*$I692</f>
        <v>#DIV/0!</v>
      </c>
      <c r="M691" s="214" t="e">
        <f>M690/SUM(K690:O690)*$I692</f>
        <v>#DIV/0!</v>
      </c>
      <c r="N691" s="214" t="e">
        <f>N690/SUM(K690:O690)*$I692</f>
        <v>#DIV/0!</v>
      </c>
      <c r="O691" s="214" t="e">
        <f>O690/SUM(K690:O690)*$I692</f>
        <v>#DIV/0!</v>
      </c>
      <c r="P691" s="50" t="s">
        <v>90</v>
      </c>
    </row>
    <row r="692" spans="1:16" ht="16.5" thickTop="1" x14ac:dyDescent="0.25">
      <c r="A692" s="365"/>
      <c r="B692" s="368"/>
      <c r="C692" s="9"/>
      <c r="D692" s="9"/>
      <c r="E692" s="64"/>
      <c r="F692" s="222"/>
      <c r="G692" s="222"/>
      <c r="H692" s="64">
        <f>SUM(H688:H691)</f>
        <v>0</v>
      </c>
      <c r="I692" s="74">
        <f>H692*I$6*I$5</f>
        <v>0</v>
      </c>
    </row>
    <row r="694" spans="1:16" x14ac:dyDescent="0.25">
      <c r="A694" s="363">
        <f>A688+1</f>
        <v>45629</v>
      </c>
      <c r="B694" s="366" t="s">
        <v>3</v>
      </c>
      <c r="C694" s="57" t="s">
        <v>72</v>
      </c>
      <c r="D694" s="7"/>
      <c r="E694" s="49"/>
      <c r="F694" s="48">
        <v>1</v>
      </c>
      <c r="G694" s="227">
        <v>1</v>
      </c>
      <c r="H694" s="49">
        <f>F694*D694*G694</f>
        <v>0</v>
      </c>
      <c r="I694" s="55"/>
      <c r="K694" s="369" t="s">
        <v>23</v>
      </c>
      <c r="L694" s="370"/>
      <c r="M694" s="370"/>
      <c r="N694" s="370"/>
      <c r="O694" s="371"/>
    </row>
    <row r="695" spans="1:16" x14ac:dyDescent="0.25">
      <c r="A695" s="364"/>
      <c r="B695" s="367"/>
      <c r="C695" s="21" t="s">
        <v>73</v>
      </c>
      <c r="E695" s="17"/>
      <c r="F695" s="16">
        <v>1</v>
      </c>
      <c r="G695" s="228">
        <v>1</v>
      </c>
      <c r="H695" s="17">
        <f>F695*D695*G695</f>
        <v>0</v>
      </c>
      <c r="I695" s="72"/>
      <c r="K695" s="47" t="s">
        <v>27</v>
      </c>
      <c r="L695" s="47" t="s">
        <v>12</v>
      </c>
      <c r="M695" s="47" t="s">
        <v>87</v>
      </c>
      <c r="N695" s="47" t="s">
        <v>28</v>
      </c>
      <c r="O695" s="28" t="s">
        <v>86</v>
      </c>
      <c r="P695" s="17"/>
    </row>
    <row r="696" spans="1:16" x14ac:dyDescent="0.25">
      <c r="A696" s="364"/>
      <c r="B696" s="367"/>
      <c r="E696" s="17"/>
      <c r="F696" s="16">
        <v>1</v>
      </c>
      <c r="G696" s="228"/>
      <c r="H696" s="17">
        <f>F696*D696</f>
        <v>0</v>
      </c>
      <c r="I696" s="72"/>
      <c r="K696" s="3"/>
      <c r="L696" s="3"/>
      <c r="M696" s="3"/>
      <c r="N696" s="3"/>
      <c r="O696" s="3"/>
      <c r="P696" s="50" t="s">
        <v>50</v>
      </c>
    </row>
    <row r="697" spans="1:16" ht="16.5" thickBot="1" x14ac:dyDescent="0.3">
      <c r="A697" s="364"/>
      <c r="B697" s="367"/>
      <c r="C697" s="225" t="s">
        <v>47</v>
      </c>
      <c r="D697" s="223"/>
      <c r="E697" s="85"/>
      <c r="F697" s="224"/>
      <c r="G697" s="224"/>
      <c r="H697" s="85">
        <f>F697*D697</f>
        <v>0</v>
      </c>
      <c r="I697" s="86"/>
      <c r="K697" s="214" t="e">
        <f>K696/SUM(K696:O696)*I698</f>
        <v>#DIV/0!</v>
      </c>
      <c r="L697" s="214" t="e">
        <f>L696/SUM(K696:O696)*$I698</f>
        <v>#DIV/0!</v>
      </c>
      <c r="M697" s="214" t="e">
        <f>M696/SUM(K696:O696)*$I698</f>
        <v>#DIV/0!</v>
      </c>
      <c r="N697" s="214" t="e">
        <f>N696/SUM(K696:O696)*$I698</f>
        <v>#DIV/0!</v>
      </c>
      <c r="O697" s="214" t="e">
        <f>O696/SUM(K696:O696)*$I698</f>
        <v>#DIV/0!</v>
      </c>
      <c r="P697" s="50" t="s">
        <v>90</v>
      </c>
    </row>
    <row r="698" spans="1:16" ht="16.5" thickTop="1" x14ac:dyDescent="0.25">
      <c r="A698" s="365"/>
      <c r="B698" s="368"/>
      <c r="C698" s="9"/>
      <c r="D698" s="9"/>
      <c r="E698" s="64"/>
      <c r="F698" s="222"/>
      <c r="G698" s="222"/>
      <c r="H698" s="64">
        <f>SUM(H694:H697)</f>
        <v>0</v>
      </c>
      <c r="I698" s="74">
        <f>H698*I$6*I$5</f>
        <v>0</v>
      </c>
    </row>
    <row r="700" spans="1:16" x14ac:dyDescent="0.25">
      <c r="A700" s="363">
        <f>A694+1</f>
        <v>45630</v>
      </c>
      <c r="B700" s="366" t="s">
        <v>24</v>
      </c>
      <c r="C700" s="57" t="s">
        <v>72</v>
      </c>
      <c r="D700" s="7"/>
      <c r="E700" s="49"/>
      <c r="F700" s="48">
        <v>1</v>
      </c>
      <c r="G700" s="227"/>
      <c r="H700" s="49">
        <f>F700*D700*G700</f>
        <v>0</v>
      </c>
      <c r="I700" s="55"/>
      <c r="K700" s="369" t="s">
        <v>23</v>
      </c>
      <c r="L700" s="370"/>
      <c r="M700" s="370"/>
      <c r="N700" s="370"/>
      <c r="O700" s="371"/>
    </row>
    <row r="701" spans="1:16" x14ac:dyDescent="0.25">
      <c r="A701" s="364"/>
      <c r="B701" s="367"/>
      <c r="C701" s="21" t="s">
        <v>73</v>
      </c>
      <c r="E701" s="17"/>
      <c r="F701" s="16">
        <v>1</v>
      </c>
      <c r="G701" s="228"/>
      <c r="H701" s="17">
        <f>F701*D701*G701</f>
        <v>0</v>
      </c>
      <c r="I701" s="72"/>
      <c r="K701" s="47" t="s">
        <v>27</v>
      </c>
      <c r="L701" s="47" t="s">
        <v>12</v>
      </c>
      <c r="M701" s="47" t="s">
        <v>87</v>
      </c>
      <c r="N701" s="47" t="s">
        <v>28</v>
      </c>
      <c r="O701" s="28" t="s">
        <v>86</v>
      </c>
      <c r="P701" s="17"/>
    </row>
    <row r="702" spans="1:16" x14ac:dyDescent="0.25">
      <c r="A702" s="364"/>
      <c r="B702" s="367"/>
      <c r="E702" s="17"/>
      <c r="F702" s="16">
        <v>1</v>
      </c>
      <c r="G702" s="228"/>
      <c r="H702" s="17">
        <f>F702*D702</f>
        <v>0</v>
      </c>
      <c r="I702" s="72"/>
      <c r="K702" s="3"/>
      <c r="L702" s="3"/>
      <c r="M702" s="3"/>
      <c r="N702" s="3"/>
      <c r="O702" s="3"/>
      <c r="P702" s="50" t="s">
        <v>50</v>
      </c>
    </row>
    <row r="703" spans="1:16" ht="16.5" thickBot="1" x14ac:dyDescent="0.3">
      <c r="A703" s="364"/>
      <c r="B703" s="367"/>
      <c r="C703" s="225" t="s">
        <v>47</v>
      </c>
      <c r="D703" s="223"/>
      <c r="E703" s="85"/>
      <c r="F703" s="224">
        <v>1</v>
      </c>
      <c r="G703" s="224"/>
      <c r="H703" s="85">
        <f>F703*D703</f>
        <v>0</v>
      </c>
      <c r="I703" s="86"/>
      <c r="K703" s="214" t="e">
        <f>K702/SUM(K702:O702)*I704</f>
        <v>#DIV/0!</v>
      </c>
      <c r="L703" s="214" t="e">
        <f>L702/SUM(K702:O702)*$I704</f>
        <v>#DIV/0!</v>
      </c>
      <c r="M703" s="214" t="e">
        <f>M702/SUM(K702:O702)*$I704</f>
        <v>#DIV/0!</v>
      </c>
      <c r="N703" s="214" t="e">
        <f>N702/SUM(K702:O702)*$I704</f>
        <v>#DIV/0!</v>
      </c>
      <c r="O703" s="214" t="e">
        <f>O702/SUM(K702:O702)*$I704</f>
        <v>#DIV/0!</v>
      </c>
      <c r="P703" s="50" t="s">
        <v>90</v>
      </c>
    </row>
    <row r="704" spans="1:16" ht="16.5" thickTop="1" x14ac:dyDescent="0.25">
      <c r="A704" s="365"/>
      <c r="B704" s="368"/>
      <c r="C704" s="9"/>
      <c r="D704" s="9"/>
      <c r="E704" s="64"/>
      <c r="F704" s="222"/>
      <c r="G704" s="222"/>
      <c r="H704" s="64">
        <f>SUM(H700:H703)</f>
        <v>0</v>
      </c>
      <c r="I704" s="74">
        <f>H704*I$6*I$5</f>
        <v>0</v>
      </c>
    </row>
    <row r="706" spans="1:16" x14ac:dyDescent="0.25">
      <c r="A706" s="363">
        <f>A700+1</f>
        <v>45631</v>
      </c>
      <c r="B706" s="366" t="s">
        <v>5</v>
      </c>
      <c r="C706" s="57" t="s">
        <v>72</v>
      </c>
      <c r="D706" s="7"/>
      <c r="E706" s="49"/>
      <c r="F706" s="48">
        <v>1</v>
      </c>
      <c r="G706" s="227"/>
      <c r="H706" s="49">
        <f>F706*D706*G706</f>
        <v>0</v>
      </c>
      <c r="I706" s="55"/>
      <c r="K706" s="369" t="s">
        <v>23</v>
      </c>
      <c r="L706" s="370"/>
      <c r="M706" s="370"/>
      <c r="N706" s="370"/>
      <c r="O706" s="371"/>
    </row>
    <row r="707" spans="1:16" x14ac:dyDescent="0.25">
      <c r="A707" s="364"/>
      <c r="B707" s="367"/>
      <c r="C707" s="21" t="s">
        <v>73</v>
      </c>
      <c r="E707" s="17"/>
      <c r="F707" s="16">
        <v>1</v>
      </c>
      <c r="G707" s="228"/>
      <c r="H707" s="17">
        <f>F707*D707*G707</f>
        <v>0</v>
      </c>
      <c r="I707" s="72"/>
      <c r="K707" s="47" t="s">
        <v>27</v>
      </c>
      <c r="L707" s="47" t="s">
        <v>12</v>
      </c>
      <c r="M707" s="47" t="s">
        <v>87</v>
      </c>
      <c r="N707" s="47" t="s">
        <v>28</v>
      </c>
      <c r="O707" s="28" t="s">
        <v>86</v>
      </c>
      <c r="P707" s="17"/>
    </row>
    <row r="708" spans="1:16" x14ac:dyDescent="0.25">
      <c r="A708" s="364"/>
      <c r="B708" s="367"/>
      <c r="E708" s="17"/>
      <c r="F708" s="16">
        <v>1</v>
      </c>
      <c r="G708" s="228"/>
      <c r="H708" s="17">
        <f>F708*D708</f>
        <v>0</v>
      </c>
      <c r="I708" s="72"/>
      <c r="K708" s="3"/>
      <c r="L708" s="3"/>
      <c r="M708" s="3"/>
      <c r="N708" s="3"/>
      <c r="O708" s="3"/>
      <c r="P708" s="50" t="s">
        <v>50</v>
      </c>
    </row>
    <row r="709" spans="1:16" ht="16.5" thickBot="1" x14ac:dyDescent="0.3">
      <c r="A709" s="364"/>
      <c r="B709" s="367"/>
      <c r="C709" s="225" t="s">
        <v>47</v>
      </c>
      <c r="D709" s="223"/>
      <c r="E709" s="85"/>
      <c r="F709" s="224">
        <v>1</v>
      </c>
      <c r="G709" s="224"/>
      <c r="H709" s="85">
        <f>F709*D709</f>
        <v>0</v>
      </c>
      <c r="I709" s="86"/>
      <c r="K709" s="214" t="e">
        <f>K708/SUM(K708:O708)*I710</f>
        <v>#DIV/0!</v>
      </c>
      <c r="L709" s="214" t="e">
        <f>L708/SUM(K708:O708)*$I710</f>
        <v>#DIV/0!</v>
      </c>
      <c r="M709" s="214" t="e">
        <f>M708/SUM(K708:O708)*$I710</f>
        <v>#DIV/0!</v>
      </c>
      <c r="N709" s="214" t="e">
        <f>N708/SUM(K708:O708)*$I710</f>
        <v>#DIV/0!</v>
      </c>
      <c r="O709" s="214" t="e">
        <f>O708/SUM(K708:O708)*$I710</f>
        <v>#DIV/0!</v>
      </c>
      <c r="P709" s="50" t="s">
        <v>90</v>
      </c>
    </row>
    <row r="710" spans="1:16" ht="16.5" thickTop="1" x14ac:dyDescent="0.25">
      <c r="A710" s="365"/>
      <c r="B710" s="368"/>
      <c r="C710" s="9"/>
      <c r="D710" s="9"/>
      <c r="E710" s="64"/>
      <c r="F710" s="222"/>
      <c r="G710" s="222"/>
      <c r="H710" s="64">
        <f>SUM(H706:H709)</f>
        <v>0</v>
      </c>
      <c r="I710" s="74">
        <f>H710*I$6*I$5</f>
        <v>0</v>
      </c>
    </row>
    <row r="712" spans="1:16" x14ac:dyDescent="0.25">
      <c r="A712" s="363">
        <f>A706+1</f>
        <v>45632</v>
      </c>
      <c r="B712" s="366" t="s">
        <v>6</v>
      </c>
      <c r="C712" s="57" t="s">
        <v>72</v>
      </c>
      <c r="D712" s="7"/>
      <c r="E712" s="49"/>
      <c r="F712" s="48">
        <v>1</v>
      </c>
      <c r="G712" s="227">
        <v>1</v>
      </c>
      <c r="H712" s="49">
        <f>F712*D712*G712</f>
        <v>0</v>
      </c>
      <c r="I712" s="55"/>
      <c r="K712" s="369" t="s">
        <v>23</v>
      </c>
      <c r="L712" s="370"/>
      <c r="M712" s="370"/>
      <c r="N712" s="370"/>
      <c r="O712" s="371"/>
    </row>
    <row r="713" spans="1:16" x14ac:dyDescent="0.25">
      <c r="A713" s="364"/>
      <c r="B713" s="367"/>
      <c r="C713" s="21" t="s">
        <v>73</v>
      </c>
      <c r="E713" s="17"/>
      <c r="F713" s="16">
        <v>1</v>
      </c>
      <c r="G713" s="228">
        <v>1</v>
      </c>
      <c r="H713" s="17">
        <f>F713*D713*G713</f>
        <v>0</v>
      </c>
      <c r="I713" s="72"/>
      <c r="K713" s="47" t="s">
        <v>27</v>
      </c>
      <c r="L713" s="47" t="s">
        <v>12</v>
      </c>
      <c r="M713" s="47" t="s">
        <v>87</v>
      </c>
      <c r="N713" s="47" t="s">
        <v>28</v>
      </c>
      <c r="O713" s="28" t="s">
        <v>86</v>
      </c>
      <c r="P713" s="17"/>
    </row>
    <row r="714" spans="1:16" x14ac:dyDescent="0.25">
      <c r="A714" s="364"/>
      <c r="B714" s="367"/>
      <c r="E714" s="17"/>
      <c r="F714" s="16">
        <v>1</v>
      </c>
      <c r="G714" s="228"/>
      <c r="H714" s="17">
        <f>F714*D714</f>
        <v>0</v>
      </c>
      <c r="I714" s="72"/>
      <c r="K714" s="3"/>
      <c r="L714" s="3"/>
      <c r="M714" s="3"/>
      <c r="N714" s="3"/>
      <c r="O714" s="3"/>
      <c r="P714" s="50" t="s">
        <v>50</v>
      </c>
    </row>
    <row r="715" spans="1:16" ht="16.5" thickBot="1" x14ac:dyDescent="0.3">
      <c r="A715" s="364"/>
      <c r="B715" s="367"/>
      <c r="C715" s="225" t="s">
        <v>47</v>
      </c>
      <c r="D715" s="223"/>
      <c r="E715" s="85"/>
      <c r="F715" s="224"/>
      <c r="G715" s="224"/>
      <c r="H715" s="85">
        <f>F715*D715</f>
        <v>0</v>
      </c>
      <c r="I715" s="86"/>
      <c r="K715" s="214" t="e">
        <f>K714/SUM(K714:O714)*I716</f>
        <v>#DIV/0!</v>
      </c>
      <c r="L715" s="214" t="e">
        <f>L714/SUM(K714:O714)*$I716</f>
        <v>#DIV/0!</v>
      </c>
      <c r="M715" s="214" t="e">
        <f>M714/SUM(K714:O714)*$I716</f>
        <v>#DIV/0!</v>
      </c>
      <c r="N715" s="214" t="e">
        <f>N714/SUM(K714:O714)*$I716</f>
        <v>#DIV/0!</v>
      </c>
      <c r="O715" s="214" t="e">
        <f>O714/SUM(K714:O714)*$I716</f>
        <v>#DIV/0!</v>
      </c>
      <c r="P715" s="50" t="s">
        <v>90</v>
      </c>
    </row>
    <row r="716" spans="1:16" ht="16.5" thickTop="1" x14ac:dyDescent="0.25">
      <c r="A716" s="365"/>
      <c r="B716" s="368"/>
      <c r="C716" s="9"/>
      <c r="D716" s="9"/>
      <c r="E716" s="64"/>
      <c r="F716" s="222"/>
      <c r="G716" s="222"/>
      <c r="H716" s="64">
        <f>SUM(H712:H715)</f>
        <v>0</v>
      </c>
      <c r="I716" s="74">
        <f>H716*I$6*I$5</f>
        <v>0</v>
      </c>
    </row>
    <row r="718" spans="1:16" x14ac:dyDescent="0.25">
      <c r="A718" s="363">
        <f>A712+1</f>
        <v>45633</v>
      </c>
      <c r="B718" s="366" t="s">
        <v>0</v>
      </c>
      <c r="C718" s="57" t="s">
        <v>72</v>
      </c>
      <c r="D718" s="7"/>
      <c r="E718" s="49"/>
      <c r="F718" s="48">
        <v>1</v>
      </c>
      <c r="G718" s="227">
        <v>1</v>
      </c>
      <c r="H718" s="49">
        <f>F718*D718*G718</f>
        <v>0</v>
      </c>
      <c r="I718" s="55"/>
      <c r="K718" s="369" t="s">
        <v>23</v>
      </c>
      <c r="L718" s="370"/>
      <c r="M718" s="370"/>
      <c r="N718" s="370"/>
      <c r="O718" s="371"/>
    </row>
    <row r="719" spans="1:16" x14ac:dyDescent="0.25">
      <c r="A719" s="364"/>
      <c r="B719" s="367"/>
      <c r="C719" s="21" t="s">
        <v>73</v>
      </c>
      <c r="E719" s="17"/>
      <c r="F719" s="16">
        <v>1</v>
      </c>
      <c r="G719" s="228">
        <v>1</v>
      </c>
      <c r="H719" s="17">
        <f>F719*D719*G719</f>
        <v>0</v>
      </c>
      <c r="I719" s="72"/>
      <c r="K719" s="47" t="s">
        <v>27</v>
      </c>
      <c r="L719" s="47" t="s">
        <v>12</v>
      </c>
      <c r="M719" s="47" t="s">
        <v>87</v>
      </c>
      <c r="N719" s="47" t="s">
        <v>28</v>
      </c>
      <c r="O719" s="28" t="s">
        <v>86</v>
      </c>
      <c r="P719" s="17"/>
    </row>
    <row r="720" spans="1:16" x14ac:dyDescent="0.25">
      <c r="A720" s="364"/>
      <c r="B720" s="367"/>
      <c r="E720" s="17"/>
      <c r="F720" s="16">
        <v>1</v>
      </c>
      <c r="G720" s="228"/>
      <c r="H720" s="17">
        <f>F720*D720</f>
        <v>0</v>
      </c>
      <c r="I720" s="72"/>
      <c r="K720" s="3"/>
      <c r="L720" s="3"/>
      <c r="M720" s="3"/>
      <c r="N720" s="3"/>
      <c r="O720" s="3"/>
      <c r="P720" s="50" t="s">
        <v>50</v>
      </c>
    </row>
    <row r="721" spans="1:16" ht="16.5" thickBot="1" x14ac:dyDescent="0.3">
      <c r="A721" s="364"/>
      <c r="B721" s="367"/>
      <c r="C721" s="225" t="s">
        <v>47</v>
      </c>
      <c r="D721" s="223"/>
      <c r="E721" s="85"/>
      <c r="F721" s="224"/>
      <c r="G721" s="224"/>
      <c r="H721" s="85">
        <f>F721*D721</f>
        <v>0</v>
      </c>
      <c r="I721" s="86"/>
      <c r="K721" s="214" t="e">
        <f>K720/SUM(K720:O720)*I722</f>
        <v>#DIV/0!</v>
      </c>
      <c r="L721" s="214" t="e">
        <f>L720/SUM(K720:O720)*$I722</f>
        <v>#DIV/0!</v>
      </c>
      <c r="M721" s="214" t="e">
        <f>M720/SUM(K720:O720)*$I722</f>
        <v>#DIV/0!</v>
      </c>
      <c r="N721" s="214" t="e">
        <f>N720/SUM(K720:O720)*$I722</f>
        <v>#DIV/0!</v>
      </c>
      <c r="O721" s="214" t="e">
        <f>O720/SUM(K720:O720)*$I722</f>
        <v>#DIV/0!</v>
      </c>
      <c r="P721" s="50" t="s">
        <v>90</v>
      </c>
    </row>
    <row r="722" spans="1:16" ht="16.5" thickTop="1" x14ac:dyDescent="0.25">
      <c r="A722" s="365"/>
      <c r="B722" s="368"/>
      <c r="C722" s="9"/>
      <c r="D722" s="9"/>
      <c r="E722" s="64"/>
      <c r="F722" s="222"/>
      <c r="G722" s="222"/>
      <c r="H722" s="64">
        <f>SUM(H718:H721)</f>
        <v>0</v>
      </c>
      <c r="I722" s="74">
        <f>H722*I$6*I$5</f>
        <v>0</v>
      </c>
    </row>
    <row r="724" spans="1:16" x14ac:dyDescent="0.25">
      <c r="A724" s="363">
        <f>A718+1</f>
        <v>45634</v>
      </c>
      <c r="B724" s="366" t="s">
        <v>1</v>
      </c>
      <c r="C724" s="57" t="s">
        <v>72</v>
      </c>
      <c r="D724" s="7"/>
      <c r="E724" s="49"/>
      <c r="F724" s="48">
        <v>1</v>
      </c>
      <c r="G724" s="227"/>
      <c r="H724" s="49">
        <f>F724*D724*G724</f>
        <v>0</v>
      </c>
      <c r="I724" s="55"/>
      <c r="K724" s="369" t="s">
        <v>23</v>
      </c>
      <c r="L724" s="370"/>
      <c r="M724" s="370"/>
      <c r="N724" s="370"/>
      <c r="O724" s="371"/>
    </row>
    <row r="725" spans="1:16" x14ac:dyDescent="0.25">
      <c r="A725" s="364"/>
      <c r="B725" s="367"/>
      <c r="C725" s="21" t="s">
        <v>73</v>
      </c>
      <c r="E725" s="17"/>
      <c r="F725" s="16">
        <v>1</v>
      </c>
      <c r="G725" s="228"/>
      <c r="H725" s="17">
        <f>F725*D725*G725</f>
        <v>0</v>
      </c>
      <c r="I725" s="72"/>
      <c r="K725" s="47" t="s">
        <v>27</v>
      </c>
      <c r="L725" s="47" t="s">
        <v>12</v>
      </c>
      <c r="M725" s="47" t="s">
        <v>87</v>
      </c>
      <c r="N725" s="47" t="s">
        <v>28</v>
      </c>
      <c r="O725" s="28" t="s">
        <v>86</v>
      </c>
      <c r="P725" s="17"/>
    </row>
    <row r="726" spans="1:16" x14ac:dyDescent="0.25">
      <c r="A726" s="364"/>
      <c r="B726" s="367"/>
      <c r="E726" s="17"/>
      <c r="F726" s="16">
        <v>1</v>
      </c>
      <c r="G726" s="228"/>
      <c r="H726" s="17">
        <f>F726*D726</f>
        <v>0</v>
      </c>
      <c r="I726" s="72"/>
      <c r="K726" s="3"/>
      <c r="L726" s="3"/>
      <c r="M726" s="3"/>
      <c r="N726" s="3"/>
      <c r="O726" s="3"/>
      <c r="P726" s="50" t="s">
        <v>50</v>
      </c>
    </row>
    <row r="727" spans="1:16" ht="16.5" thickBot="1" x14ac:dyDescent="0.3">
      <c r="A727" s="364"/>
      <c r="B727" s="367"/>
      <c r="C727" s="225" t="s">
        <v>47</v>
      </c>
      <c r="D727" s="223"/>
      <c r="E727" s="85"/>
      <c r="F727" s="224">
        <v>1</v>
      </c>
      <c r="G727" s="224"/>
      <c r="H727" s="85">
        <f>F727*D727</f>
        <v>0</v>
      </c>
      <c r="I727" s="86"/>
      <c r="K727" s="214" t="e">
        <f>K726/SUM(K726:O726)*I728</f>
        <v>#DIV/0!</v>
      </c>
      <c r="L727" s="214" t="e">
        <f>L726/SUM(K726:O726)*$I728</f>
        <v>#DIV/0!</v>
      </c>
      <c r="M727" s="214" t="e">
        <f>M726/SUM(K726:O726)*$I728</f>
        <v>#DIV/0!</v>
      </c>
      <c r="N727" s="214" t="e">
        <f>N726/SUM(K726:O726)*$I728</f>
        <v>#DIV/0!</v>
      </c>
      <c r="O727" s="214" t="e">
        <f>O726/SUM(K726:O726)*$I728</f>
        <v>#DIV/0!</v>
      </c>
      <c r="P727" s="50" t="s">
        <v>90</v>
      </c>
    </row>
    <row r="728" spans="1:16" ht="16.5" thickTop="1" x14ac:dyDescent="0.25">
      <c r="A728" s="365"/>
      <c r="B728" s="368"/>
      <c r="C728" s="9"/>
      <c r="D728" s="9"/>
      <c r="E728" s="64"/>
      <c r="F728" s="222"/>
      <c r="G728" s="222"/>
      <c r="H728" s="64">
        <f>SUM(H724:H727)</f>
        <v>0</v>
      </c>
      <c r="I728" s="74">
        <f>H728*I$6*I$5</f>
        <v>0</v>
      </c>
    </row>
    <row r="729" spans="1:16" x14ac:dyDescent="0.25">
      <c r="B729" s="9"/>
    </row>
    <row r="730" spans="1:16" x14ac:dyDescent="0.25">
      <c r="A730" s="363">
        <f>A724+1</f>
        <v>45635</v>
      </c>
      <c r="B730" s="366" t="s">
        <v>25</v>
      </c>
      <c r="C730" s="57" t="s">
        <v>72</v>
      </c>
      <c r="D730" s="7"/>
      <c r="E730" s="49"/>
      <c r="F730" s="48">
        <v>1</v>
      </c>
      <c r="G730" s="227"/>
      <c r="H730" s="49">
        <f>F730*D730*G730</f>
        <v>0</v>
      </c>
      <c r="I730" s="55"/>
      <c r="K730" s="369" t="s">
        <v>23</v>
      </c>
      <c r="L730" s="370"/>
      <c r="M730" s="370"/>
      <c r="N730" s="370"/>
      <c r="O730" s="371"/>
    </row>
    <row r="731" spans="1:16" x14ac:dyDescent="0.25">
      <c r="A731" s="364"/>
      <c r="B731" s="367"/>
      <c r="C731" s="21" t="s">
        <v>73</v>
      </c>
      <c r="E731" s="17"/>
      <c r="F731" s="16">
        <v>1</v>
      </c>
      <c r="G731" s="228"/>
      <c r="H731" s="17">
        <f>F731*D731*G731</f>
        <v>0</v>
      </c>
      <c r="I731" s="72"/>
      <c r="K731" s="47" t="s">
        <v>27</v>
      </c>
      <c r="L731" s="47" t="s">
        <v>12</v>
      </c>
      <c r="M731" s="47" t="s">
        <v>87</v>
      </c>
      <c r="N731" s="47" t="s">
        <v>28</v>
      </c>
      <c r="O731" s="28" t="s">
        <v>86</v>
      </c>
      <c r="P731" s="17"/>
    </row>
    <row r="732" spans="1:16" x14ac:dyDescent="0.25">
      <c r="A732" s="364"/>
      <c r="B732" s="367"/>
      <c r="E732" s="17"/>
      <c r="F732" s="16">
        <v>1</v>
      </c>
      <c r="G732" s="228"/>
      <c r="H732" s="17">
        <f>F732*D732</f>
        <v>0</v>
      </c>
      <c r="I732" s="72"/>
      <c r="K732" s="3"/>
      <c r="L732" s="3"/>
      <c r="M732" s="3"/>
      <c r="N732" s="3"/>
      <c r="O732" s="3"/>
      <c r="P732" s="50" t="s">
        <v>50</v>
      </c>
    </row>
    <row r="733" spans="1:16" ht="16.5" thickBot="1" x14ac:dyDescent="0.3">
      <c r="A733" s="364"/>
      <c r="B733" s="367"/>
      <c r="C733" s="225" t="s">
        <v>47</v>
      </c>
      <c r="D733" s="223"/>
      <c r="E733" s="85"/>
      <c r="F733" s="224">
        <v>1</v>
      </c>
      <c r="G733" s="224"/>
      <c r="H733" s="85">
        <f>F733*D733</f>
        <v>0</v>
      </c>
      <c r="I733" s="86"/>
      <c r="K733" s="214" t="e">
        <f>K732/SUM(K732:O732)*I734</f>
        <v>#DIV/0!</v>
      </c>
      <c r="L733" s="214" t="e">
        <f>L732/SUM(K732:O732)*$I734</f>
        <v>#DIV/0!</v>
      </c>
      <c r="M733" s="214" t="e">
        <f>M732/SUM(K732:O732)*$I734</f>
        <v>#DIV/0!</v>
      </c>
      <c r="N733" s="214" t="e">
        <f>N732/SUM(K732:O732)*$I734</f>
        <v>#DIV/0!</v>
      </c>
      <c r="O733" s="214" t="e">
        <f>O732/SUM(K732:O732)*$I734</f>
        <v>#DIV/0!</v>
      </c>
      <c r="P733" s="50" t="s">
        <v>90</v>
      </c>
    </row>
    <row r="734" spans="1:16" ht="16.5" thickTop="1" x14ac:dyDescent="0.25">
      <c r="A734" s="365"/>
      <c r="B734" s="368"/>
      <c r="C734" s="9"/>
      <c r="D734" s="9"/>
      <c r="E734" s="64"/>
      <c r="F734" s="222"/>
      <c r="G734" s="222"/>
      <c r="H734" s="64">
        <f>SUM(H730:H733)</f>
        <v>0</v>
      </c>
      <c r="I734" s="74">
        <f>H734*I$6*I$5</f>
        <v>0</v>
      </c>
    </row>
    <row r="736" spans="1:16" x14ac:dyDescent="0.25">
      <c r="A736" s="363">
        <f>A730+1</f>
        <v>45636</v>
      </c>
      <c r="B736" s="366" t="s">
        <v>3</v>
      </c>
      <c r="C736" s="57" t="s">
        <v>72</v>
      </c>
      <c r="D736" s="7"/>
      <c r="E736" s="49"/>
      <c r="F736" s="48">
        <v>1</v>
      </c>
      <c r="G736" s="227"/>
      <c r="H736" s="49">
        <f>F736*D736*G736</f>
        <v>0</v>
      </c>
      <c r="I736" s="55"/>
      <c r="K736" s="369" t="s">
        <v>23</v>
      </c>
      <c r="L736" s="370"/>
      <c r="M736" s="370"/>
      <c r="N736" s="370"/>
      <c r="O736" s="371"/>
    </row>
    <row r="737" spans="1:16" x14ac:dyDescent="0.25">
      <c r="A737" s="364"/>
      <c r="B737" s="367"/>
      <c r="C737" s="21" t="s">
        <v>73</v>
      </c>
      <c r="E737" s="17"/>
      <c r="F737" s="16">
        <v>1</v>
      </c>
      <c r="G737" s="228"/>
      <c r="H737" s="17">
        <f>F737*D737*G737</f>
        <v>0</v>
      </c>
      <c r="I737" s="72"/>
      <c r="K737" s="47" t="s">
        <v>27</v>
      </c>
      <c r="L737" s="47" t="s">
        <v>12</v>
      </c>
      <c r="M737" s="47" t="s">
        <v>87</v>
      </c>
      <c r="N737" s="47" t="s">
        <v>28</v>
      </c>
      <c r="O737" s="28" t="s">
        <v>86</v>
      </c>
      <c r="P737" s="17"/>
    </row>
    <row r="738" spans="1:16" x14ac:dyDescent="0.25">
      <c r="A738" s="364"/>
      <c r="B738" s="367"/>
      <c r="E738" s="17"/>
      <c r="F738" s="16">
        <v>1</v>
      </c>
      <c r="G738" s="228"/>
      <c r="H738" s="17">
        <f>F738*D738</f>
        <v>0</v>
      </c>
      <c r="I738" s="72"/>
      <c r="K738" s="3"/>
      <c r="L738" s="3"/>
      <c r="M738" s="3"/>
      <c r="N738" s="3"/>
      <c r="O738" s="3"/>
      <c r="P738" s="50" t="s">
        <v>50</v>
      </c>
    </row>
    <row r="739" spans="1:16" ht="16.5" thickBot="1" x14ac:dyDescent="0.3">
      <c r="A739" s="364"/>
      <c r="B739" s="367"/>
      <c r="C739" s="225" t="s">
        <v>47</v>
      </c>
      <c r="D739" s="223"/>
      <c r="E739" s="85"/>
      <c r="F739" s="224">
        <v>1</v>
      </c>
      <c r="G739" s="224"/>
      <c r="H739" s="85">
        <f>F739*D739</f>
        <v>0</v>
      </c>
      <c r="I739" s="86"/>
      <c r="K739" s="214" t="e">
        <f>K738/SUM(K738:O738)*I740</f>
        <v>#DIV/0!</v>
      </c>
      <c r="L739" s="214" t="e">
        <f>L738/SUM(K738:O738)*$I740</f>
        <v>#DIV/0!</v>
      </c>
      <c r="M739" s="214" t="e">
        <f>M738/SUM(K738:O738)*$I740</f>
        <v>#DIV/0!</v>
      </c>
      <c r="N739" s="214" t="e">
        <f>N738/SUM(K738:O738)*$I740</f>
        <v>#DIV/0!</v>
      </c>
      <c r="O739" s="214" t="e">
        <f>O738/SUM(K738:O738)*$I740</f>
        <v>#DIV/0!</v>
      </c>
      <c r="P739" s="50" t="s">
        <v>90</v>
      </c>
    </row>
    <row r="740" spans="1:16" ht="16.5" thickTop="1" x14ac:dyDescent="0.25">
      <c r="A740" s="365"/>
      <c r="B740" s="368"/>
      <c r="C740" s="9"/>
      <c r="D740" s="9"/>
      <c r="E740" s="64"/>
      <c r="F740" s="222"/>
      <c r="G740" s="222"/>
      <c r="H740" s="64">
        <f>SUM(H736:H739)</f>
        <v>0</v>
      </c>
      <c r="I740" s="74">
        <f>H740*I$6*I$5</f>
        <v>0</v>
      </c>
    </row>
    <row r="742" spans="1:16" x14ac:dyDescent="0.25">
      <c r="A742" s="363">
        <f>A736+1</f>
        <v>45637</v>
      </c>
      <c r="B742" s="366" t="s">
        <v>24</v>
      </c>
      <c r="C742" s="57" t="s">
        <v>72</v>
      </c>
      <c r="D742" s="7"/>
      <c r="E742" s="49"/>
      <c r="F742" s="48">
        <v>1</v>
      </c>
      <c r="G742" s="227">
        <v>1</v>
      </c>
      <c r="H742" s="49">
        <f>F742*D742*G742</f>
        <v>0</v>
      </c>
      <c r="I742" s="55"/>
      <c r="K742" s="369" t="s">
        <v>23</v>
      </c>
      <c r="L742" s="370"/>
      <c r="M742" s="370"/>
      <c r="N742" s="370"/>
      <c r="O742" s="371"/>
    </row>
    <row r="743" spans="1:16" x14ac:dyDescent="0.25">
      <c r="A743" s="364"/>
      <c r="B743" s="367"/>
      <c r="C743" s="21" t="s">
        <v>73</v>
      </c>
      <c r="E743" s="17"/>
      <c r="F743" s="16">
        <v>1</v>
      </c>
      <c r="G743" s="228">
        <v>1</v>
      </c>
      <c r="H743" s="17">
        <f>F743*D743*G743</f>
        <v>0</v>
      </c>
      <c r="I743" s="72"/>
      <c r="K743" s="47" t="s">
        <v>27</v>
      </c>
      <c r="L743" s="47" t="s">
        <v>12</v>
      </c>
      <c r="M743" s="47" t="s">
        <v>87</v>
      </c>
      <c r="N743" s="47" t="s">
        <v>28</v>
      </c>
      <c r="O743" s="28" t="s">
        <v>86</v>
      </c>
      <c r="P743" s="17"/>
    </row>
    <row r="744" spans="1:16" x14ac:dyDescent="0.25">
      <c r="A744" s="364"/>
      <c r="B744" s="367"/>
      <c r="E744" s="17"/>
      <c r="F744" s="16">
        <v>1</v>
      </c>
      <c r="G744" s="228"/>
      <c r="H744" s="17">
        <f>F744*D744</f>
        <v>0</v>
      </c>
      <c r="I744" s="72"/>
      <c r="K744" s="3"/>
      <c r="L744" s="3"/>
      <c r="M744" s="3"/>
      <c r="N744" s="3"/>
      <c r="O744" s="3"/>
      <c r="P744" s="50" t="s">
        <v>50</v>
      </c>
    </row>
    <row r="745" spans="1:16" ht="16.5" thickBot="1" x14ac:dyDescent="0.3">
      <c r="A745" s="364"/>
      <c r="B745" s="367"/>
      <c r="C745" s="225" t="s">
        <v>47</v>
      </c>
      <c r="D745" s="223"/>
      <c r="E745" s="85"/>
      <c r="F745" s="224"/>
      <c r="G745" s="224"/>
      <c r="H745" s="85">
        <f>F745*D745</f>
        <v>0</v>
      </c>
      <c r="I745" s="86"/>
      <c r="K745" s="214" t="e">
        <f>K744/SUM(K744:O744)*I746</f>
        <v>#DIV/0!</v>
      </c>
      <c r="L745" s="214" t="e">
        <f>L744/SUM(K744:O744)*$I746</f>
        <v>#DIV/0!</v>
      </c>
      <c r="M745" s="214" t="e">
        <f>M744/SUM(K744:O744)*$I746</f>
        <v>#DIV/0!</v>
      </c>
      <c r="N745" s="214" t="e">
        <f>N744/SUM(K744:O744)*$I746</f>
        <v>#DIV/0!</v>
      </c>
      <c r="O745" s="214" t="e">
        <f>O744/SUM(K744:O744)*$I746</f>
        <v>#DIV/0!</v>
      </c>
      <c r="P745" s="50" t="s">
        <v>90</v>
      </c>
    </row>
    <row r="746" spans="1:16" ht="16.5" thickTop="1" x14ac:dyDescent="0.25">
      <c r="A746" s="365"/>
      <c r="B746" s="368"/>
      <c r="C746" s="9"/>
      <c r="D746" s="9"/>
      <c r="E746" s="64"/>
      <c r="F746" s="222"/>
      <c r="G746" s="222"/>
      <c r="H746" s="64">
        <f>SUM(H742:H745)</f>
        <v>0</v>
      </c>
      <c r="I746" s="74">
        <f>H746*I$6*I$5</f>
        <v>0</v>
      </c>
    </row>
    <row r="748" spans="1:16" x14ac:dyDescent="0.25">
      <c r="A748" s="363">
        <f>A742+1</f>
        <v>45638</v>
      </c>
      <c r="B748" s="366" t="s">
        <v>5</v>
      </c>
      <c r="C748" s="57" t="s">
        <v>72</v>
      </c>
      <c r="D748" s="7"/>
      <c r="E748" s="49"/>
      <c r="F748" s="48">
        <v>1</v>
      </c>
      <c r="G748" s="227">
        <v>1</v>
      </c>
      <c r="H748" s="49">
        <f>F748*D748*G748</f>
        <v>0</v>
      </c>
      <c r="I748" s="55"/>
      <c r="K748" s="369" t="s">
        <v>23</v>
      </c>
      <c r="L748" s="370"/>
      <c r="M748" s="370"/>
      <c r="N748" s="370"/>
      <c r="O748" s="371"/>
    </row>
    <row r="749" spans="1:16" x14ac:dyDescent="0.25">
      <c r="A749" s="364"/>
      <c r="B749" s="367"/>
      <c r="C749" s="21" t="s">
        <v>73</v>
      </c>
      <c r="E749" s="17"/>
      <c r="F749" s="16">
        <v>1</v>
      </c>
      <c r="G749" s="228">
        <v>1</v>
      </c>
      <c r="H749" s="17">
        <f>F749*D749*G749</f>
        <v>0</v>
      </c>
      <c r="I749" s="72"/>
      <c r="K749" s="47" t="s">
        <v>27</v>
      </c>
      <c r="L749" s="47" t="s">
        <v>12</v>
      </c>
      <c r="M749" s="47" t="s">
        <v>87</v>
      </c>
      <c r="N749" s="47" t="s">
        <v>28</v>
      </c>
      <c r="O749" s="28" t="s">
        <v>86</v>
      </c>
      <c r="P749" s="17"/>
    </row>
    <row r="750" spans="1:16" x14ac:dyDescent="0.25">
      <c r="A750" s="364"/>
      <c r="B750" s="367"/>
      <c r="E750" s="17"/>
      <c r="F750" s="16">
        <v>1</v>
      </c>
      <c r="G750" s="228"/>
      <c r="H750" s="17">
        <f>F750*D750</f>
        <v>0</v>
      </c>
      <c r="I750" s="72"/>
      <c r="K750" s="3"/>
      <c r="L750" s="3"/>
      <c r="M750" s="3"/>
      <c r="N750" s="3"/>
      <c r="O750" s="3"/>
      <c r="P750" s="50" t="s">
        <v>50</v>
      </c>
    </row>
    <row r="751" spans="1:16" ht="16.5" thickBot="1" x14ac:dyDescent="0.3">
      <c r="A751" s="364"/>
      <c r="B751" s="367"/>
      <c r="C751" s="225" t="s">
        <v>47</v>
      </c>
      <c r="D751" s="223"/>
      <c r="E751" s="85"/>
      <c r="F751" s="224"/>
      <c r="G751" s="224"/>
      <c r="H751" s="85">
        <f>F751*D751</f>
        <v>0</v>
      </c>
      <c r="I751" s="86"/>
      <c r="K751" s="214" t="e">
        <f>K750/SUM(K750:O750)*I752</f>
        <v>#DIV/0!</v>
      </c>
      <c r="L751" s="214" t="e">
        <f>L750/SUM(K750:O750)*$I752</f>
        <v>#DIV/0!</v>
      </c>
      <c r="M751" s="214" t="e">
        <f>M750/SUM(K750:O750)*$I752</f>
        <v>#DIV/0!</v>
      </c>
      <c r="N751" s="214" t="e">
        <f>N750/SUM(K750:O750)*$I752</f>
        <v>#DIV/0!</v>
      </c>
      <c r="O751" s="214" t="e">
        <f>O750/SUM(K750:O750)*$I752</f>
        <v>#DIV/0!</v>
      </c>
      <c r="P751" s="50" t="s">
        <v>90</v>
      </c>
    </row>
    <row r="752" spans="1:16" ht="16.5" thickTop="1" x14ac:dyDescent="0.25">
      <c r="A752" s="365"/>
      <c r="B752" s="368"/>
      <c r="C752" s="9"/>
      <c r="D752" s="9"/>
      <c r="E752" s="64"/>
      <c r="F752" s="222"/>
      <c r="G752" s="222"/>
      <c r="H752" s="64">
        <f>SUM(H748:H751)</f>
        <v>0</v>
      </c>
      <c r="I752" s="74">
        <f>H752*I5*I$6</f>
        <v>0</v>
      </c>
    </row>
    <row r="754" spans="1:16" x14ac:dyDescent="0.25">
      <c r="A754" s="363">
        <f>A748+1</f>
        <v>45639</v>
      </c>
      <c r="B754" s="366" t="s">
        <v>6</v>
      </c>
      <c r="C754" s="57" t="s">
        <v>72</v>
      </c>
      <c r="D754" s="7"/>
      <c r="E754" s="49"/>
      <c r="F754" s="48">
        <v>1</v>
      </c>
      <c r="G754" s="227">
        <v>1</v>
      </c>
      <c r="H754" s="49">
        <f>F754*D754*G754</f>
        <v>0</v>
      </c>
      <c r="I754" s="55"/>
      <c r="K754" s="369" t="s">
        <v>23</v>
      </c>
      <c r="L754" s="370"/>
      <c r="M754" s="370"/>
      <c r="N754" s="370"/>
      <c r="O754" s="371"/>
    </row>
    <row r="755" spans="1:16" x14ac:dyDescent="0.25">
      <c r="A755" s="364"/>
      <c r="B755" s="367"/>
      <c r="C755" s="21" t="s">
        <v>73</v>
      </c>
      <c r="E755" s="17"/>
      <c r="F755" s="16">
        <v>1</v>
      </c>
      <c r="G755" s="228">
        <v>1</v>
      </c>
      <c r="H755" s="17">
        <f>F755*D755*G755</f>
        <v>0</v>
      </c>
      <c r="I755" s="72"/>
      <c r="K755" s="47" t="s">
        <v>27</v>
      </c>
      <c r="L755" s="47" t="s">
        <v>12</v>
      </c>
      <c r="M755" s="47" t="s">
        <v>87</v>
      </c>
      <c r="N755" s="47" t="s">
        <v>28</v>
      </c>
      <c r="O755" s="28" t="s">
        <v>86</v>
      </c>
      <c r="P755" s="17"/>
    </row>
    <row r="756" spans="1:16" x14ac:dyDescent="0.25">
      <c r="A756" s="364"/>
      <c r="B756" s="367"/>
      <c r="E756" s="17"/>
      <c r="F756" s="16">
        <v>1</v>
      </c>
      <c r="G756" s="228"/>
      <c r="H756" s="17">
        <f>F756*D756</f>
        <v>0</v>
      </c>
      <c r="I756" s="72"/>
      <c r="K756" s="3"/>
      <c r="L756" s="3"/>
      <c r="M756" s="3"/>
      <c r="N756" s="3"/>
      <c r="O756" s="3"/>
      <c r="P756" s="50" t="s">
        <v>50</v>
      </c>
    </row>
    <row r="757" spans="1:16" ht="16.5" thickBot="1" x14ac:dyDescent="0.3">
      <c r="A757" s="364"/>
      <c r="B757" s="367"/>
      <c r="C757" s="225" t="s">
        <v>47</v>
      </c>
      <c r="D757" s="223"/>
      <c r="E757" s="85"/>
      <c r="F757" s="224">
        <v>1</v>
      </c>
      <c r="G757" s="224"/>
      <c r="H757" s="85"/>
      <c r="I757" s="86"/>
      <c r="K757" s="214" t="e">
        <f>K756/SUM(K756:O756)*I758</f>
        <v>#DIV/0!</v>
      </c>
      <c r="L757" s="214" t="e">
        <f>L756/SUM(K756:O756)*$I758</f>
        <v>#DIV/0!</v>
      </c>
      <c r="M757" s="214" t="e">
        <f>M756/SUM(K756:O756)*$I758</f>
        <v>#DIV/0!</v>
      </c>
      <c r="N757" s="214" t="e">
        <f>N756/SUM(K756:O756)*$I758</f>
        <v>#DIV/0!</v>
      </c>
      <c r="O757" s="214" t="e">
        <f>O756/SUM(K756:O756)*$I758</f>
        <v>#DIV/0!</v>
      </c>
      <c r="P757" s="50" t="s">
        <v>90</v>
      </c>
    </row>
    <row r="758" spans="1:16" ht="16.5" thickTop="1" x14ac:dyDescent="0.25">
      <c r="A758" s="365"/>
      <c r="B758" s="368"/>
      <c r="C758" s="9"/>
      <c r="D758" s="9"/>
      <c r="E758" s="64"/>
      <c r="F758" s="222"/>
      <c r="G758" s="222"/>
      <c r="H758" s="64">
        <f>SUM(H754:H757)</f>
        <v>0</v>
      </c>
      <c r="I758" s="74">
        <f>H758*I5*I$6</f>
        <v>0</v>
      </c>
    </row>
    <row r="760" spans="1:16" x14ac:dyDescent="0.25">
      <c r="A760" s="363">
        <f>A754+1</f>
        <v>45640</v>
      </c>
      <c r="B760" s="366" t="s">
        <v>0</v>
      </c>
      <c r="C760" s="57" t="s">
        <v>72</v>
      </c>
      <c r="D760" s="7"/>
      <c r="E760" s="49"/>
      <c r="F760" s="48">
        <v>1</v>
      </c>
      <c r="G760" s="227">
        <v>1</v>
      </c>
      <c r="H760" s="49">
        <f>F760*D760*G760</f>
        <v>0</v>
      </c>
      <c r="I760" s="55"/>
      <c r="K760" s="369" t="s">
        <v>23</v>
      </c>
      <c r="L760" s="370"/>
      <c r="M760" s="370"/>
      <c r="N760" s="370"/>
      <c r="O760" s="371"/>
    </row>
    <row r="761" spans="1:16" x14ac:dyDescent="0.25">
      <c r="A761" s="364"/>
      <c r="B761" s="367"/>
      <c r="C761" s="21" t="s">
        <v>73</v>
      </c>
      <c r="E761" s="17"/>
      <c r="F761" s="16">
        <v>1</v>
      </c>
      <c r="G761" s="228">
        <v>1</v>
      </c>
      <c r="H761" s="17">
        <f>F761*D761*G761</f>
        <v>0</v>
      </c>
      <c r="I761" s="72"/>
      <c r="K761" s="47" t="s">
        <v>27</v>
      </c>
      <c r="L761" s="47" t="s">
        <v>12</v>
      </c>
      <c r="M761" s="47" t="s">
        <v>87</v>
      </c>
      <c r="N761" s="47" t="s">
        <v>28</v>
      </c>
      <c r="O761" s="28" t="s">
        <v>86</v>
      </c>
      <c r="P761" s="17"/>
    </row>
    <row r="762" spans="1:16" x14ac:dyDescent="0.25">
      <c r="A762" s="364"/>
      <c r="B762" s="367"/>
      <c r="E762" s="17"/>
      <c r="F762" s="16">
        <v>1</v>
      </c>
      <c r="G762" s="228"/>
      <c r="H762" s="17">
        <f>F762*D762</f>
        <v>0</v>
      </c>
      <c r="I762" s="72"/>
      <c r="K762" s="3"/>
      <c r="L762" s="3"/>
      <c r="M762" s="3"/>
      <c r="N762" s="3"/>
      <c r="O762" s="3"/>
      <c r="P762" s="50" t="s">
        <v>50</v>
      </c>
    </row>
    <row r="763" spans="1:16" ht="16.5" thickBot="1" x14ac:dyDescent="0.3">
      <c r="A763" s="364"/>
      <c r="B763" s="367"/>
      <c r="C763" s="225" t="s">
        <v>47</v>
      </c>
      <c r="D763" s="223"/>
      <c r="E763" s="85"/>
      <c r="F763" s="224"/>
      <c r="G763" s="224"/>
      <c r="H763" s="85">
        <f>F763*D763</f>
        <v>0</v>
      </c>
      <c r="I763" s="86"/>
      <c r="K763" s="214"/>
      <c r="L763" s="214"/>
      <c r="M763" s="214"/>
      <c r="N763" s="214"/>
      <c r="O763" s="214"/>
      <c r="P763" s="50" t="s">
        <v>90</v>
      </c>
    </row>
    <row r="764" spans="1:16" ht="16.5" thickTop="1" x14ac:dyDescent="0.25">
      <c r="A764" s="365"/>
      <c r="B764" s="368"/>
      <c r="C764" s="9"/>
      <c r="D764" s="9"/>
      <c r="E764" s="64"/>
      <c r="F764" s="222"/>
      <c r="G764" s="222"/>
      <c r="H764" s="64">
        <f>SUM(H760:H763)</f>
        <v>0</v>
      </c>
      <c r="I764" s="74">
        <f>H764*I$6*I$5</f>
        <v>0</v>
      </c>
    </row>
    <row r="766" spans="1:16" x14ac:dyDescent="0.25">
      <c r="A766" s="363">
        <f>A760+1</f>
        <v>45641</v>
      </c>
      <c r="B766" s="366" t="s">
        <v>1</v>
      </c>
      <c r="C766" s="57" t="s">
        <v>72</v>
      </c>
      <c r="D766" s="7"/>
      <c r="E766" s="49"/>
      <c r="F766" s="48">
        <v>1</v>
      </c>
      <c r="G766" s="227"/>
      <c r="H766" s="49">
        <f>F766*D766*G766</f>
        <v>0</v>
      </c>
      <c r="I766" s="55"/>
      <c r="K766" s="369" t="s">
        <v>23</v>
      </c>
      <c r="L766" s="370"/>
      <c r="M766" s="370"/>
      <c r="N766" s="370"/>
      <c r="O766" s="371"/>
    </row>
    <row r="767" spans="1:16" x14ac:dyDescent="0.25">
      <c r="A767" s="364"/>
      <c r="B767" s="367"/>
      <c r="C767" s="21" t="s">
        <v>73</v>
      </c>
      <c r="E767" s="17"/>
      <c r="F767" s="16">
        <v>1</v>
      </c>
      <c r="G767" s="228"/>
      <c r="H767" s="17">
        <f>F767*D767*G767</f>
        <v>0</v>
      </c>
      <c r="I767" s="72"/>
      <c r="K767" s="47" t="s">
        <v>27</v>
      </c>
      <c r="L767" s="47" t="s">
        <v>12</v>
      </c>
      <c r="M767" s="47" t="s">
        <v>87</v>
      </c>
      <c r="N767" s="47" t="s">
        <v>28</v>
      </c>
      <c r="O767" s="28" t="s">
        <v>86</v>
      </c>
      <c r="P767" s="17"/>
    </row>
    <row r="768" spans="1:16" x14ac:dyDescent="0.25">
      <c r="A768" s="364"/>
      <c r="B768" s="367"/>
      <c r="E768" s="17"/>
      <c r="F768" s="16">
        <v>1</v>
      </c>
      <c r="G768" s="228"/>
      <c r="H768" s="17">
        <f>F768*D768</f>
        <v>0</v>
      </c>
      <c r="I768" s="72"/>
      <c r="K768" s="3"/>
      <c r="L768" s="3"/>
      <c r="M768" s="3"/>
      <c r="N768" s="3"/>
      <c r="O768" s="3"/>
      <c r="P768" s="50" t="s">
        <v>50</v>
      </c>
    </row>
    <row r="769" spans="1:16" ht="16.5" thickBot="1" x14ac:dyDescent="0.3">
      <c r="A769" s="364"/>
      <c r="B769" s="367"/>
      <c r="C769" s="225" t="s">
        <v>47</v>
      </c>
      <c r="D769" s="223"/>
      <c r="E769" s="85"/>
      <c r="F769" s="224">
        <v>1</v>
      </c>
      <c r="G769" s="224"/>
      <c r="H769" s="85">
        <f>F769*D769</f>
        <v>0</v>
      </c>
      <c r="I769" s="86"/>
      <c r="K769" s="214" t="e">
        <f>K768/SUM(K768:O768)*I770</f>
        <v>#DIV/0!</v>
      </c>
      <c r="L769" s="214" t="e">
        <f>L768/SUM(K768:O768)*$I770</f>
        <v>#DIV/0!</v>
      </c>
      <c r="M769" s="214" t="e">
        <f>M768/SUM(K768:O768)*$I770</f>
        <v>#DIV/0!</v>
      </c>
      <c r="N769" s="214" t="e">
        <f>N768/SUM(K768:O768)*$I770</f>
        <v>#DIV/0!</v>
      </c>
      <c r="O769" s="214" t="e">
        <f>O768/SUM(K768:O768)*$I770</f>
        <v>#DIV/0!</v>
      </c>
      <c r="P769" s="50" t="s">
        <v>90</v>
      </c>
    </row>
    <row r="770" spans="1:16" ht="16.5" thickTop="1" x14ac:dyDescent="0.25">
      <c r="A770" s="365"/>
      <c r="B770" s="368"/>
      <c r="C770" s="9"/>
      <c r="D770" s="9"/>
      <c r="E770" s="64"/>
      <c r="F770" s="222"/>
      <c r="G770" s="222"/>
      <c r="H770" s="64">
        <f>SUM(H766:H769)</f>
        <v>0</v>
      </c>
      <c r="I770" s="74">
        <f>H770*I$6*I$5</f>
        <v>0</v>
      </c>
    </row>
    <row r="771" spans="1:16" x14ac:dyDescent="0.25">
      <c r="B771" s="9"/>
    </row>
    <row r="772" spans="1:16" x14ac:dyDescent="0.25">
      <c r="A772" s="363">
        <f>A766+1</f>
        <v>45642</v>
      </c>
      <c r="B772" s="366" t="s">
        <v>25</v>
      </c>
      <c r="C772" s="57" t="s">
        <v>72</v>
      </c>
      <c r="D772" s="7"/>
      <c r="E772" s="49"/>
      <c r="F772" s="48">
        <v>1</v>
      </c>
      <c r="G772" s="227">
        <v>1</v>
      </c>
      <c r="H772" s="49">
        <f>F772*D772*G772</f>
        <v>0</v>
      </c>
      <c r="I772" s="55"/>
      <c r="K772" s="369" t="s">
        <v>23</v>
      </c>
      <c r="L772" s="370"/>
      <c r="M772" s="370"/>
      <c r="N772" s="370"/>
      <c r="O772" s="371"/>
    </row>
    <row r="773" spans="1:16" x14ac:dyDescent="0.25">
      <c r="A773" s="364"/>
      <c r="B773" s="367"/>
      <c r="C773" s="21" t="s">
        <v>73</v>
      </c>
      <c r="E773" s="17"/>
      <c r="F773" s="16">
        <v>1</v>
      </c>
      <c r="G773" s="228">
        <v>1</v>
      </c>
      <c r="H773" s="17">
        <f>F773*D773*G773</f>
        <v>0</v>
      </c>
      <c r="I773" s="72"/>
      <c r="K773" s="47" t="s">
        <v>27</v>
      </c>
      <c r="L773" s="47" t="s">
        <v>12</v>
      </c>
      <c r="M773" s="47" t="s">
        <v>87</v>
      </c>
      <c r="N773" s="47" t="s">
        <v>28</v>
      </c>
      <c r="O773" s="28" t="s">
        <v>86</v>
      </c>
      <c r="P773" s="17"/>
    </row>
    <row r="774" spans="1:16" x14ac:dyDescent="0.25">
      <c r="A774" s="364"/>
      <c r="B774" s="367"/>
      <c r="E774" s="17"/>
      <c r="F774" s="16">
        <v>1</v>
      </c>
      <c r="G774" s="228"/>
      <c r="H774" s="17">
        <f>F774*D774</f>
        <v>0</v>
      </c>
      <c r="I774" s="72"/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50" t="s">
        <v>50</v>
      </c>
    </row>
    <row r="775" spans="1:16" ht="16.5" thickBot="1" x14ac:dyDescent="0.3">
      <c r="A775" s="364"/>
      <c r="B775" s="367"/>
      <c r="C775" s="225" t="s">
        <v>47</v>
      </c>
      <c r="D775" s="223"/>
      <c r="E775" s="85"/>
      <c r="F775" s="224"/>
      <c r="G775" s="224"/>
      <c r="H775" s="85">
        <f>F775*D775</f>
        <v>0</v>
      </c>
      <c r="I775" s="86"/>
      <c r="K775" s="214"/>
      <c r="L775" s="214"/>
      <c r="M775" s="214"/>
      <c r="N775" s="214"/>
      <c r="O775" s="214"/>
      <c r="P775" s="50" t="s">
        <v>90</v>
      </c>
    </row>
    <row r="776" spans="1:16" ht="16.5" thickTop="1" x14ac:dyDescent="0.25">
      <c r="A776" s="365"/>
      <c r="B776" s="368"/>
      <c r="C776" s="9"/>
      <c r="D776" s="9"/>
      <c r="E776" s="64"/>
      <c r="F776" s="222"/>
      <c r="G776" s="222"/>
      <c r="H776" s="64">
        <f>SUM(H772:H775)</f>
        <v>0</v>
      </c>
      <c r="I776" s="74">
        <f>H776*I$6*I$5</f>
        <v>0</v>
      </c>
    </row>
    <row r="778" spans="1:16" x14ac:dyDescent="0.25">
      <c r="A778" s="363">
        <f>A772+1</f>
        <v>45643</v>
      </c>
      <c r="B778" s="366" t="s">
        <v>3</v>
      </c>
      <c r="C778" s="57" t="s">
        <v>72</v>
      </c>
      <c r="D778" s="7"/>
      <c r="E778" s="49"/>
      <c r="F778" s="48">
        <v>1</v>
      </c>
      <c r="G778" s="227">
        <v>1</v>
      </c>
      <c r="H778" s="49">
        <f>F778*D778*G778</f>
        <v>0</v>
      </c>
      <c r="I778" s="55"/>
      <c r="K778" s="369" t="s">
        <v>23</v>
      </c>
      <c r="L778" s="370"/>
      <c r="M778" s="370"/>
      <c r="N778" s="370"/>
      <c r="O778" s="371"/>
    </row>
    <row r="779" spans="1:16" x14ac:dyDescent="0.25">
      <c r="A779" s="364"/>
      <c r="B779" s="367"/>
      <c r="C779" s="21" t="s">
        <v>73</v>
      </c>
      <c r="E779" s="17"/>
      <c r="F779" s="16">
        <v>1</v>
      </c>
      <c r="G779" s="228">
        <v>1</v>
      </c>
      <c r="H779" s="17">
        <f>F779*D779*G779</f>
        <v>0</v>
      </c>
      <c r="I779" s="72"/>
      <c r="K779" s="47" t="s">
        <v>27</v>
      </c>
      <c r="L779" s="47" t="s">
        <v>12</v>
      </c>
      <c r="M779" s="47" t="s">
        <v>87</v>
      </c>
      <c r="N779" s="47" t="s">
        <v>28</v>
      </c>
      <c r="O779" s="28" t="s">
        <v>86</v>
      </c>
      <c r="P779" s="17"/>
    </row>
    <row r="780" spans="1:16" x14ac:dyDescent="0.25">
      <c r="A780" s="364"/>
      <c r="B780" s="367"/>
      <c r="E780" s="17"/>
      <c r="F780" s="16">
        <v>1</v>
      </c>
      <c r="G780" s="228"/>
      <c r="H780" s="17">
        <f>F780*D780</f>
        <v>0</v>
      </c>
      <c r="I780" s="72"/>
      <c r="K780" s="3"/>
      <c r="L780" s="3"/>
      <c r="M780" s="3"/>
      <c r="N780" s="3"/>
      <c r="O780" s="3"/>
      <c r="P780" s="50" t="s">
        <v>50</v>
      </c>
    </row>
    <row r="781" spans="1:16" ht="16.5" thickBot="1" x14ac:dyDescent="0.3">
      <c r="A781" s="364"/>
      <c r="B781" s="367"/>
      <c r="C781" s="225" t="s">
        <v>47</v>
      </c>
      <c r="D781" s="223"/>
      <c r="E781" s="85"/>
      <c r="F781" s="224"/>
      <c r="G781" s="224"/>
      <c r="H781" s="85">
        <f>F781*D781</f>
        <v>0</v>
      </c>
      <c r="I781" s="86"/>
      <c r="K781" s="214" t="e">
        <f>K780/SUM(K780:O780)*I782</f>
        <v>#DIV/0!</v>
      </c>
      <c r="L781" s="214" t="e">
        <f>L780/SUM(K780:O780)*$I782</f>
        <v>#DIV/0!</v>
      </c>
      <c r="M781" s="214" t="e">
        <f>M780/SUM(K780:O780)*$I782</f>
        <v>#DIV/0!</v>
      </c>
      <c r="N781" s="214" t="e">
        <f>N780/SUM(K780:O780)*$I782</f>
        <v>#DIV/0!</v>
      </c>
      <c r="O781" s="214" t="e">
        <f>O780/SUM(K780:O780)*$I782</f>
        <v>#DIV/0!</v>
      </c>
      <c r="P781" s="50" t="s">
        <v>90</v>
      </c>
    </row>
    <row r="782" spans="1:16" ht="16.5" thickTop="1" x14ac:dyDescent="0.25">
      <c r="A782" s="365"/>
      <c r="B782" s="368"/>
      <c r="C782" s="9"/>
      <c r="D782" s="9"/>
      <c r="E782" s="64"/>
      <c r="F782" s="222"/>
      <c r="G782" s="222"/>
      <c r="H782" s="64">
        <f>SUM(H778:H781)</f>
        <v>0</v>
      </c>
      <c r="I782" s="74">
        <f>H782*I$6*I$5</f>
        <v>0</v>
      </c>
    </row>
    <row r="784" spans="1:16" x14ac:dyDescent="0.25">
      <c r="A784" s="363">
        <f>A778+1</f>
        <v>45644</v>
      </c>
      <c r="B784" s="366" t="s">
        <v>24</v>
      </c>
      <c r="C784" s="57" t="s">
        <v>72</v>
      </c>
      <c r="D784" s="7"/>
      <c r="E784" s="49"/>
      <c r="F784" s="48">
        <v>1</v>
      </c>
      <c r="G784" s="227"/>
      <c r="H784" s="49">
        <f>F784*D784*G784</f>
        <v>0</v>
      </c>
      <c r="I784" s="55"/>
      <c r="K784" s="369" t="s">
        <v>23</v>
      </c>
      <c r="L784" s="370"/>
      <c r="M784" s="370"/>
      <c r="N784" s="370"/>
      <c r="O784" s="371"/>
    </row>
    <row r="785" spans="1:16" x14ac:dyDescent="0.25">
      <c r="A785" s="364"/>
      <c r="B785" s="367"/>
      <c r="C785" s="21" t="s">
        <v>73</v>
      </c>
      <c r="E785" s="17"/>
      <c r="F785" s="16">
        <v>1</v>
      </c>
      <c r="G785" s="228"/>
      <c r="H785" s="17">
        <f>F785*D785*G785</f>
        <v>0</v>
      </c>
      <c r="I785" s="72"/>
      <c r="K785" s="47" t="s">
        <v>27</v>
      </c>
      <c r="L785" s="47" t="s">
        <v>12</v>
      </c>
      <c r="M785" s="47" t="s">
        <v>87</v>
      </c>
      <c r="N785" s="47" t="s">
        <v>28</v>
      </c>
      <c r="O785" s="28" t="s">
        <v>86</v>
      </c>
      <c r="P785" s="17"/>
    </row>
    <row r="786" spans="1:16" x14ac:dyDescent="0.25">
      <c r="A786" s="364"/>
      <c r="B786" s="367"/>
      <c r="E786" s="17"/>
      <c r="F786" s="16">
        <v>1</v>
      </c>
      <c r="G786" s="228"/>
      <c r="H786" s="17">
        <f>F786*D786</f>
        <v>0</v>
      </c>
      <c r="I786" s="72"/>
      <c r="K786" s="3"/>
      <c r="L786" s="3"/>
      <c r="M786" s="3"/>
      <c r="N786" s="3"/>
      <c r="O786" s="3"/>
      <c r="P786" s="50" t="s">
        <v>50</v>
      </c>
    </row>
    <row r="787" spans="1:16" ht="16.5" thickBot="1" x14ac:dyDescent="0.3">
      <c r="A787" s="364"/>
      <c r="B787" s="367"/>
      <c r="C787" s="225" t="s">
        <v>47</v>
      </c>
      <c r="D787" s="223"/>
      <c r="E787" s="85"/>
      <c r="F787" s="224">
        <v>1</v>
      </c>
      <c r="G787" s="224"/>
      <c r="H787" s="85">
        <f>F787*D787</f>
        <v>0</v>
      </c>
      <c r="I787" s="86"/>
      <c r="K787" s="214" t="e">
        <f>K786/SUM(K786:O786)*I788</f>
        <v>#DIV/0!</v>
      </c>
      <c r="L787" s="214" t="e">
        <f>L786/SUM(K786:O786)*$I788</f>
        <v>#DIV/0!</v>
      </c>
      <c r="M787" s="214" t="e">
        <f>M786/SUM(K786:O786)*$I788</f>
        <v>#DIV/0!</v>
      </c>
      <c r="N787" s="214" t="e">
        <f>N786/SUM(K786:O786)*$I788</f>
        <v>#DIV/0!</v>
      </c>
      <c r="O787" s="214" t="e">
        <f>O786/SUM(K786:O786)*$I788</f>
        <v>#DIV/0!</v>
      </c>
      <c r="P787" s="50" t="s">
        <v>90</v>
      </c>
    </row>
    <row r="788" spans="1:16" ht="16.5" thickTop="1" x14ac:dyDescent="0.25">
      <c r="A788" s="365"/>
      <c r="B788" s="368"/>
      <c r="C788" s="9"/>
      <c r="D788" s="9"/>
      <c r="E788" s="64"/>
      <c r="F788" s="222"/>
      <c r="G788" s="222"/>
      <c r="H788" s="64">
        <f>SUM(H784:H787)</f>
        <v>0</v>
      </c>
      <c r="I788" s="74">
        <f>H788*I$6*I$5</f>
        <v>0</v>
      </c>
    </row>
    <row r="790" spans="1:16" x14ac:dyDescent="0.25">
      <c r="A790" s="363">
        <f>A784+1</f>
        <v>45645</v>
      </c>
      <c r="B790" s="366" t="s">
        <v>5</v>
      </c>
      <c r="C790" s="57" t="s">
        <v>72</v>
      </c>
      <c r="D790" s="7"/>
      <c r="E790" s="49"/>
      <c r="F790" s="48">
        <v>1</v>
      </c>
      <c r="G790" s="227"/>
      <c r="H790" s="49">
        <f>F790*D790*G790</f>
        <v>0</v>
      </c>
      <c r="I790" s="55"/>
      <c r="K790" s="369" t="s">
        <v>23</v>
      </c>
      <c r="L790" s="370"/>
      <c r="M790" s="370"/>
      <c r="N790" s="370"/>
      <c r="O790" s="371"/>
    </row>
    <row r="791" spans="1:16" x14ac:dyDescent="0.25">
      <c r="A791" s="364"/>
      <c r="B791" s="367"/>
      <c r="C791" s="21" t="s">
        <v>73</v>
      </c>
      <c r="E791" s="17"/>
      <c r="F791" s="16">
        <v>1</v>
      </c>
      <c r="G791" s="228"/>
      <c r="H791" s="17">
        <f>F791*D791*G791</f>
        <v>0</v>
      </c>
      <c r="I791" s="72"/>
      <c r="K791" s="47" t="s">
        <v>27</v>
      </c>
      <c r="L791" s="47" t="s">
        <v>12</v>
      </c>
      <c r="M791" s="47" t="s">
        <v>87</v>
      </c>
      <c r="N791" s="47" t="s">
        <v>28</v>
      </c>
      <c r="O791" s="28" t="s">
        <v>86</v>
      </c>
      <c r="P791" s="17"/>
    </row>
    <row r="792" spans="1:16" x14ac:dyDescent="0.25">
      <c r="A792" s="364"/>
      <c r="B792" s="367"/>
      <c r="E792" s="17"/>
      <c r="F792" s="16">
        <v>1</v>
      </c>
      <c r="G792" s="228"/>
      <c r="H792" s="17">
        <f>F792*D792</f>
        <v>0</v>
      </c>
      <c r="I792" s="72"/>
      <c r="K792" s="3"/>
      <c r="L792" s="3"/>
      <c r="M792" s="3"/>
      <c r="N792" s="3"/>
      <c r="O792" s="3"/>
      <c r="P792" s="50" t="s">
        <v>50</v>
      </c>
    </row>
    <row r="793" spans="1:16" ht="16.5" thickBot="1" x14ac:dyDescent="0.3">
      <c r="A793" s="364"/>
      <c r="B793" s="367"/>
      <c r="C793" s="225" t="s">
        <v>47</v>
      </c>
      <c r="D793" s="223"/>
      <c r="E793" s="85"/>
      <c r="F793" s="224">
        <v>1</v>
      </c>
      <c r="G793" s="224"/>
      <c r="H793" s="85">
        <f>F793*D793</f>
        <v>0</v>
      </c>
      <c r="I793" s="86"/>
      <c r="K793" s="214" t="e">
        <f>K792/SUM(K792:O792)*I794</f>
        <v>#DIV/0!</v>
      </c>
      <c r="L793" s="214" t="e">
        <f>L792/SUM(K792:O792)*$I794</f>
        <v>#DIV/0!</v>
      </c>
      <c r="M793" s="214" t="e">
        <f>M792/SUM(K792:O792)*$I794</f>
        <v>#DIV/0!</v>
      </c>
      <c r="N793" s="214" t="e">
        <f>N792/SUM(K792:O792)*$I794</f>
        <v>#DIV/0!</v>
      </c>
      <c r="O793" s="214" t="e">
        <f>O792/SUM(K792:O792)*$I794</f>
        <v>#DIV/0!</v>
      </c>
      <c r="P793" s="50" t="s">
        <v>90</v>
      </c>
    </row>
    <row r="794" spans="1:16" ht="16.5" thickTop="1" x14ac:dyDescent="0.25">
      <c r="A794" s="365"/>
      <c r="B794" s="368"/>
      <c r="C794" s="9"/>
      <c r="D794" s="9"/>
      <c r="E794" s="64"/>
      <c r="F794" s="222"/>
      <c r="G794" s="222"/>
      <c r="H794" s="64">
        <f>SUM(H790:H793)</f>
        <v>0</v>
      </c>
      <c r="I794" s="74">
        <f>H794*I$6*I$5</f>
        <v>0</v>
      </c>
    </row>
    <row r="796" spans="1:16" x14ac:dyDescent="0.25">
      <c r="A796" s="363">
        <f>A790+1</f>
        <v>45646</v>
      </c>
      <c r="B796" s="366" t="s">
        <v>6</v>
      </c>
      <c r="C796" s="57" t="s">
        <v>72</v>
      </c>
      <c r="D796" s="7"/>
      <c r="E796" s="49"/>
      <c r="F796" s="48">
        <v>1</v>
      </c>
      <c r="G796" s="227">
        <v>1</v>
      </c>
      <c r="H796" s="49">
        <f>F796*D796*G796</f>
        <v>0</v>
      </c>
      <c r="I796" s="55"/>
      <c r="K796" s="369" t="s">
        <v>23</v>
      </c>
      <c r="L796" s="370"/>
      <c r="M796" s="370"/>
      <c r="N796" s="370"/>
      <c r="O796" s="371"/>
    </row>
    <row r="797" spans="1:16" x14ac:dyDescent="0.25">
      <c r="A797" s="364"/>
      <c r="B797" s="367"/>
      <c r="C797" s="21" t="s">
        <v>73</v>
      </c>
      <c r="E797" s="17"/>
      <c r="F797" s="16">
        <v>1</v>
      </c>
      <c r="G797" s="228">
        <v>1</v>
      </c>
      <c r="H797" s="17">
        <f>F797*D797*G797</f>
        <v>0</v>
      </c>
      <c r="I797" s="72"/>
      <c r="K797" s="47" t="s">
        <v>27</v>
      </c>
      <c r="L797" s="47" t="s">
        <v>12</v>
      </c>
      <c r="M797" s="47" t="s">
        <v>87</v>
      </c>
      <c r="N797" s="47" t="s">
        <v>28</v>
      </c>
      <c r="O797" s="28" t="s">
        <v>86</v>
      </c>
      <c r="P797" s="17"/>
    </row>
    <row r="798" spans="1:16" x14ac:dyDescent="0.25">
      <c r="A798" s="364"/>
      <c r="B798" s="367"/>
      <c r="E798" s="17"/>
      <c r="F798" s="16">
        <v>1</v>
      </c>
      <c r="G798" s="228"/>
      <c r="H798" s="17">
        <f>F798*D798</f>
        <v>0</v>
      </c>
      <c r="I798" s="72"/>
      <c r="K798" s="3"/>
      <c r="L798" s="3"/>
      <c r="M798" s="3"/>
      <c r="N798" s="3"/>
      <c r="O798" s="3"/>
      <c r="P798" s="50" t="s">
        <v>50</v>
      </c>
    </row>
    <row r="799" spans="1:16" ht="16.5" thickBot="1" x14ac:dyDescent="0.3">
      <c r="A799" s="364"/>
      <c r="B799" s="367"/>
      <c r="C799" s="225" t="s">
        <v>47</v>
      </c>
      <c r="D799" s="223"/>
      <c r="E799" s="85"/>
      <c r="F799" s="224"/>
      <c r="G799" s="224"/>
      <c r="H799" s="85">
        <f>F799*D799</f>
        <v>0</v>
      </c>
      <c r="I799" s="86"/>
      <c r="K799" s="214" t="e">
        <f>K798/SUM(K798:O798)*I800</f>
        <v>#DIV/0!</v>
      </c>
      <c r="L799" s="214" t="e">
        <f>L798/SUM(K798:O798)*$I800</f>
        <v>#DIV/0!</v>
      </c>
      <c r="M799" s="214" t="e">
        <f>M798/SUM(K798:O798)*$I800</f>
        <v>#DIV/0!</v>
      </c>
      <c r="N799" s="214" t="e">
        <f>N798/SUM(K798:O798)*$I800</f>
        <v>#DIV/0!</v>
      </c>
      <c r="O799" s="214" t="e">
        <f>O798/SUM(K798:O798)*$I800</f>
        <v>#DIV/0!</v>
      </c>
      <c r="P799" s="50" t="s">
        <v>90</v>
      </c>
    </row>
    <row r="800" spans="1:16" ht="16.5" thickTop="1" x14ac:dyDescent="0.25">
      <c r="A800" s="365"/>
      <c r="B800" s="368"/>
      <c r="C800" s="9"/>
      <c r="D800" s="9"/>
      <c r="E800" s="64"/>
      <c r="F800" s="222"/>
      <c r="G800" s="222"/>
      <c r="H800" s="64">
        <f>SUM(H796:H799)</f>
        <v>0</v>
      </c>
      <c r="I800" s="74">
        <f>H800*I$6*I$5</f>
        <v>0</v>
      </c>
    </row>
    <row r="802" spans="1:16" x14ac:dyDescent="0.25">
      <c r="A802" s="363">
        <f>A796+1</f>
        <v>45647</v>
      </c>
      <c r="B802" s="366" t="s">
        <v>0</v>
      </c>
      <c r="C802" s="57" t="s">
        <v>72</v>
      </c>
      <c r="D802" s="7"/>
      <c r="E802" s="49"/>
      <c r="F802" s="48">
        <v>1</v>
      </c>
      <c r="G802" s="227">
        <v>1</v>
      </c>
      <c r="H802" s="49">
        <f>F802*D802*G802</f>
        <v>0</v>
      </c>
      <c r="I802" s="55"/>
      <c r="K802" s="369" t="s">
        <v>23</v>
      </c>
      <c r="L802" s="370"/>
      <c r="M802" s="370"/>
      <c r="N802" s="370"/>
      <c r="O802" s="371"/>
    </row>
    <row r="803" spans="1:16" x14ac:dyDescent="0.25">
      <c r="A803" s="364"/>
      <c r="B803" s="367"/>
      <c r="C803" s="21" t="s">
        <v>73</v>
      </c>
      <c r="E803" s="17"/>
      <c r="F803" s="16">
        <v>1</v>
      </c>
      <c r="G803" s="228">
        <v>1</v>
      </c>
      <c r="H803" s="17">
        <f>F803*D803*G803</f>
        <v>0</v>
      </c>
      <c r="I803" s="72"/>
      <c r="K803" s="47" t="s">
        <v>27</v>
      </c>
      <c r="L803" s="47" t="s">
        <v>12</v>
      </c>
      <c r="M803" s="47" t="s">
        <v>87</v>
      </c>
      <c r="N803" s="47" t="s">
        <v>28</v>
      </c>
      <c r="O803" s="28" t="s">
        <v>86</v>
      </c>
      <c r="P803" s="17"/>
    </row>
    <row r="804" spans="1:16" x14ac:dyDescent="0.25">
      <c r="A804" s="364"/>
      <c r="B804" s="367"/>
      <c r="E804" s="17"/>
      <c r="F804" s="16">
        <v>1</v>
      </c>
      <c r="G804" s="228"/>
      <c r="H804" s="17">
        <f>F804*D804</f>
        <v>0</v>
      </c>
      <c r="I804" s="72"/>
      <c r="K804" s="3"/>
      <c r="L804" s="3"/>
      <c r="M804" s="3"/>
      <c r="N804" s="3"/>
      <c r="O804" s="3"/>
      <c r="P804" s="50" t="s">
        <v>50</v>
      </c>
    </row>
    <row r="805" spans="1:16" ht="16.5" thickBot="1" x14ac:dyDescent="0.3">
      <c r="A805" s="364"/>
      <c r="B805" s="367"/>
      <c r="C805" s="225" t="s">
        <v>47</v>
      </c>
      <c r="D805" s="223"/>
      <c r="E805" s="85"/>
      <c r="F805" s="224"/>
      <c r="G805" s="224"/>
      <c r="H805" s="85">
        <f>F805*D805</f>
        <v>0</v>
      </c>
      <c r="I805" s="86"/>
      <c r="K805" s="214" t="e">
        <f>K804/SUM(K804:O804)*I806</f>
        <v>#DIV/0!</v>
      </c>
      <c r="L805" s="214" t="e">
        <f>L804/SUM(K804:O804)*$I806</f>
        <v>#DIV/0!</v>
      </c>
      <c r="M805" s="214" t="e">
        <f>M804/SUM(K804:O804)*$I806</f>
        <v>#DIV/0!</v>
      </c>
      <c r="N805" s="214" t="e">
        <f>N804/SUM(K804:O804)*$I806</f>
        <v>#DIV/0!</v>
      </c>
      <c r="O805" s="214" t="e">
        <f>O804/SUM(K804:O804)*$I806</f>
        <v>#DIV/0!</v>
      </c>
      <c r="P805" s="50" t="s">
        <v>90</v>
      </c>
    </row>
    <row r="806" spans="1:16" ht="16.5" thickTop="1" x14ac:dyDescent="0.25">
      <c r="A806" s="365"/>
      <c r="B806" s="368"/>
      <c r="C806" s="9"/>
      <c r="D806" s="9"/>
      <c r="E806" s="64"/>
      <c r="F806" s="222"/>
      <c r="G806" s="222"/>
      <c r="H806" s="64">
        <f>SUM(H802:H805)</f>
        <v>0</v>
      </c>
      <c r="I806" s="74">
        <f>H806*I$6*I$5</f>
        <v>0</v>
      </c>
    </row>
    <row r="808" spans="1:16" x14ac:dyDescent="0.25">
      <c r="A808" s="363">
        <f>A802+1</f>
        <v>45648</v>
      </c>
      <c r="B808" s="366" t="s">
        <v>1</v>
      </c>
      <c r="C808" s="57" t="s">
        <v>72</v>
      </c>
      <c r="D808" s="7"/>
      <c r="E808" s="49"/>
      <c r="F808" s="48">
        <v>1</v>
      </c>
      <c r="G808" s="227"/>
      <c r="H808" s="49">
        <f>F808*D808*G808</f>
        <v>0</v>
      </c>
      <c r="I808" s="55"/>
      <c r="K808" s="369" t="s">
        <v>23</v>
      </c>
      <c r="L808" s="370"/>
      <c r="M808" s="370"/>
      <c r="N808" s="370"/>
      <c r="O808" s="371"/>
    </row>
    <row r="809" spans="1:16" x14ac:dyDescent="0.25">
      <c r="A809" s="364"/>
      <c r="B809" s="367"/>
      <c r="C809" s="21" t="s">
        <v>73</v>
      </c>
      <c r="E809" s="17"/>
      <c r="F809" s="16">
        <v>1</v>
      </c>
      <c r="G809" s="228"/>
      <c r="H809" s="17">
        <f>F809*D809*G809</f>
        <v>0</v>
      </c>
      <c r="I809" s="72"/>
      <c r="K809" s="47" t="s">
        <v>27</v>
      </c>
      <c r="L809" s="47" t="s">
        <v>12</v>
      </c>
      <c r="M809" s="47" t="s">
        <v>87</v>
      </c>
      <c r="N809" s="47" t="s">
        <v>28</v>
      </c>
      <c r="O809" s="28" t="s">
        <v>86</v>
      </c>
      <c r="P809" s="17"/>
    </row>
    <row r="810" spans="1:16" x14ac:dyDescent="0.25">
      <c r="A810" s="364"/>
      <c r="B810" s="367"/>
      <c r="E810" s="17"/>
      <c r="F810" s="16">
        <v>1</v>
      </c>
      <c r="G810" s="228"/>
      <c r="H810" s="17">
        <f>F810*D810</f>
        <v>0</v>
      </c>
      <c r="I810" s="72"/>
      <c r="K810" s="3"/>
      <c r="L810" s="3"/>
      <c r="M810" s="3"/>
      <c r="N810" s="3"/>
      <c r="O810" s="3"/>
      <c r="P810" s="50" t="s">
        <v>50</v>
      </c>
    </row>
    <row r="811" spans="1:16" ht="16.5" thickBot="1" x14ac:dyDescent="0.3">
      <c r="A811" s="364"/>
      <c r="B811" s="367"/>
      <c r="C811" s="225" t="s">
        <v>47</v>
      </c>
      <c r="D811" s="223"/>
      <c r="E811" s="85"/>
      <c r="F811" s="224">
        <v>1</v>
      </c>
      <c r="G811" s="224"/>
      <c r="H811" s="85">
        <f>F811*D811</f>
        <v>0</v>
      </c>
      <c r="I811" s="86"/>
      <c r="K811" s="214" t="e">
        <f>K810/SUM(K810:O810)*I812</f>
        <v>#DIV/0!</v>
      </c>
      <c r="L811" s="214" t="e">
        <f>L810/SUM(K810:O810)*$I812</f>
        <v>#DIV/0!</v>
      </c>
      <c r="M811" s="214" t="e">
        <f>M810/SUM(K810:O810)*$I812</f>
        <v>#DIV/0!</v>
      </c>
      <c r="N811" s="214" t="e">
        <f>N810/SUM(K810:O810)*$I812</f>
        <v>#DIV/0!</v>
      </c>
      <c r="O811" s="214" t="e">
        <f>O810/SUM(K810:O810)*$I812</f>
        <v>#DIV/0!</v>
      </c>
      <c r="P811" s="50" t="s">
        <v>90</v>
      </c>
    </row>
    <row r="812" spans="1:16" ht="16.5" thickTop="1" x14ac:dyDescent="0.25">
      <c r="A812" s="365"/>
      <c r="B812" s="368"/>
      <c r="C812" s="9"/>
      <c r="D812" s="9"/>
      <c r="E812" s="64"/>
      <c r="F812" s="222"/>
      <c r="G812" s="222"/>
      <c r="H812" s="64">
        <f>SUM(H808:H811)</f>
        <v>0</v>
      </c>
      <c r="I812" s="74">
        <f>H812*I$6*I$5</f>
        <v>0</v>
      </c>
    </row>
    <row r="813" spans="1:16" x14ac:dyDescent="0.25">
      <c r="B813" s="9"/>
    </row>
    <row r="814" spans="1:16" x14ac:dyDescent="0.25">
      <c r="A814" s="363">
        <f>A808+1</f>
        <v>45649</v>
      </c>
      <c r="B814" s="366" t="s">
        <v>25</v>
      </c>
      <c r="C814" s="57" t="s">
        <v>72</v>
      </c>
      <c r="D814" s="7"/>
      <c r="E814" s="49"/>
      <c r="F814" s="48">
        <v>1</v>
      </c>
      <c r="G814" s="227">
        <v>1</v>
      </c>
      <c r="H814" s="49">
        <f>F814*D814*G814</f>
        <v>0</v>
      </c>
      <c r="I814" s="55"/>
      <c r="K814" s="369" t="s">
        <v>23</v>
      </c>
      <c r="L814" s="370"/>
      <c r="M814" s="370"/>
      <c r="N814" s="370"/>
      <c r="O814" s="371"/>
    </row>
    <row r="815" spans="1:16" x14ac:dyDescent="0.25">
      <c r="A815" s="364"/>
      <c r="B815" s="367"/>
      <c r="C815" s="21" t="s">
        <v>73</v>
      </c>
      <c r="E815" s="17"/>
      <c r="F815" s="16">
        <v>1</v>
      </c>
      <c r="G815" s="228">
        <v>1</v>
      </c>
      <c r="H815" s="17">
        <f>F815*D815*G815</f>
        <v>0</v>
      </c>
      <c r="I815" s="72"/>
      <c r="K815" s="47" t="s">
        <v>27</v>
      </c>
      <c r="L815" s="47" t="s">
        <v>12</v>
      </c>
      <c r="M815" s="47" t="s">
        <v>87</v>
      </c>
      <c r="N815" s="47" t="s">
        <v>28</v>
      </c>
      <c r="O815" s="28" t="s">
        <v>86</v>
      </c>
      <c r="P815" s="17"/>
    </row>
    <row r="816" spans="1:16" x14ac:dyDescent="0.25">
      <c r="A816" s="364"/>
      <c r="B816" s="367"/>
      <c r="E816" s="17"/>
      <c r="F816" s="16">
        <v>1</v>
      </c>
      <c r="G816" s="228"/>
      <c r="H816" s="17">
        <f>F816*D816</f>
        <v>0</v>
      </c>
      <c r="I816" s="72"/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50" t="s">
        <v>50</v>
      </c>
    </row>
    <row r="817" spans="1:16" ht="16.5" thickBot="1" x14ac:dyDescent="0.3">
      <c r="A817" s="364"/>
      <c r="B817" s="367"/>
      <c r="C817" s="225" t="s">
        <v>47</v>
      </c>
      <c r="D817" s="223"/>
      <c r="E817" s="85"/>
      <c r="F817" s="224"/>
      <c r="G817" s="224"/>
      <c r="H817" s="85">
        <f>F817*D817</f>
        <v>0</v>
      </c>
      <c r="I817" s="86"/>
      <c r="K817" s="214" t="e">
        <f>K816/SUM(K816:O816)*I818</f>
        <v>#DIV/0!</v>
      </c>
      <c r="L817" s="214" t="e">
        <f>L816/SUM(K816:O816)*$I818</f>
        <v>#DIV/0!</v>
      </c>
      <c r="M817" s="214" t="e">
        <f>M816/SUM(K816:O816)*$I818</f>
        <v>#DIV/0!</v>
      </c>
      <c r="N817" s="214" t="e">
        <f>N816/SUM(K816:O816)*$I818</f>
        <v>#DIV/0!</v>
      </c>
      <c r="O817" s="214" t="e">
        <f>O816/SUM(K816:O816)*$I818</f>
        <v>#DIV/0!</v>
      </c>
      <c r="P817" s="50" t="s">
        <v>90</v>
      </c>
    </row>
    <row r="818" spans="1:16" ht="16.5" thickTop="1" x14ac:dyDescent="0.25">
      <c r="A818" s="365"/>
      <c r="B818" s="368"/>
      <c r="C818" s="9"/>
      <c r="D818" s="9"/>
      <c r="E818" s="64"/>
      <c r="F818" s="222"/>
      <c r="G818" s="222"/>
      <c r="H818" s="64">
        <f>SUM(H814:H817)</f>
        <v>0</v>
      </c>
      <c r="I818" s="74">
        <f>H818*I$6*I$5</f>
        <v>0</v>
      </c>
    </row>
    <row r="820" spans="1:16" x14ac:dyDescent="0.25">
      <c r="A820" s="363">
        <f>A814+1</f>
        <v>45650</v>
      </c>
      <c r="B820" s="366" t="s">
        <v>3</v>
      </c>
      <c r="C820" s="57" t="s">
        <v>72</v>
      </c>
      <c r="D820" s="7"/>
      <c r="E820" s="49"/>
      <c r="F820" s="48">
        <v>1</v>
      </c>
      <c r="G820" s="227"/>
      <c r="H820" s="49">
        <f>F820*D820*G820</f>
        <v>0</v>
      </c>
      <c r="I820" s="55"/>
      <c r="K820" s="369" t="s">
        <v>23</v>
      </c>
      <c r="L820" s="370"/>
      <c r="M820" s="370"/>
      <c r="N820" s="370"/>
      <c r="O820" s="371"/>
    </row>
    <row r="821" spans="1:16" x14ac:dyDescent="0.25">
      <c r="A821" s="364"/>
      <c r="B821" s="367"/>
      <c r="C821" s="21" t="s">
        <v>73</v>
      </c>
      <c r="E821" s="17"/>
      <c r="F821" s="16">
        <v>1</v>
      </c>
      <c r="G821" s="228"/>
      <c r="H821" s="17">
        <f>F821*D821*G821</f>
        <v>0</v>
      </c>
      <c r="I821" s="72"/>
      <c r="K821" s="47" t="s">
        <v>27</v>
      </c>
      <c r="L821" s="47" t="s">
        <v>12</v>
      </c>
      <c r="M821" s="47" t="s">
        <v>87</v>
      </c>
      <c r="N821" s="47" t="s">
        <v>28</v>
      </c>
      <c r="O821" s="28" t="s">
        <v>86</v>
      </c>
      <c r="P821" s="17"/>
    </row>
    <row r="822" spans="1:16" x14ac:dyDescent="0.25">
      <c r="A822" s="364"/>
      <c r="B822" s="367"/>
      <c r="E822" s="17"/>
      <c r="F822" s="16">
        <v>1</v>
      </c>
      <c r="G822" s="228"/>
      <c r="H822" s="17">
        <f>F822*D822</f>
        <v>0</v>
      </c>
      <c r="I822" s="72"/>
      <c r="K822" s="3"/>
      <c r="L822" s="3"/>
      <c r="M822" s="3"/>
      <c r="N822" s="3"/>
      <c r="O822" s="3"/>
      <c r="P822" s="50" t="s">
        <v>50</v>
      </c>
    </row>
    <row r="823" spans="1:16" ht="16.5" thickBot="1" x14ac:dyDescent="0.3">
      <c r="A823" s="364"/>
      <c r="B823" s="367"/>
      <c r="C823" s="225" t="s">
        <v>47</v>
      </c>
      <c r="D823" s="223"/>
      <c r="E823" s="85"/>
      <c r="F823" s="224"/>
      <c r="G823" s="224"/>
      <c r="H823" s="85"/>
      <c r="I823" s="86"/>
      <c r="K823" s="214" t="e">
        <f>K822/SUM(K822:O822)*I824</f>
        <v>#DIV/0!</v>
      </c>
      <c r="L823" s="214" t="e">
        <f>L822/SUM(K822:O822)*$I824</f>
        <v>#DIV/0!</v>
      </c>
      <c r="M823" s="214" t="e">
        <f>M822/SUM(K822:O822)*$I824</f>
        <v>#DIV/0!</v>
      </c>
      <c r="N823" s="214" t="e">
        <f>N822/SUM(K822:O822)*$I824</f>
        <v>#DIV/0!</v>
      </c>
      <c r="O823" s="214" t="e">
        <f>O822/SUM(K822:O822)*$I824</f>
        <v>#DIV/0!</v>
      </c>
      <c r="P823" s="50" t="s">
        <v>90</v>
      </c>
    </row>
    <row r="824" spans="1:16" ht="16.5" thickTop="1" x14ac:dyDescent="0.25">
      <c r="A824" s="365"/>
      <c r="B824" s="368"/>
      <c r="C824" s="9"/>
      <c r="D824" s="9"/>
      <c r="E824" s="64"/>
      <c r="F824" s="222"/>
      <c r="G824" s="222"/>
      <c r="H824" s="64">
        <f>SUM(H820:H823)</f>
        <v>0</v>
      </c>
      <c r="I824" s="74">
        <f>H824*I$6*I$5</f>
        <v>0</v>
      </c>
    </row>
    <row r="826" spans="1:16" x14ac:dyDescent="0.25">
      <c r="A826" s="363">
        <f>A820+1</f>
        <v>45651</v>
      </c>
      <c r="B826" s="366" t="s">
        <v>24</v>
      </c>
      <c r="C826" s="57" t="s">
        <v>72</v>
      </c>
      <c r="D826" s="7"/>
      <c r="E826" s="49"/>
      <c r="F826" s="48">
        <v>1</v>
      </c>
      <c r="G826" s="227">
        <v>1</v>
      </c>
      <c r="H826" s="49">
        <f>F826*D826*G826</f>
        <v>0</v>
      </c>
      <c r="I826" s="55"/>
      <c r="K826" s="369" t="s">
        <v>23</v>
      </c>
      <c r="L826" s="370"/>
      <c r="M826" s="370"/>
      <c r="N826" s="370"/>
      <c r="O826" s="371"/>
    </row>
    <row r="827" spans="1:16" x14ac:dyDescent="0.25">
      <c r="A827" s="364"/>
      <c r="B827" s="367"/>
      <c r="C827" s="21" t="s">
        <v>73</v>
      </c>
      <c r="E827" s="17"/>
      <c r="F827" s="16">
        <v>1</v>
      </c>
      <c r="G827" s="228">
        <v>1</v>
      </c>
      <c r="H827" s="17">
        <f>F827*D827*G827</f>
        <v>0</v>
      </c>
      <c r="I827" s="72"/>
      <c r="K827" s="47" t="s">
        <v>27</v>
      </c>
      <c r="L827" s="47" t="s">
        <v>12</v>
      </c>
      <c r="M827" s="47" t="s">
        <v>87</v>
      </c>
      <c r="N827" s="47" t="s">
        <v>28</v>
      </c>
      <c r="O827" s="28" t="s">
        <v>86</v>
      </c>
      <c r="P827" s="17"/>
    </row>
    <row r="828" spans="1:16" x14ac:dyDescent="0.25">
      <c r="A828" s="364"/>
      <c r="B828" s="367"/>
      <c r="E828" s="17"/>
      <c r="F828" s="16">
        <v>1</v>
      </c>
      <c r="G828" s="228"/>
      <c r="H828" s="17">
        <f>F828*D828</f>
        <v>0</v>
      </c>
      <c r="I828" s="72"/>
      <c r="K828" s="3"/>
      <c r="L828" s="3"/>
      <c r="M828" s="3"/>
      <c r="N828" s="3"/>
      <c r="O828" s="3"/>
      <c r="P828" s="50" t="s">
        <v>50</v>
      </c>
    </row>
    <row r="829" spans="1:16" ht="16.5" thickBot="1" x14ac:dyDescent="0.3">
      <c r="A829" s="364"/>
      <c r="B829" s="367"/>
      <c r="C829" s="225" t="s">
        <v>47</v>
      </c>
      <c r="D829" s="223"/>
      <c r="E829" s="85"/>
      <c r="F829" s="224">
        <v>1</v>
      </c>
      <c r="G829" s="224"/>
      <c r="H829" s="85">
        <f>F829*D829</f>
        <v>0</v>
      </c>
      <c r="I829" s="86"/>
      <c r="K829" s="214" t="e">
        <f>K828/SUM(K828:O828)*I830</f>
        <v>#DIV/0!</v>
      </c>
      <c r="L829" s="214" t="e">
        <f>L828/SUM(K828:O828)*$I830</f>
        <v>#DIV/0!</v>
      </c>
      <c r="M829" s="214" t="e">
        <f>M828/SUM(K828:O828)*$I830</f>
        <v>#DIV/0!</v>
      </c>
      <c r="N829" s="214" t="e">
        <f>N828/SUM(K828:O828)*$I830</f>
        <v>#DIV/0!</v>
      </c>
      <c r="O829" s="214" t="e">
        <f>O828/SUM(K828:O828)*$I830</f>
        <v>#DIV/0!</v>
      </c>
      <c r="P829" s="50" t="s">
        <v>90</v>
      </c>
    </row>
    <row r="830" spans="1:16" ht="16.5" thickTop="1" x14ac:dyDescent="0.25">
      <c r="A830" s="365"/>
      <c r="B830" s="368"/>
      <c r="C830" s="9"/>
      <c r="D830" s="9"/>
      <c r="E830" s="64"/>
      <c r="F830" s="222"/>
      <c r="G830" s="222"/>
      <c r="H830" s="64">
        <f>SUM(H826:H829)</f>
        <v>0</v>
      </c>
      <c r="I830" s="74">
        <f>H830*I$6*I$5</f>
        <v>0</v>
      </c>
    </row>
    <row r="832" spans="1:16" x14ac:dyDescent="0.25">
      <c r="A832" s="363">
        <f>A826+1</f>
        <v>45652</v>
      </c>
      <c r="B832" s="366" t="s">
        <v>5</v>
      </c>
      <c r="C832" s="57" t="s">
        <v>72</v>
      </c>
      <c r="D832" s="7"/>
      <c r="E832" s="49"/>
      <c r="F832" s="48">
        <v>1</v>
      </c>
      <c r="G832" s="227">
        <v>1</v>
      </c>
      <c r="H832" s="49">
        <f>F832*D832*G832</f>
        <v>0</v>
      </c>
      <c r="I832" s="55"/>
      <c r="K832" s="369" t="s">
        <v>23</v>
      </c>
      <c r="L832" s="370"/>
      <c r="M832" s="370"/>
      <c r="N832" s="370"/>
      <c r="O832" s="371"/>
    </row>
    <row r="833" spans="1:16" x14ac:dyDescent="0.25">
      <c r="A833" s="364"/>
      <c r="B833" s="367"/>
      <c r="C833" s="21" t="s">
        <v>73</v>
      </c>
      <c r="E833" s="17"/>
      <c r="F833" s="16">
        <v>1</v>
      </c>
      <c r="G833" s="228">
        <v>1</v>
      </c>
      <c r="H833" s="17">
        <f>F833*D833*G833</f>
        <v>0</v>
      </c>
      <c r="I833" s="72"/>
      <c r="K833" s="47" t="s">
        <v>27</v>
      </c>
      <c r="L833" s="47" t="s">
        <v>12</v>
      </c>
      <c r="M833" s="47" t="s">
        <v>87</v>
      </c>
      <c r="N833" s="47" t="s">
        <v>28</v>
      </c>
      <c r="O833" s="28" t="s">
        <v>86</v>
      </c>
      <c r="P833" s="17"/>
    </row>
    <row r="834" spans="1:16" x14ac:dyDescent="0.25">
      <c r="A834" s="364"/>
      <c r="B834" s="367"/>
      <c r="E834" s="17"/>
      <c r="F834" s="16">
        <v>1</v>
      </c>
      <c r="G834" s="228"/>
      <c r="H834" s="17">
        <f>F834*D834</f>
        <v>0</v>
      </c>
      <c r="I834" s="72"/>
      <c r="K834" s="3"/>
      <c r="L834" s="3"/>
      <c r="M834" s="3"/>
      <c r="N834" s="3"/>
      <c r="O834" s="3"/>
      <c r="P834" s="50" t="s">
        <v>50</v>
      </c>
    </row>
    <row r="835" spans="1:16" ht="16.5" thickBot="1" x14ac:dyDescent="0.3">
      <c r="A835" s="364"/>
      <c r="B835" s="367"/>
      <c r="C835" s="225" t="s">
        <v>47</v>
      </c>
      <c r="D835" s="223"/>
      <c r="E835" s="85"/>
      <c r="F835" s="224"/>
      <c r="G835" s="224"/>
      <c r="H835" s="85">
        <f>F835*D835</f>
        <v>0</v>
      </c>
      <c r="I835" s="86"/>
      <c r="K835" s="214" t="e">
        <f>K834/SUM(K834:O834)*I836</f>
        <v>#DIV/0!</v>
      </c>
      <c r="L835" s="214" t="e">
        <f>L834/SUM(K834:O834)*$I836</f>
        <v>#DIV/0!</v>
      </c>
      <c r="M835" s="214" t="e">
        <f>M834/SUM(K834:O834)*$I836</f>
        <v>#DIV/0!</v>
      </c>
      <c r="N835" s="214" t="e">
        <f>N834/SUM(K834:O834)*$I836</f>
        <v>#DIV/0!</v>
      </c>
      <c r="O835" s="214" t="e">
        <f>O834/SUM(K834:O834)*$I836</f>
        <v>#DIV/0!</v>
      </c>
      <c r="P835" s="50" t="s">
        <v>90</v>
      </c>
    </row>
    <row r="836" spans="1:16" ht="16.5" thickTop="1" x14ac:dyDescent="0.25">
      <c r="A836" s="365"/>
      <c r="B836" s="368"/>
      <c r="C836" s="9"/>
      <c r="D836" s="9"/>
      <c r="E836" s="64"/>
      <c r="F836" s="222"/>
      <c r="G836" s="222"/>
      <c r="H836" s="64">
        <f>SUM(H832:H835)</f>
        <v>0</v>
      </c>
      <c r="I836" s="74">
        <f>H836*I$6*I$5</f>
        <v>0</v>
      </c>
    </row>
    <row r="838" spans="1:16" x14ac:dyDescent="0.25">
      <c r="A838" s="363">
        <f>A832+1</f>
        <v>45653</v>
      </c>
      <c r="B838" s="366" t="s">
        <v>6</v>
      </c>
      <c r="C838" s="57" t="s">
        <v>72</v>
      </c>
      <c r="D838" s="7"/>
      <c r="E838" s="49"/>
      <c r="F838" s="48">
        <v>1</v>
      </c>
      <c r="G838" s="227">
        <v>1</v>
      </c>
      <c r="H838" s="49">
        <f>F838*D838*G838</f>
        <v>0</v>
      </c>
      <c r="I838" s="55"/>
      <c r="K838" s="369" t="s">
        <v>23</v>
      </c>
      <c r="L838" s="370"/>
      <c r="M838" s="370"/>
      <c r="N838" s="370"/>
      <c r="O838" s="371"/>
    </row>
    <row r="839" spans="1:16" x14ac:dyDescent="0.25">
      <c r="A839" s="364"/>
      <c r="B839" s="367"/>
      <c r="C839" s="21" t="s">
        <v>73</v>
      </c>
      <c r="E839" s="17"/>
      <c r="F839" s="16">
        <v>1</v>
      </c>
      <c r="G839" s="228">
        <v>1</v>
      </c>
      <c r="H839" s="17">
        <f>F839*D839*G839</f>
        <v>0</v>
      </c>
      <c r="I839" s="72"/>
      <c r="K839" s="47" t="s">
        <v>27</v>
      </c>
      <c r="L839" s="47" t="s">
        <v>12</v>
      </c>
      <c r="M839" s="47" t="s">
        <v>87</v>
      </c>
      <c r="N839" s="47" t="s">
        <v>28</v>
      </c>
      <c r="O839" s="28" t="s">
        <v>86</v>
      </c>
      <c r="P839" s="17"/>
    </row>
    <row r="840" spans="1:16" x14ac:dyDescent="0.25">
      <c r="A840" s="364"/>
      <c r="B840" s="367"/>
      <c r="E840" s="17"/>
      <c r="F840" s="16">
        <v>1</v>
      </c>
      <c r="G840" s="228"/>
      <c r="H840" s="17">
        <f>F840*D840</f>
        <v>0</v>
      </c>
      <c r="I840" s="72"/>
      <c r="K840" s="3"/>
      <c r="L840" s="3"/>
      <c r="M840" s="3"/>
      <c r="N840" s="3"/>
      <c r="O840" s="3"/>
      <c r="P840" s="50" t="s">
        <v>50</v>
      </c>
    </row>
    <row r="841" spans="1:16" ht="16.5" thickBot="1" x14ac:dyDescent="0.3">
      <c r="A841" s="364"/>
      <c r="B841" s="367"/>
      <c r="C841" s="225" t="s">
        <v>47</v>
      </c>
      <c r="D841" s="223"/>
      <c r="E841" s="85"/>
      <c r="F841" s="224"/>
      <c r="G841" s="224"/>
      <c r="H841" s="85">
        <f>F841*D841</f>
        <v>0</v>
      </c>
      <c r="I841" s="86"/>
      <c r="K841" s="214" t="e">
        <f>K840/SUM(K840:O840)*I842</f>
        <v>#DIV/0!</v>
      </c>
      <c r="L841" s="214" t="e">
        <f>L840/SUM(K840:O840)*$I842</f>
        <v>#DIV/0!</v>
      </c>
      <c r="M841" s="214" t="e">
        <f>M840/SUM(K840:O840)*$I842</f>
        <v>#DIV/0!</v>
      </c>
      <c r="N841" s="214" t="e">
        <f>N840/SUM(K840:O840)*$I842</f>
        <v>#DIV/0!</v>
      </c>
      <c r="O841" s="214" t="e">
        <f>O840/SUM(K840:O840)*$I842</f>
        <v>#DIV/0!</v>
      </c>
      <c r="P841" s="50" t="s">
        <v>90</v>
      </c>
    </row>
    <row r="842" spans="1:16" ht="16.5" thickTop="1" x14ac:dyDescent="0.25">
      <c r="A842" s="365"/>
      <c r="B842" s="368"/>
      <c r="C842" s="9"/>
      <c r="D842" s="9"/>
      <c r="E842" s="64"/>
      <c r="F842" s="222"/>
      <c r="G842" s="222"/>
      <c r="H842" s="64">
        <f>SUM(H838:H841)</f>
        <v>0</v>
      </c>
      <c r="I842" s="240">
        <f>H842*I$6</f>
        <v>0</v>
      </c>
    </row>
    <row r="844" spans="1:16" x14ac:dyDescent="0.25">
      <c r="A844" s="363">
        <f>A838+1</f>
        <v>45654</v>
      </c>
      <c r="B844" s="366" t="s">
        <v>0</v>
      </c>
      <c r="C844" s="57" t="s">
        <v>72</v>
      </c>
      <c r="D844" s="7"/>
      <c r="E844" s="49"/>
      <c r="F844" s="48">
        <v>1</v>
      </c>
      <c r="G844" s="227"/>
      <c r="H844" s="49">
        <f>F844*D844*G844</f>
        <v>0</v>
      </c>
      <c r="I844" s="55"/>
      <c r="K844" s="369" t="s">
        <v>23</v>
      </c>
      <c r="L844" s="370"/>
      <c r="M844" s="370"/>
      <c r="N844" s="370"/>
      <c r="O844" s="371"/>
    </row>
    <row r="845" spans="1:16" x14ac:dyDescent="0.25">
      <c r="A845" s="364"/>
      <c r="B845" s="367"/>
      <c r="C845" s="21" t="s">
        <v>73</v>
      </c>
      <c r="E845" s="17"/>
      <c r="F845" s="16">
        <v>1</v>
      </c>
      <c r="G845" s="228"/>
      <c r="H845" s="17">
        <f>F845*D845*G845</f>
        <v>0</v>
      </c>
      <c r="I845" s="72"/>
      <c r="K845" s="47" t="s">
        <v>27</v>
      </c>
      <c r="L845" s="47" t="s">
        <v>12</v>
      </c>
      <c r="M845" s="47" t="s">
        <v>87</v>
      </c>
      <c r="N845" s="47" t="s">
        <v>28</v>
      </c>
      <c r="O845" s="28" t="s">
        <v>86</v>
      </c>
      <c r="P845" s="17"/>
    </row>
    <row r="846" spans="1:16" x14ac:dyDescent="0.25">
      <c r="A846" s="364"/>
      <c r="B846" s="367"/>
      <c r="E846" s="17"/>
      <c r="F846" s="16">
        <v>1</v>
      </c>
      <c r="G846" s="228"/>
      <c r="H846" s="17">
        <f>F846*D846</f>
        <v>0</v>
      </c>
      <c r="I846" s="72"/>
      <c r="K846" s="3"/>
      <c r="L846" s="3"/>
      <c r="M846" s="3"/>
      <c r="N846" s="3"/>
      <c r="O846" s="3"/>
      <c r="P846" s="50" t="s">
        <v>50</v>
      </c>
    </row>
    <row r="847" spans="1:16" ht="16.5" thickBot="1" x14ac:dyDescent="0.3">
      <c r="A847" s="364"/>
      <c r="B847" s="367"/>
      <c r="C847" s="225" t="s">
        <v>47</v>
      </c>
      <c r="D847" s="223"/>
      <c r="E847" s="85"/>
      <c r="F847" s="224">
        <v>1</v>
      </c>
      <c r="G847" s="224"/>
      <c r="H847" s="85">
        <f>F847*D847</f>
        <v>0</v>
      </c>
      <c r="I847" s="86"/>
      <c r="K847" s="214" t="e">
        <f>K846/SUM(K846:O846)*I848</f>
        <v>#DIV/0!</v>
      </c>
      <c r="L847" s="214" t="e">
        <f>L846/SUM(K846:O846)*$I848</f>
        <v>#DIV/0!</v>
      </c>
      <c r="M847" s="214" t="e">
        <f>M846/SUM(K846:O846)*$I848</f>
        <v>#DIV/0!</v>
      </c>
      <c r="N847" s="214" t="e">
        <f>N846/SUM(K846:O846)*$I848</f>
        <v>#DIV/0!</v>
      </c>
      <c r="O847" s="214" t="e">
        <f>O846/SUM(K846:O846)*$I848</f>
        <v>#DIV/0!</v>
      </c>
      <c r="P847" s="50" t="s">
        <v>90</v>
      </c>
    </row>
    <row r="848" spans="1:16" ht="16.5" thickTop="1" x14ac:dyDescent="0.25">
      <c r="A848" s="365"/>
      <c r="B848" s="368"/>
      <c r="C848" s="9"/>
      <c r="D848" s="9"/>
      <c r="E848" s="64"/>
      <c r="F848" s="222"/>
      <c r="G848" s="222"/>
      <c r="H848" s="64">
        <f>SUM(H844:H847)</f>
        <v>0</v>
      </c>
      <c r="I848" s="74">
        <f>H848*I$6*I$5</f>
        <v>0</v>
      </c>
    </row>
    <row r="850" spans="1:16" x14ac:dyDescent="0.25">
      <c r="A850" s="363">
        <f>A844+1</f>
        <v>45655</v>
      </c>
      <c r="B850" s="366" t="s">
        <v>1</v>
      </c>
      <c r="C850" s="57" t="s">
        <v>72</v>
      </c>
      <c r="D850" s="7"/>
      <c r="E850" s="49"/>
      <c r="F850" s="48">
        <v>1</v>
      </c>
      <c r="G850" s="227">
        <v>1</v>
      </c>
      <c r="H850" s="49">
        <f>F850*D850*G850</f>
        <v>0</v>
      </c>
      <c r="I850" s="55"/>
      <c r="K850" s="369" t="s">
        <v>23</v>
      </c>
      <c r="L850" s="370"/>
      <c r="M850" s="370"/>
      <c r="N850" s="370"/>
      <c r="O850" s="371"/>
    </row>
    <row r="851" spans="1:16" x14ac:dyDescent="0.25">
      <c r="A851" s="364"/>
      <c r="B851" s="367"/>
      <c r="C851" s="21" t="s">
        <v>73</v>
      </c>
      <c r="E851" s="17"/>
      <c r="F851" s="16">
        <v>1</v>
      </c>
      <c r="G851" s="228">
        <v>1</v>
      </c>
      <c r="H851" s="17">
        <f>F851*D851*G851</f>
        <v>0</v>
      </c>
      <c r="I851" s="72"/>
      <c r="K851" s="47" t="s">
        <v>27</v>
      </c>
      <c r="L851" s="47" t="s">
        <v>12</v>
      </c>
      <c r="M851" s="47" t="s">
        <v>87</v>
      </c>
      <c r="N851" s="47" t="s">
        <v>28</v>
      </c>
      <c r="O851" s="28" t="s">
        <v>86</v>
      </c>
      <c r="P851" s="17"/>
    </row>
    <row r="852" spans="1:16" x14ac:dyDescent="0.25">
      <c r="A852" s="364"/>
      <c r="B852" s="367"/>
      <c r="E852" s="17"/>
      <c r="F852" s="16">
        <v>1</v>
      </c>
      <c r="G852" s="228"/>
      <c r="H852" s="17">
        <f>F852*D852</f>
        <v>0</v>
      </c>
      <c r="I852" s="72"/>
      <c r="K852" s="3"/>
      <c r="L852" s="3"/>
      <c r="M852" s="3"/>
      <c r="N852" s="3"/>
      <c r="O852" s="3"/>
      <c r="P852" s="50" t="s">
        <v>50</v>
      </c>
    </row>
    <row r="853" spans="1:16" ht="16.5" thickBot="1" x14ac:dyDescent="0.3">
      <c r="A853" s="364"/>
      <c r="B853" s="367"/>
      <c r="C853" s="225" t="s">
        <v>47</v>
      </c>
      <c r="D853" s="223"/>
      <c r="E853" s="85"/>
      <c r="F853" s="224"/>
      <c r="G853" s="224"/>
      <c r="H853" s="85">
        <f>F853*D853</f>
        <v>0</v>
      </c>
      <c r="I853" s="86"/>
      <c r="K853" s="214" t="e">
        <f>K852/SUM(K852:O852)*I854</f>
        <v>#DIV/0!</v>
      </c>
      <c r="L853" s="214" t="e">
        <f>L852/SUM(K852:O852)*$I854</f>
        <v>#DIV/0!</v>
      </c>
      <c r="M853" s="214" t="e">
        <f>M852/SUM(K852:O852)*$I854</f>
        <v>#DIV/0!</v>
      </c>
      <c r="N853" s="214" t="e">
        <f>N852/SUM(K852:O852)*$I854</f>
        <v>#DIV/0!</v>
      </c>
      <c r="O853" s="214" t="e">
        <f>O852/SUM(K852:O852)*$I854</f>
        <v>#DIV/0!</v>
      </c>
      <c r="P853" s="50" t="s">
        <v>90</v>
      </c>
    </row>
    <row r="854" spans="1:16" ht="16.5" thickTop="1" x14ac:dyDescent="0.25">
      <c r="A854" s="365"/>
      <c r="B854" s="368"/>
      <c r="C854" s="9"/>
      <c r="D854" s="9"/>
      <c r="E854" s="64"/>
      <c r="F854" s="222"/>
      <c r="G854" s="222"/>
      <c r="H854" s="64">
        <f>SUM(H850:H853)</f>
        <v>0</v>
      </c>
      <c r="I854" s="74">
        <f>H854*I$6*I$5</f>
        <v>0</v>
      </c>
    </row>
    <row r="855" spans="1:16" x14ac:dyDescent="0.25">
      <c r="B855" s="9"/>
    </row>
    <row r="856" spans="1:16" x14ac:dyDescent="0.25">
      <c r="A856" s="363">
        <f>A850+1</f>
        <v>45656</v>
      </c>
      <c r="B856" s="366" t="s">
        <v>25</v>
      </c>
      <c r="C856" s="57" t="s">
        <v>72</v>
      </c>
      <c r="D856" s="7"/>
      <c r="E856" s="49"/>
      <c r="F856" s="48">
        <v>1</v>
      </c>
      <c r="G856" s="227"/>
      <c r="H856" s="49">
        <f>F856*D856*G856</f>
        <v>0</v>
      </c>
      <c r="I856" s="55"/>
      <c r="K856" s="369" t="s">
        <v>23</v>
      </c>
      <c r="L856" s="370"/>
      <c r="M856" s="370"/>
      <c r="N856" s="370"/>
      <c r="O856" s="371"/>
    </row>
    <row r="857" spans="1:16" x14ac:dyDescent="0.25">
      <c r="A857" s="364"/>
      <c r="B857" s="367"/>
      <c r="C857" s="21" t="s">
        <v>73</v>
      </c>
      <c r="E857" s="17"/>
      <c r="F857" s="16">
        <v>1</v>
      </c>
      <c r="G857" s="228"/>
      <c r="H857" s="17">
        <f>F857*D857*G857</f>
        <v>0</v>
      </c>
      <c r="I857" s="72"/>
      <c r="K857" s="47" t="s">
        <v>27</v>
      </c>
      <c r="L857" s="47" t="s">
        <v>12</v>
      </c>
      <c r="M857" s="47" t="s">
        <v>87</v>
      </c>
      <c r="N857" s="47" t="s">
        <v>28</v>
      </c>
      <c r="O857" s="28" t="s">
        <v>86</v>
      </c>
      <c r="P857" s="17"/>
    </row>
    <row r="858" spans="1:16" x14ac:dyDescent="0.25">
      <c r="A858" s="364"/>
      <c r="B858" s="367"/>
      <c r="E858" s="17"/>
      <c r="F858" s="16">
        <v>1</v>
      </c>
      <c r="G858" s="228"/>
      <c r="H858" s="17">
        <f>F858*D858</f>
        <v>0</v>
      </c>
      <c r="I858" s="72"/>
      <c r="K858" s="3"/>
      <c r="L858" s="3"/>
      <c r="M858" s="3"/>
      <c r="N858" s="3"/>
      <c r="O858" s="3"/>
      <c r="P858" s="50" t="s">
        <v>50</v>
      </c>
    </row>
    <row r="859" spans="1:16" ht="16.5" thickBot="1" x14ac:dyDescent="0.3">
      <c r="A859" s="364"/>
      <c r="B859" s="367"/>
      <c r="C859" s="225" t="s">
        <v>47</v>
      </c>
      <c r="D859" s="223"/>
      <c r="E859" s="85"/>
      <c r="F859" s="224"/>
      <c r="G859" s="224"/>
      <c r="H859" s="85">
        <f>F859*D859</f>
        <v>0</v>
      </c>
      <c r="I859" s="86"/>
      <c r="K859" s="214"/>
      <c r="L859" s="214"/>
      <c r="M859" s="214"/>
      <c r="N859" s="214"/>
      <c r="O859" s="214"/>
      <c r="P859" s="50" t="s">
        <v>90</v>
      </c>
    </row>
    <row r="860" spans="1:16" ht="16.5" thickTop="1" x14ac:dyDescent="0.25">
      <c r="A860" s="365"/>
      <c r="B860" s="368"/>
      <c r="C860" s="9"/>
      <c r="D860" s="9"/>
      <c r="E860" s="64"/>
      <c r="F860" s="222"/>
      <c r="G860" s="222"/>
      <c r="H860" s="64">
        <f>SUM(H856:H859)</f>
        <v>0</v>
      </c>
      <c r="I860" s="74">
        <f>H860*I$6*I$5</f>
        <v>0</v>
      </c>
    </row>
    <row r="862" spans="1:16" x14ac:dyDescent="0.25">
      <c r="A862" s="363">
        <f>A856+1</f>
        <v>45657</v>
      </c>
      <c r="B862" s="366" t="s">
        <v>3</v>
      </c>
      <c r="C862" s="57" t="s">
        <v>72</v>
      </c>
      <c r="D862" s="7"/>
      <c r="E862" s="49"/>
      <c r="F862" s="48">
        <v>1</v>
      </c>
      <c r="G862" s="227"/>
      <c r="H862" s="49">
        <f>F862*D862*G862</f>
        <v>0</v>
      </c>
      <c r="I862" s="55"/>
      <c r="K862" s="369" t="s">
        <v>23</v>
      </c>
      <c r="L862" s="370"/>
      <c r="M862" s="370"/>
      <c r="N862" s="370"/>
      <c r="O862" s="371"/>
    </row>
    <row r="863" spans="1:16" x14ac:dyDescent="0.25">
      <c r="A863" s="364"/>
      <c r="B863" s="367"/>
      <c r="C863" s="21" t="s">
        <v>73</v>
      </c>
      <c r="E863" s="17"/>
      <c r="F863" s="16">
        <v>1</v>
      </c>
      <c r="G863" s="228"/>
      <c r="H863" s="17">
        <f>F863*D863*G863</f>
        <v>0</v>
      </c>
      <c r="I863" s="72"/>
      <c r="K863" s="47" t="s">
        <v>27</v>
      </c>
      <c r="L863" s="47" t="s">
        <v>12</v>
      </c>
      <c r="M863" s="47" t="s">
        <v>87</v>
      </c>
      <c r="N863" s="47" t="s">
        <v>28</v>
      </c>
      <c r="O863" s="28" t="s">
        <v>86</v>
      </c>
      <c r="P863" s="17"/>
    </row>
    <row r="864" spans="1:16" x14ac:dyDescent="0.25">
      <c r="A864" s="364"/>
      <c r="B864" s="367"/>
      <c r="E864" s="17"/>
      <c r="F864" s="16">
        <v>1</v>
      </c>
      <c r="G864" s="228"/>
      <c r="H864" s="17">
        <f>F864*D864</f>
        <v>0</v>
      </c>
      <c r="I864" s="72"/>
      <c r="K864" s="3"/>
      <c r="L864" s="3"/>
      <c r="M864" s="3"/>
      <c r="N864" s="3"/>
      <c r="O864" s="3"/>
      <c r="P864" s="50" t="s">
        <v>50</v>
      </c>
    </row>
    <row r="865" spans="1:16" ht="16.5" thickBot="1" x14ac:dyDescent="0.3">
      <c r="A865" s="364"/>
      <c r="B865" s="367"/>
      <c r="C865" s="225" t="s">
        <v>47</v>
      </c>
      <c r="D865" s="223"/>
      <c r="E865" s="85"/>
      <c r="F865" s="224"/>
      <c r="G865" s="224"/>
      <c r="H865" s="85">
        <f>F865*D865</f>
        <v>0</v>
      </c>
      <c r="I865" s="86"/>
      <c r="K865" s="214" t="e">
        <f>K864/SUM(K864:O864)*I866</f>
        <v>#DIV/0!</v>
      </c>
      <c r="L865" s="214" t="e">
        <f>L864/SUM(K864:O864)*$I866</f>
        <v>#DIV/0!</v>
      </c>
      <c r="M865" s="214" t="e">
        <f>M864/SUM(K864:O864)*$I866</f>
        <v>#DIV/0!</v>
      </c>
      <c r="N865" s="214" t="e">
        <f>N864/SUM(K864:O864)*$I866</f>
        <v>#DIV/0!</v>
      </c>
      <c r="O865" s="214" t="e">
        <f>O864/SUM(K864:O864)*$I866</f>
        <v>#DIV/0!</v>
      </c>
      <c r="P865" s="50" t="s">
        <v>90</v>
      </c>
    </row>
    <row r="866" spans="1:16" ht="16.5" thickTop="1" x14ac:dyDescent="0.25">
      <c r="A866" s="365"/>
      <c r="B866" s="368"/>
      <c r="C866" s="9"/>
      <c r="D866" s="9"/>
      <c r="E866" s="64"/>
      <c r="F866" s="222"/>
      <c r="G866" s="222"/>
      <c r="H866" s="64">
        <f>SUM(H862:H865)</f>
        <v>0</v>
      </c>
      <c r="I866" s="74">
        <f>H866*I$6*I$5</f>
        <v>0</v>
      </c>
    </row>
    <row r="868" spans="1:16" x14ac:dyDescent="0.25">
      <c r="A868" s="363">
        <f>A862+1</f>
        <v>45658</v>
      </c>
      <c r="B868" s="366" t="s">
        <v>24</v>
      </c>
      <c r="C868" s="57" t="s">
        <v>72</v>
      </c>
      <c r="D868" s="7"/>
      <c r="E868" s="49"/>
      <c r="F868" s="48">
        <v>1</v>
      </c>
      <c r="G868" s="227">
        <v>1</v>
      </c>
      <c r="H868" s="49">
        <f>F868*D868*G868</f>
        <v>0</v>
      </c>
      <c r="I868" s="55"/>
      <c r="K868" s="369" t="s">
        <v>23</v>
      </c>
      <c r="L868" s="370"/>
      <c r="M868" s="370"/>
      <c r="N868" s="370"/>
      <c r="O868" s="371"/>
    </row>
    <row r="869" spans="1:16" x14ac:dyDescent="0.25">
      <c r="A869" s="364"/>
      <c r="B869" s="367"/>
      <c r="C869" s="21" t="s">
        <v>73</v>
      </c>
      <c r="E869" s="17"/>
      <c r="F869" s="16">
        <v>1</v>
      </c>
      <c r="G869" s="228">
        <v>1</v>
      </c>
      <c r="H869" s="17">
        <f>F869*D869*G869</f>
        <v>0</v>
      </c>
      <c r="I869" s="72"/>
      <c r="K869" s="47" t="s">
        <v>27</v>
      </c>
      <c r="L869" s="47" t="s">
        <v>12</v>
      </c>
      <c r="M869" s="47" t="s">
        <v>87</v>
      </c>
      <c r="N869" s="47" t="s">
        <v>28</v>
      </c>
      <c r="O869" s="28" t="s">
        <v>86</v>
      </c>
      <c r="P869" s="17"/>
    </row>
    <row r="870" spans="1:16" x14ac:dyDescent="0.25">
      <c r="A870" s="364"/>
      <c r="B870" s="367"/>
      <c r="E870" s="17"/>
      <c r="F870" s="16">
        <v>1</v>
      </c>
      <c r="G870" s="228"/>
      <c r="H870" s="17">
        <f>F870*D870</f>
        <v>0</v>
      </c>
      <c r="I870" s="72"/>
      <c r="K870" s="3"/>
      <c r="L870" s="3"/>
      <c r="M870" s="3"/>
      <c r="N870" s="3"/>
      <c r="O870" s="3"/>
      <c r="P870" s="50" t="s">
        <v>50</v>
      </c>
    </row>
    <row r="871" spans="1:16" ht="16.5" thickBot="1" x14ac:dyDescent="0.3">
      <c r="A871" s="364"/>
      <c r="B871" s="367"/>
      <c r="C871" s="225" t="s">
        <v>47</v>
      </c>
      <c r="D871" s="223"/>
      <c r="E871" s="85"/>
      <c r="F871" s="224">
        <v>1</v>
      </c>
      <c r="G871" s="224"/>
      <c r="H871" s="85"/>
      <c r="I871" s="86"/>
      <c r="K871" s="214" t="e">
        <f>K870/SUM(K870:O870)*I872</f>
        <v>#DIV/0!</v>
      </c>
      <c r="L871" s="214" t="e">
        <f>L870/SUM(K870:O870)*$I872</f>
        <v>#DIV/0!</v>
      </c>
      <c r="M871" s="214" t="e">
        <f>M870/SUM(K870:O870)*$I872</f>
        <v>#DIV/0!</v>
      </c>
      <c r="N871" s="214" t="e">
        <f>N870/SUM(K870:O870)*$I872</f>
        <v>#DIV/0!</v>
      </c>
      <c r="O871" s="214" t="e">
        <f>O870/SUM(K870:O870)*$I872</f>
        <v>#DIV/0!</v>
      </c>
      <c r="P871" s="50" t="s">
        <v>90</v>
      </c>
    </row>
    <row r="872" spans="1:16" ht="16.5" thickTop="1" x14ac:dyDescent="0.25">
      <c r="A872" s="365"/>
      <c r="B872" s="368"/>
      <c r="C872" s="9"/>
      <c r="D872" s="9"/>
      <c r="E872" s="64"/>
      <c r="F872" s="222"/>
      <c r="G872" s="222"/>
      <c r="H872" s="64">
        <f>SUM(H868:H871)</f>
        <v>0</v>
      </c>
      <c r="I872" s="74">
        <f>H872*I$6*I$5</f>
        <v>0</v>
      </c>
    </row>
    <row r="874" spans="1:16" x14ac:dyDescent="0.25">
      <c r="A874" s="363">
        <f>A868+1</f>
        <v>45659</v>
      </c>
      <c r="B874" s="366" t="s">
        <v>5</v>
      </c>
      <c r="C874" s="57" t="s">
        <v>72</v>
      </c>
      <c r="D874" s="7"/>
      <c r="E874" s="49"/>
      <c r="F874" s="48">
        <v>1</v>
      </c>
      <c r="G874" s="227"/>
      <c r="H874" s="49">
        <f>F874*D874*G874</f>
        <v>0</v>
      </c>
      <c r="I874" s="55"/>
      <c r="K874" s="369" t="s">
        <v>23</v>
      </c>
      <c r="L874" s="370"/>
      <c r="M874" s="370"/>
      <c r="N874" s="370"/>
      <c r="O874" s="371"/>
    </row>
    <row r="875" spans="1:16" x14ac:dyDescent="0.25">
      <c r="A875" s="364"/>
      <c r="B875" s="367"/>
      <c r="C875" s="21" t="s">
        <v>73</v>
      </c>
      <c r="E875" s="17"/>
      <c r="F875" s="16">
        <v>1</v>
      </c>
      <c r="G875" s="228"/>
      <c r="H875" s="17">
        <f>F875*D875*G875</f>
        <v>0</v>
      </c>
      <c r="I875" s="72"/>
      <c r="K875" s="47" t="s">
        <v>27</v>
      </c>
      <c r="L875" s="47" t="s">
        <v>12</v>
      </c>
      <c r="M875" s="47" t="s">
        <v>87</v>
      </c>
      <c r="N875" s="47" t="s">
        <v>28</v>
      </c>
      <c r="O875" s="28" t="s">
        <v>86</v>
      </c>
      <c r="P875" s="17"/>
    </row>
    <row r="876" spans="1:16" x14ac:dyDescent="0.25">
      <c r="A876" s="364"/>
      <c r="B876" s="367"/>
      <c r="E876" s="17"/>
      <c r="F876" s="16">
        <v>1</v>
      </c>
      <c r="G876" s="228"/>
      <c r="H876" s="17">
        <f>F876*D876</f>
        <v>0</v>
      </c>
      <c r="I876" s="72"/>
      <c r="K876" s="3"/>
      <c r="L876" s="3"/>
      <c r="M876" s="3"/>
      <c r="N876" s="3"/>
      <c r="O876" s="3"/>
      <c r="P876" s="50" t="s">
        <v>50</v>
      </c>
    </row>
    <row r="877" spans="1:16" ht="16.5" thickBot="1" x14ac:dyDescent="0.3">
      <c r="A877" s="364"/>
      <c r="B877" s="367"/>
      <c r="C877" s="225" t="s">
        <v>47</v>
      </c>
      <c r="D877" s="223"/>
      <c r="E877" s="85"/>
      <c r="F877" s="224">
        <v>1</v>
      </c>
      <c r="G877" s="224"/>
      <c r="H877" s="85">
        <f>F877*D877</f>
        <v>0</v>
      </c>
      <c r="I877" s="86"/>
      <c r="K877" s="214" t="e">
        <f>K876/SUM(K876:O876)*I878</f>
        <v>#DIV/0!</v>
      </c>
      <c r="L877" s="214" t="e">
        <f>L876/SUM(K876:O876)*$I878</f>
        <v>#DIV/0!</v>
      </c>
      <c r="M877" s="214" t="e">
        <f>M876/SUM(K876:O876)*$I878</f>
        <v>#DIV/0!</v>
      </c>
      <c r="N877" s="214" t="e">
        <f>N876/SUM(K876:O876)*$I878</f>
        <v>#DIV/0!</v>
      </c>
      <c r="O877" s="214" t="e">
        <f>O876/SUM(K876:O876)*$I878</f>
        <v>#DIV/0!</v>
      </c>
      <c r="P877" s="50" t="s">
        <v>90</v>
      </c>
    </row>
    <row r="878" spans="1:16" ht="16.5" thickTop="1" x14ac:dyDescent="0.25">
      <c r="A878" s="365"/>
      <c r="B878" s="368"/>
      <c r="C878" s="9"/>
      <c r="D878" s="9"/>
      <c r="E878" s="64"/>
      <c r="F878" s="222"/>
      <c r="G878" s="222"/>
      <c r="H878" s="64">
        <f>SUM(H874:H877)</f>
        <v>0</v>
      </c>
      <c r="I878" s="74">
        <f>H878*I$6*I$5</f>
        <v>0</v>
      </c>
    </row>
    <row r="880" spans="1:16" x14ac:dyDescent="0.25">
      <c r="A880" s="363">
        <f>A874+1</f>
        <v>45660</v>
      </c>
      <c r="B880" s="366" t="s">
        <v>6</v>
      </c>
      <c r="C880" s="57" t="s">
        <v>72</v>
      </c>
      <c r="D880" s="7"/>
      <c r="E880" s="49"/>
      <c r="F880" s="48">
        <v>1</v>
      </c>
      <c r="G880" s="227">
        <v>1</v>
      </c>
      <c r="H880" s="49">
        <f>F880*D880*G880</f>
        <v>0</v>
      </c>
      <c r="I880" s="55"/>
      <c r="K880" s="369" t="s">
        <v>23</v>
      </c>
      <c r="L880" s="370"/>
      <c r="M880" s="370"/>
      <c r="N880" s="370"/>
      <c r="O880" s="371"/>
    </row>
    <row r="881" spans="1:16" x14ac:dyDescent="0.25">
      <c r="A881" s="364"/>
      <c r="B881" s="367"/>
      <c r="C881" s="21" t="s">
        <v>73</v>
      </c>
      <c r="E881" s="17"/>
      <c r="F881" s="16">
        <v>1</v>
      </c>
      <c r="G881" s="228">
        <v>1</v>
      </c>
      <c r="H881" s="17">
        <f>F881*D881*G881</f>
        <v>0</v>
      </c>
      <c r="I881" s="72"/>
      <c r="K881" s="47" t="s">
        <v>27</v>
      </c>
      <c r="L881" s="47" t="s">
        <v>12</v>
      </c>
      <c r="M881" s="47" t="s">
        <v>87</v>
      </c>
      <c r="N881" s="47" t="s">
        <v>28</v>
      </c>
      <c r="O881" s="28" t="s">
        <v>86</v>
      </c>
      <c r="P881" s="17"/>
    </row>
    <row r="882" spans="1:16" x14ac:dyDescent="0.25">
      <c r="A882" s="364"/>
      <c r="B882" s="367"/>
      <c r="E882" s="17"/>
      <c r="F882" s="16">
        <v>1</v>
      </c>
      <c r="G882" s="228"/>
      <c r="H882" s="17">
        <f>F882*D882</f>
        <v>0</v>
      </c>
      <c r="I882" s="72"/>
      <c r="K882" s="3"/>
      <c r="L882" s="3">
        <v>2</v>
      </c>
      <c r="M882" s="3"/>
      <c r="N882" s="3"/>
      <c r="O882" s="3"/>
      <c r="P882" s="50" t="s">
        <v>50</v>
      </c>
    </row>
    <row r="883" spans="1:16" ht="16.5" thickBot="1" x14ac:dyDescent="0.3">
      <c r="A883" s="364"/>
      <c r="B883" s="367"/>
      <c r="C883" s="225" t="s">
        <v>47</v>
      </c>
      <c r="D883" s="223"/>
      <c r="E883" s="85"/>
      <c r="F883" s="224"/>
      <c r="G883" s="224"/>
      <c r="H883" s="85">
        <f>F883*D883</f>
        <v>0</v>
      </c>
      <c r="I883" s="86"/>
      <c r="K883" s="214">
        <f>K882/SUM(K882:O882)*I884</f>
        <v>0</v>
      </c>
      <c r="L883" s="214">
        <f>L882/SUM(K882:O882)*$I884</f>
        <v>0</v>
      </c>
      <c r="M883" s="214">
        <f>M882/SUM(K882:O882)*$I884</f>
        <v>0</v>
      </c>
      <c r="N883" s="214">
        <f>N882/SUM(K882:O882)*$I884</f>
        <v>0</v>
      </c>
      <c r="O883" s="214">
        <f>O882/SUM(K882:O882)*$I884</f>
        <v>0</v>
      </c>
      <c r="P883" s="50" t="s">
        <v>90</v>
      </c>
    </row>
    <row r="884" spans="1:16" ht="16.5" thickTop="1" x14ac:dyDescent="0.25">
      <c r="A884" s="365"/>
      <c r="B884" s="368"/>
      <c r="C884" s="9"/>
      <c r="D884" s="9"/>
      <c r="E884" s="64"/>
      <c r="F884" s="222"/>
      <c r="G884" s="222"/>
      <c r="H884" s="64">
        <f>SUM(H880:H883)</f>
        <v>0</v>
      </c>
      <c r="I884" s="74">
        <f>H884*I$6*I$5</f>
        <v>0</v>
      </c>
    </row>
    <row r="886" spans="1:16" x14ac:dyDescent="0.25">
      <c r="A886" s="363">
        <f>A880+1</f>
        <v>45661</v>
      </c>
      <c r="B886" s="366" t="s">
        <v>0</v>
      </c>
      <c r="C886" s="57" t="s">
        <v>72</v>
      </c>
      <c r="D886" s="7"/>
      <c r="E886" s="49"/>
      <c r="F886" s="48">
        <v>1</v>
      </c>
      <c r="G886" s="227"/>
      <c r="H886" s="49">
        <f>F886*D886*G886</f>
        <v>0</v>
      </c>
      <c r="I886" s="55"/>
      <c r="K886" s="369" t="s">
        <v>23</v>
      </c>
      <c r="L886" s="370"/>
      <c r="M886" s="370"/>
      <c r="N886" s="370"/>
      <c r="O886" s="371"/>
    </row>
    <row r="887" spans="1:16" x14ac:dyDescent="0.25">
      <c r="A887" s="364"/>
      <c r="B887" s="367"/>
      <c r="C887" s="21" t="s">
        <v>73</v>
      </c>
      <c r="E887" s="17"/>
      <c r="F887" s="16">
        <v>1</v>
      </c>
      <c r="G887" s="228"/>
      <c r="H887" s="17">
        <f>F887*D887*G887</f>
        <v>0</v>
      </c>
      <c r="I887" s="72"/>
      <c r="K887" s="47" t="s">
        <v>27</v>
      </c>
      <c r="L887" s="47" t="s">
        <v>12</v>
      </c>
      <c r="M887" s="47" t="s">
        <v>87</v>
      </c>
      <c r="N887" s="47" t="s">
        <v>28</v>
      </c>
      <c r="O887" s="28" t="s">
        <v>86</v>
      </c>
      <c r="P887" s="17"/>
    </row>
    <row r="888" spans="1:16" x14ac:dyDescent="0.25">
      <c r="A888" s="364"/>
      <c r="B888" s="367"/>
      <c r="E888" s="17"/>
      <c r="F888" s="16">
        <v>1</v>
      </c>
      <c r="G888" s="228"/>
      <c r="H888" s="17">
        <f>F888*D888</f>
        <v>0</v>
      </c>
      <c r="I888" s="72"/>
      <c r="K888" s="3"/>
      <c r="L888" s="3"/>
      <c r="M888" s="3"/>
      <c r="N888" s="3"/>
      <c r="O888" s="3"/>
      <c r="P888" s="50" t="s">
        <v>50</v>
      </c>
    </row>
    <row r="889" spans="1:16" ht="16.5" thickBot="1" x14ac:dyDescent="0.3">
      <c r="A889" s="364"/>
      <c r="B889" s="367"/>
      <c r="C889" s="225" t="s">
        <v>47</v>
      </c>
      <c r="D889" s="223"/>
      <c r="E889" s="85"/>
      <c r="F889" s="224">
        <v>1</v>
      </c>
      <c r="G889" s="224"/>
      <c r="H889" s="85">
        <f>F889*D889</f>
        <v>0</v>
      </c>
      <c r="I889" s="86"/>
      <c r="K889" s="214" t="e">
        <f>K888/SUM(K888:O888)*I890</f>
        <v>#DIV/0!</v>
      </c>
      <c r="L889" s="214" t="e">
        <f>L888/SUM(K888:O888)*$I890</f>
        <v>#DIV/0!</v>
      </c>
      <c r="M889" s="214" t="e">
        <f>M888/SUM(K888:O888)*$I890</f>
        <v>#DIV/0!</v>
      </c>
      <c r="N889" s="214" t="e">
        <f>N888/SUM(K888:O888)*$I890</f>
        <v>#DIV/0!</v>
      </c>
      <c r="O889" s="214" t="e">
        <f>O888/SUM(K888:O888)*$I890</f>
        <v>#DIV/0!</v>
      </c>
      <c r="P889" s="50" t="s">
        <v>90</v>
      </c>
    </row>
    <row r="890" spans="1:16" ht="16.5" thickTop="1" x14ac:dyDescent="0.25">
      <c r="A890" s="365"/>
      <c r="B890" s="368"/>
      <c r="C890" s="9"/>
      <c r="D890" s="9"/>
      <c r="E890" s="64"/>
      <c r="F890" s="222"/>
      <c r="G890" s="222"/>
      <c r="H890" s="64">
        <f>SUM(H886:H889)</f>
        <v>0</v>
      </c>
      <c r="I890" s="74">
        <f>H890*I$6*I$5</f>
        <v>0</v>
      </c>
    </row>
    <row r="892" spans="1:16" x14ac:dyDescent="0.25">
      <c r="A892" s="363">
        <f>A886+1</f>
        <v>45662</v>
      </c>
      <c r="B892" s="366" t="s">
        <v>1</v>
      </c>
      <c r="C892" s="57" t="s">
        <v>72</v>
      </c>
      <c r="D892" s="7"/>
      <c r="E892" s="49"/>
      <c r="F892" s="48">
        <v>1</v>
      </c>
      <c r="G892" s="227"/>
      <c r="H892" s="49">
        <f>F892*D892*G892</f>
        <v>0</v>
      </c>
      <c r="I892" s="55"/>
      <c r="K892" s="369" t="s">
        <v>23</v>
      </c>
      <c r="L892" s="370"/>
      <c r="M892" s="370"/>
      <c r="N892" s="370"/>
      <c r="O892" s="371"/>
    </row>
    <row r="893" spans="1:16" x14ac:dyDescent="0.25">
      <c r="A893" s="364"/>
      <c r="B893" s="367"/>
      <c r="C893" s="21" t="s">
        <v>73</v>
      </c>
      <c r="E893" s="17"/>
      <c r="F893" s="16">
        <v>1</v>
      </c>
      <c r="G893" s="228"/>
      <c r="H893" s="17">
        <f>F893*D893*G893</f>
        <v>0</v>
      </c>
      <c r="I893" s="72"/>
      <c r="K893" s="47" t="s">
        <v>27</v>
      </c>
      <c r="L893" s="47" t="s">
        <v>12</v>
      </c>
      <c r="M893" s="47" t="s">
        <v>87</v>
      </c>
      <c r="N893" s="47" t="s">
        <v>28</v>
      </c>
      <c r="O893" s="28" t="s">
        <v>86</v>
      </c>
      <c r="P893" s="17"/>
    </row>
    <row r="894" spans="1:16" x14ac:dyDescent="0.25">
      <c r="A894" s="364"/>
      <c r="B894" s="367"/>
      <c r="E894" s="17"/>
      <c r="F894" s="16">
        <v>1</v>
      </c>
      <c r="G894" s="228"/>
      <c r="H894" s="17">
        <f>F894*D894</f>
        <v>0</v>
      </c>
      <c r="I894" s="72"/>
      <c r="K894" s="3"/>
      <c r="L894" s="3"/>
      <c r="M894" s="3"/>
      <c r="N894" s="3"/>
      <c r="O894" s="3"/>
      <c r="P894" s="50" t="s">
        <v>50</v>
      </c>
    </row>
    <row r="895" spans="1:16" ht="16.5" thickBot="1" x14ac:dyDescent="0.3">
      <c r="A895" s="364"/>
      <c r="B895" s="367"/>
      <c r="C895" s="225" t="s">
        <v>47</v>
      </c>
      <c r="D895" s="223"/>
      <c r="E895" s="85"/>
      <c r="F895" s="224">
        <v>1</v>
      </c>
      <c r="G895" s="224"/>
      <c r="H895" s="85">
        <f>F895*D895</f>
        <v>0</v>
      </c>
      <c r="I895" s="86"/>
      <c r="K895" s="214" t="e">
        <f>K894/SUM(K894:O894)*I896</f>
        <v>#DIV/0!</v>
      </c>
      <c r="L895" s="214" t="e">
        <f>L894/SUM(K894:O894)*$I896</f>
        <v>#DIV/0!</v>
      </c>
      <c r="M895" s="214" t="e">
        <f>M894/SUM(K894:O894)*$I896</f>
        <v>#DIV/0!</v>
      </c>
      <c r="N895" s="214" t="e">
        <f>N894/SUM(K894:O894)*$I896</f>
        <v>#DIV/0!</v>
      </c>
      <c r="O895" s="214" t="e">
        <f>O894/SUM(K894:O894)*$I896</f>
        <v>#DIV/0!</v>
      </c>
      <c r="P895" s="50" t="s">
        <v>90</v>
      </c>
    </row>
    <row r="896" spans="1:16" ht="16.5" thickTop="1" x14ac:dyDescent="0.25">
      <c r="A896" s="365"/>
      <c r="B896" s="368"/>
      <c r="C896" s="9"/>
      <c r="D896" s="9"/>
      <c r="E896" s="64"/>
      <c r="F896" s="222"/>
      <c r="G896" s="222"/>
      <c r="H896" s="64">
        <f>SUM(H892:H895)</f>
        <v>0</v>
      </c>
      <c r="I896" s="74">
        <f>H896*I$6*I$5</f>
        <v>0</v>
      </c>
    </row>
    <row r="897" spans="1:16" x14ac:dyDescent="0.25">
      <c r="B897" s="9"/>
    </row>
    <row r="898" spans="1:16" x14ac:dyDescent="0.25">
      <c r="A898" s="363">
        <f>A892+1</f>
        <v>45663</v>
      </c>
      <c r="B898" s="366" t="s">
        <v>25</v>
      </c>
      <c r="C898" s="57" t="s">
        <v>72</v>
      </c>
      <c r="D898" s="7"/>
      <c r="E898" s="49"/>
      <c r="F898" s="48">
        <v>1</v>
      </c>
      <c r="G898" s="227"/>
      <c r="H898" s="49">
        <f>F898*D898*G898</f>
        <v>0</v>
      </c>
      <c r="I898" s="55"/>
      <c r="K898" s="369" t="s">
        <v>23</v>
      </c>
      <c r="L898" s="370"/>
      <c r="M898" s="370"/>
      <c r="N898" s="370"/>
      <c r="O898" s="371"/>
    </row>
    <row r="899" spans="1:16" x14ac:dyDescent="0.25">
      <c r="A899" s="364"/>
      <c r="B899" s="367"/>
      <c r="C899" s="21" t="s">
        <v>73</v>
      </c>
      <c r="E899" s="17"/>
      <c r="F899" s="16">
        <v>1</v>
      </c>
      <c r="G899" s="228"/>
      <c r="H899" s="17">
        <f>F899*D899*G899</f>
        <v>0</v>
      </c>
      <c r="I899" s="72"/>
      <c r="K899" s="47" t="s">
        <v>27</v>
      </c>
      <c r="L899" s="47" t="s">
        <v>12</v>
      </c>
      <c r="M899" s="47" t="s">
        <v>87</v>
      </c>
      <c r="N899" s="47" t="s">
        <v>28</v>
      </c>
      <c r="O899" s="28" t="s">
        <v>86</v>
      </c>
      <c r="P899" s="17"/>
    </row>
    <row r="900" spans="1:16" x14ac:dyDescent="0.25">
      <c r="A900" s="364"/>
      <c r="B900" s="367"/>
      <c r="E900" s="17"/>
      <c r="F900" s="16">
        <v>1</v>
      </c>
      <c r="G900" s="228"/>
      <c r="H900" s="17">
        <f>F900*D900</f>
        <v>0</v>
      </c>
      <c r="I900" s="72"/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50" t="s">
        <v>50</v>
      </c>
    </row>
    <row r="901" spans="1:16" ht="16.5" thickBot="1" x14ac:dyDescent="0.3">
      <c r="A901" s="364"/>
      <c r="B901" s="367"/>
      <c r="C901" s="225" t="s">
        <v>47</v>
      </c>
      <c r="D901" s="223"/>
      <c r="E901" s="85"/>
      <c r="F901" s="224"/>
      <c r="G901" s="224"/>
      <c r="H901" s="85">
        <f>F901*D901</f>
        <v>0</v>
      </c>
      <c r="I901" s="86"/>
      <c r="K901" s="214" t="e">
        <f>K900/SUM(K900:O900)*I902</f>
        <v>#DIV/0!</v>
      </c>
      <c r="L901" s="214" t="e">
        <f>L900/SUM(K900:O900)*$I902</f>
        <v>#DIV/0!</v>
      </c>
      <c r="M901" s="214" t="e">
        <f>M900/SUM(K900:O900)*$I902</f>
        <v>#DIV/0!</v>
      </c>
      <c r="N901" s="214" t="e">
        <f>N900/SUM(K900:O900)*$I902</f>
        <v>#DIV/0!</v>
      </c>
      <c r="O901" s="214" t="e">
        <f>O900/SUM(K900:O900)*$I902</f>
        <v>#DIV/0!</v>
      </c>
      <c r="P901" s="50" t="s">
        <v>90</v>
      </c>
    </row>
    <row r="902" spans="1:16" ht="16.5" thickTop="1" x14ac:dyDescent="0.25">
      <c r="A902" s="365"/>
      <c r="B902" s="368"/>
      <c r="C902" s="9"/>
      <c r="D902" s="9"/>
      <c r="E902" s="64"/>
      <c r="F902" s="222"/>
      <c r="G902" s="222"/>
      <c r="H902" s="64">
        <f>SUM(H898:H901)</f>
        <v>0</v>
      </c>
      <c r="I902" s="74">
        <f>H902*I$6*I$5</f>
        <v>0</v>
      </c>
    </row>
    <row r="904" spans="1:16" x14ac:dyDescent="0.25">
      <c r="A904" s="363">
        <f>A898+1</f>
        <v>45664</v>
      </c>
      <c r="B904" s="366" t="s">
        <v>3</v>
      </c>
      <c r="C904" s="57" t="s">
        <v>72</v>
      </c>
      <c r="D904" s="7"/>
      <c r="E904" s="49"/>
      <c r="F904" s="48">
        <v>1</v>
      </c>
      <c r="G904" s="227">
        <v>1</v>
      </c>
      <c r="H904" s="49">
        <f>F904*D904*G904</f>
        <v>0</v>
      </c>
      <c r="I904" s="55"/>
      <c r="K904" s="369" t="s">
        <v>23</v>
      </c>
      <c r="L904" s="370"/>
      <c r="M904" s="370"/>
      <c r="N904" s="370"/>
      <c r="O904" s="371"/>
    </row>
    <row r="905" spans="1:16" x14ac:dyDescent="0.25">
      <c r="A905" s="364"/>
      <c r="B905" s="367"/>
      <c r="C905" s="21" t="s">
        <v>73</v>
      </c>
      <c r="E905" s="17"/>
      <c r="F905" s="16">
        <v>1</v>
      </c>
      <c r="G905" s="228">
        <v>1</v>
      </c>
      <c r="H905" s="17">
        <f>F905*D905*G905</f>
        <v>0</v>
      </c>
      <c r="I905" s="72"/>
      <c r="K905" s="47" t="s">
        <v>27</v>
      </c>
      <c r="L905" s="47" t="s">
        <v>12</v>
      </c>
      <c r="M905" s="47" t="s">
        <v>87</v>
      </c>
      <c r="N905" s="47" t="s">
        <v>28</v>
      </c>
      <c r="O905" s="28" t="s">
        <v>86</v>
      </c>
      <c r="P905" s="17"/>
    </row>
    <row r="906" spans="1:16" x14ac:dyDescent="0.25">
      <c r="A906" s="364"/>
      <c r="B906" s="367"/>
      <c r="E906" s="17"/>
      <c r="F906" s="16">
        <v>1</v>
      </c>
      <c r="G906" s="228"/>
      <c r="H906" s="17">
        <f>F906*D906</f>
        <v>0</v>
      </c>
      <c r="I906" s="72"/>
      <c r="K906" s="3"/>
      <c r="L906" s="3"/>
      <c r="M906" s="3"/>
      <c r="N906" s="3"/>
      <c r="O906" s="3"/>
      <c r="P906" s="50" t="s">
        <v>50</v>
      </c>
    </row>
    <row r="907" spans="1:16" ht="16.5" thickBot="1" x14ac:dyDescent="0.3">
      <c r="A907" s="364"/>
      <c r="B907" s="367"/>
      <c r="C907" s="225" t="s">
        <v>47</v>
      </c>
      <c r="D907" s="223"/>
      <c r="E907" s="85"/>
      <c r="F907" s="224"/>
      <c r="G907" s="224"/>
      <c r="H907" s="85">
        <f>F907*D907</f>
        <v>0</v>
      </c>
      <c r="I907" s="86"/>
      <c r="K907" s="214" t="e">
        <f>K906/SUM(K906:O906)*I908</f>
        <v>#DIV/0!</v>
      </c>
      <c r="L907" s="214" t="e">
        <f>L906/SUM(K906:O906)*$I908</f>
        <v>#DIV/0!</v>
      </c>
      <c r="M907" s="214" t="e">
        <f>M906/SUM(K906:O906)*$I908</f>
        <v>#DIV/0!</v>
      </c>
      <c r="N907" s="214" t="e">
        <f>N906/SUM(K906:O906)*$I908</f>
        <v>#DIV/0!</v>
      </c>
      <c r="O907" s="214" t="e">
        <f>O906/SUM(K906:O906)*$I908</f>
        <v>#DIV/0!</v>
      </c>
      <c r="P907" s="50" t="s">
        <v>90</v>
      </c>
    </row>
    <row r="908" spans="1:16" ht="16.5" thickTop="1" x14ac:dyDescent="0.25">
      <c r="A908" s="365"/>
      <c r="B908" s="368"/>
      <c r="C908" s="9"/>
      <c r="D908" s="9"/>
      <c r="E908" s="64"/>
      <c r="F908" s="222"/>
      <c r="G908" s="222"/>
      <c r="H908" s="64">
        <f>SUM(H904:H907)</f>
        <v>0</v>
      </c>
      <c r="I908" s="74">
        <f>H908*I$6*I$5</f>
        <v>0</v>
      </c>
    </row>
    <row r="910" spans="1:16" x14ac:dyDescent="0.25">
      <c r="A910" s="363">
        <f>A904+1</f>
        <v>45665</v>
      </c>
      <c r="B910" s="366" t="s">
        <v>24</v>
      </c>
      <c r="C910" s="57" t="s">
        <v>72</v>
      </c>
      <c r="D910" s="7"/>
      <c r="E910" s="49"/>
      <c r="F910" s="48">
        <v>1</v>
      </c>
      <c r="G910" s="227">
        <v>1</v>
      </c>
      <c r="H910" s="49">
        <f>F910*D910*G910</f>
        <v>0</v>
      </c>
      <c r="I910" s="55"/>
      <c r="K910" s="369" t="s">
        <v>23</v>
      </c>
      <c r="L910" s="370"/>
      <c r="M910" s="370"/>
      <c r="N910" s="370"/>
      <c r="O910" s="371"/>
    </row>
    <row r="911" spans="1:16" x14ac:dyDescent="0.25">
      <c r="A911" s="364"/>
      <c r="B911" s="367"/>
      <c r="C911" s="21" t="s">
        <v>73</v>
      </c>
      <c r="E911" s="17"/>
      <c r="F911" s="16">
        <v>1</v>
      </c>
      <c r="G911" s="228">
        <v>1</v>
      </c>
      <c r="H911" s="17">
        <f>F911*D911*G911</f>
        <v>0</v>
      </c>
      <c r="I911" s="72"/>
      <c r="K911" s="47" t="s">
        <v>27</v>
      </c>
      <c r="L911" s="47" t="s">
        <v>12</v>
      </c>
      <c r="M911" s="47" t="s">
        <v>87</v>
      </c>
      <c r="N911" s="47" t="s">
        <v>28</v>
      </c>
      <c r="O911" s="28" t="s">
        <v>86</v>
      </c>
      <c r="P911" s="17"/>
    </row>
    <row r="912" spans="1:16" x14ac:dyDescent="0.25">
      <c r="A912" s="364"/>
      <c r="B912" s="367"/>
      <c r="E912" s="17"/>
      <c r="F912" s="16">
        <v>1</v>
      </c>
      <c r="G912" s="228"/>
      <c r="H912" s="17">
        <f>F912*D912</f>
        <v>0</v>
      </c>
      <c r="I912" s="72"/>
      <c r="K912" s="3"/>
      <c r="L912" s="3"/>
      <c r="M912" s="3"/>
      <c r="N912" s="3"/>
      <c r="O912" s="3"/>
      <c r="P912" s="50" t="s">
        <v>50</v>
      </c>
    </row>
    <row r="913" spans="1:16" ht="16.5" thickBot="1" x14ac:dyDescent="0.3">
      <c r="A913" s="364"/>
      <c r="B913" s="367"/>
      <c r="C913" s="225" t="s">
        <v>47</v>
      </c>
      <c r="D913" s="223"/>
      <c r="E913" s="85"/>
      <c r="F913" s="224"/>
      <c r="G913" s="224"/>
      <c r="H913" s="85">
        <f>F913*D913</f>
        <v>0</v>
      </c>
      <c r="I913" s="86"/>
      <c r="K913" s="214" t="e">
        <f>K912/SUM(K912:O912)*I914</f>
        <v>#DIV/0!</v>
      </c>
      <c r="L913" s="214" t="e">
        <f>L912/SUM(K912:O912)*$I914</f>
        <v>#DIV/0!</v>
      </c>
      <c r="M913" s="214" t="e">
        <f>M912/SUM(K912:O912)*$I914</f>
        <v>#DIV/0!</v>
      </c>
      <c r="N913" s="214" t="e">
        <f>N912/SUM(K912:O912)*$I914</f>
        <v>#DIV/0!</v>
      </c>
      <c r="O913" s="214" t="e">
        <f>O912/SUM(K912:O912)*$I914</f>
        <v>#DIV/0!</v>
      </c>
      <c r="P913" s="50" t="s">
        <v>90</v>
      </c>
    </row>
    <row r="914" spans="1:16" ht="16.5" thickTop="1" x14ac:dyDescent="0.25">
      <c r="A914" s="365"/>
      <c r="B914" s="368"/>
      <c r="C914" s="9"/>
      <c r="D914" s="9"/>
      <c r="E914" s="64"/>
      <c r="F914" s="222"/>
      <c r="G914" s="222"/>
      <c r="H914" s="64">
        <f>SUM(H910:H913)</f>
        <v>0</v>
      </c>
      <c r="I914" s="74">
        <f>H914*I$6*I$5</f>
        <v>0</v>
      </c>
    </row>
    <row r="916" spans="1:16" x14ac:dyDescent="0.25">
      <c r="A916" s="363">
        <f>A910+1</f>
        <v>45666</v>
      </c>
      <c r="B916" s="366" t="s">
        <v>5</v>
      </c>
      <c r="C916" s="57" t="s">
        <v>72</v>
      </c>
      <c r="D916" s="7"/>
      <c r="E916" s="49"/>
      <c r="F916" s="48">
        <v>1</v>
      </c>
      <c r="G916" s="227"/>
      <c r="H916" s="49">
        <f>F916*D916*G916</f>
        <v>0</v>
      </c>
      <c r="I916" s="55"/>
      <c r="K916" s="369" t="s">
        <v>23</v>
      </c>
      <c r="L916" s="370"/>
      <c r="M916" s="370"/>
      <c r="N916" s="370"/>
      <c r="O916" s="371"/>
    </row>
    <row r="917" spans="1:16" x14ac:dyDescent="0.25">
      <c r="A917" s="364"/>
      <c r="B917" s="367"/>
      <c r="C917" s="21" t="s">
        <v>73</v>
      </c>
      <c r="E917" s="17"/>
      <c r="F917" s="16">
        <v>1</v>
      </c>
      <c r="G917" s="228"/>
      <c r="H917" s="17">
        <f>F917*D917*G917</f>
        <v>0</v>
      </c>
      <c r="I917" s="72"/>
      <c r="K917" s="47" t="s">
        <v>27</v>
      </c>
      <c r="L917" s="47" t="s">
        <v>12</v>
      </c>
      <c r="M917" s="47" t="s">
        <v>87</v>
      </c>
      <c r="N917" s="47" t="s">
        <v>28</v>
      </c>
      <c r="O917" s="28" t="s">
        <v>86</v>
      </c>
      <c r="P917" s="17"/>
    </row>
    <row r="918" spans="1:16" x14ac:dyDescent="0.25">
      <c r="A918" s="364"/>
      <c r="B918" s="367"/>
      <c r="E918" s="17"/>
      <c r="F918" s="16">
        <v>1</v>
      </c>
      <c r="G918" s="228"/>
      <c r="H918" s="17">
        <f>F918*D918</f>
        <v>0</v>
      </c>
      <c r="I918" s="72"/>
      <c r="K918" s="3"/>
      <c r="L918" s="3"/>
      <c r="M918" s="3"/>
      <c r="N918" s="3"/>
      <c r="O918" s="3"/>
      <c r="P918" s="50" t="s">
        <v>50</v>
      </c>
    </row>
    <row r="919" spans="1:16" ht="16.5" thickBot="1" x14ac:dyDescent="0.3">
      <c r="A919" s="364"/>
      <c r="B919" s="367"/>
      <c r="C919" s="225" t="s">
        <v>47</v>
      </c>
      <c r="D919" s="223"/>
      <c r="E919" s="85"/>
      <c r="F919" s="224">
        <v>1</v>
      </c>
      <c r="G919" s="224"/>
      <c r="H919" s="85">
        <f>F919*D919</f>
        <v>0</v>
      </c>
      <c r="I919" s="86"/>
      <c r="K919" s="214" t="e">
        <f>K918/SUM(K918:O918)*I920</f>
        <v>#DIV/0!</v>
      </c>
      <c r="L919" s="214" t="e">
        <f>L918/SUM(K918:O918)*$I920</f>
        <v>#DIV/0!</v>
      </c>
      <c r="M919" s="214" t="e">
        <f>M918/SUM(K918:O918)*$I920</f>
        <v>#DIV/0!</v>
      </c>
      <c r="N919" s="214" t="e">
        <f>N918/SUM(K918:O918)*$I920</f>
        <v>#DIV/0!</v>
      </c>
      <c r="O919" s="214" t="e">
        <f>O918/SUM(K918:O918)*$I920</f>
        <v>#DIV/0!</v>
      </c>
      <c r="P919" s="50" t="s">
        <v>90</v>
      </c>
    </row>
    <row r="920" spans="1:16" ht="16.5" thickTop="1" x14ac:dyDescent="0.25">
      <c r="A920" s="365"/>
      <c r="B920" s="368"/>
      <c r="C920" s="9"/>
      <c r="D920" s="9"/>
      <c r="E920" s="64"/>
      <c r="F920" s="222"/>
      <c r="G920" s="222"/>
      <c r="H920" s="64">
        <f>SUM(H916:H919)</f>
        <v>0</v>
      </c>
      <c r="I920" s="74">
        <f>H920*I$6*I$5</f>
        <v>0</v>
      </c>
    </row>
    <row r="922" spans="1:16" x14ac:dyDescent="0.25">
      <c r="A922" s="363">
        <f>A916+1</f>
        <v>45667</v>
      </c>
      <c r="B922" s="366" t="s">
        <v>6</v>
      </c>
      <c r="C922" s="57" t="s">
        <v>72</v>
      </c>
      <c r="D922" s="7"/>
      <c r="E922" s="49"/>
      <c r="F922" s="48">
        <v>1</v>
      </c>
      <c r="G922" s="227">
        <v>1</v>
      </c>
      <c r="H922" s="49">
        <f>F922*D922*G922</f>
        <v>0</v>
      </c>
      <c r="I922" s="55"/>
      <c r="K922" s="369" t="s">
        <v>23</v>
      </c>
      <c r="L922" s="370"/>
      <c r="M922" s="370"/>
      <c r="N922" s="370"/>
      <c r="O922" s="371"/>
    </row>
    <row r="923" spans="1:16" x14ac:dyDescent="0.25">
      <c r="A923" s="364"/>
      <c r="B923" s="367"/>
      <c r="C923" s="21" t="s">
        <v>73</v>
      </c>
      <c r="E923" s="17"/>
      <c r="F923" s="16">
        <v>1</v>
      </c>
      <c r="G923" s="228">
        <v>1</v>
      </c>
      <c r="H923" s="17">
        <f>F923*D923*G923</f>
        <v>0</v>
      </c>
      <c r="I923" s="72"/>
      <c r="K923" s="47" t="s">
        <v>27</v>
      </c>
      <c r="L923" s="47" t="s">
        <v>12</v>
      </c>
      <c r="M923" s="47" t="s">
        <v>87</v>
      </c>
      <c r="N923" s="47" t="s">
        <v>28</v>
      </c>
      <c r="O923" s="28" t="s">
        <v>86</v>
      </c>
      <c r="P923" s="17"/>
    </row>
    <row r="924" spans="1:16" x14ac:dyDescent="0.25">
      <c r="A924" s="364"/>
      <c r="B924" s="367"/>
      <c r="E924" s="17"/>
      <c r="F924" s="16">
        <v>1</v>
      </c>
      <c r="G924" s="228"/>
      <c r="H924" s="17">
        <f>F924*D924</f>
        <v>0</v>
      </c>
      <c r="I924" s="72"/>
      <c r="K924" s="3"/>
      <c r="L924" s="3"/>
      <c r="M924" s="3"/>
      <c r="N924" s="3"/>
      <c r="O924" s="3"/>
      <c r="P924" s="50" t="s">
        <v>50</v>
      </c>
    </row>
    <row r="925" spans="1:16" ht="16.5" thickBot="1" x14ac:dyDescent="0.3">
      <c r="A925" s="364"/>
      <c r="B925" s="367"/>
      <c r="C925" s="225" t="s">
        <v>47</v>
      </c>
      <c r="D925" s="223"/>
      <c r="E925" s="85"/>
      <c r="F925" s="224"/>
      <c r="G925" s="224"/>
      <c r="H925" s="85">
        <f>F925*D925</f>
        <v>0</v>
      </c>
      <c r="I925" s="86"/>
      <c r="K925" s="214" t="e">
        <f>K924/SUM(K924:O924)*I926</f>
        <v>#DIV/0!</v>
      </c>
      <c r="L925" s="214" t="e">
        <f>L924/SUM(K924:O924)*$I926</f>
        <v>#DIV/0!</v>
      </c>
      <c r="M925" s="214" t="e">
        <f>M924/SUM(K924:O924)*$I926</f>
        <v>#DIV/0!</v>
      </c>
      <c r="N925" s="214" t="e">
        <f>N924/SUM(K924:O924)*$I926</f>
        <v>#DIV/0!</v>
      </c>
      <c r="O925" s="214" t="e">
        <f>O924/SUM(K924:O924)*$I926</f>
        <v>#DIV/0!</v>
      </c>
      <c r="P925" s="50" t="s">
        <v>90</v>
      </c>
    </row>
    <row r="926" spans="1:16" ht="16.5" thickTop="1" x14ac:dyDescent="0.25">
      <c r="A926" s="365"/>
      <c r="B926" s="368"/>
      <c r="C926" s="9"/>
      <c r="D926" s="9"/>
      <c r="E926" s="64"/>
      <c r="F926" s="222"/>
      <c r="G926" s="222"/>
      <c r="H926" s="64">
        <f>SUM(H922:H925)</f>
        <v>0</v>
      </c>
      <c r="I926" s="74">
        <f>H926*I$6*I$5</f>
        <v>0</v>
      </c>
    </row>
    <row r="928" spans="1:16" x14ac:dyDescent="0.25">
      <c r="A928" s="363">
        <f>A922+1</f>
        <v>45668</v>
      </c>
      <c r="B928" s="366" t="s">
        <v>0</v>
      </c>
      <c r="C928" s="57" t="s">
        <v>72</v>
      </c>
      <c r="D928" s="7"/>
      <c r="E928" s="49"/>
      <c r="F928" s="48">
        <v>1</v>
      </c>
      <c r="G928" s="227"/>
      <c r="H928" s="49">
        <f>F928*D928*G928</f>
        <v>0</v>
      </c>
      <c r="I928" s="55"/>
      <c r="K928" s="369" t="s">
        <v>23</v>
      </c>
      <c r="L928" s="370"/>
      <c r="M928" s="370"/>
      <c r="N928" s="370"/>
      <c r="O928" s="371"/>
    </row>
    <row r="929" spans="1:16" x14ac:dyDescent="0.25">
      <c r="A929" s="364"/>
      <c r="B929" s="367"/>
      <c r="C929" s="21" t="s">
        <v>73</v>
      </c>
      <c r="E929" s="17"/>
      <c r="F929" s="16">
        <v>1</v>
      </c>
      <c r="G929" s="228"/>
      <c r="H929" s="17">
        <f>F929*D929*G929</f>
        <v>0</v>
      </c>
      <c r="I929" s="72"/>
      <c r="K929" s="47" t="s">
        <v>27</v>
      </c>
      <c r="L929" s="47" t="s">
        <v>12</v>
      </c>
      <c r="M929" s="47" t="s">
        <v>87</v>
      </c>
      <c r="N929" s="47" t="s">
        <v>28</v>
      </c>
      <c r="O929" s="28" t="s">
        <v>86</v>
      </c>
      <c r="P929" s="17"/>
    </row>
    <row r="930" spans="1:16" x14ac:dyDescent="0.25">
      <c r="A930" s="364"/>
      <c r="B930" s="367"/>
      <c r="E930" s="17"/>
      <c r="F930" s="16">
        <v>1</v>
      </c>
      <c r="G930" s="228"/>
      <c r="H930" s="17">
        <f>F930*D930</f>
        <v>0</v>
      </c>
      <c r="I930" s="72"/>
      <c r="K930" s="3"/>
      <c r="L930" s="3"/>
      <c r="M930" s="3"/>
      <c r="N930" s="3"/>
      <c r="O930" s="3"/>
      <c r="P930" s="50" t="s">
        <v>50</v>
      </c>
    </row>
    <row r="931" spans="1:16" ht="16.5" thickBot="1" x14ac:dyDescent="0.3">
      <c r="A931" s="364"/>
      <c r="B931" s="367"/>
      <c r="C931" s="225" t="s">
        <v>47</v>
      </c>
      <c r="D931" s="223"/>
      <c r="E931" s="85"/>
      <c r="F931" s="224">
        <v>1</v>
      </c>
      <c r="G931" s="224"/>
      <c r="H931" s="85">
        <f>F931*D931</f>
        <v>0</v>
      </c>
      <c r="I931" s="86"/>
      <c r="K931" s="214" t="e">
        <f>K930/SUM(K930:O930)*I932</f>
        <v>#DIV/0!</v>
      </c>
      <c r="L931" s="214" t="e">
        <f>L930/SUM(K930:O930)*$I932</f>
        <v>#DIV/0!</v>
      </c>
      <c r="M931" s="214" t="e">
        <f>M930/SUM(K930:O930)*$I932</f>
        <v>#DIV/0!</v>
      </c>
      <c r="N931" s="214" t="e">
        <f>N930/SUM(K930:O930)*$I932</f>
        <v>#DIV/0!</v>
      </c>
      <c r="O931" s="214" t="e">
        <f>O930/SUM(K930:O930)*$I932</f>
        <v>#DIV/0!</v>
      </c>
      <c r="P931" s="50" t="s">
        <v>90</v>
      </c>
    </row>
    <row r="932" spans="1:16" ht="16.5" thickTop="1" x14ac:dyDescent="0.25">
      <c r="A932" s="365"/>
      <c r="B932" s="368"/>
      <c r="C932" s="9"/>
      <c r="D932" s="9"/>
      <c r="E932" s="64"/>
      <c r="F932" s="222"/>
      <c r="G932" s="222"/>
      <c r="H932" s="64">
        <f>SUM(H928:H931)</f>
        <v>0</v>
      </c>
      <c r="I932" s="74">
        <f>H932*I$6*I$5</f>
        <v>0</v>
      </c>
    </row>
    <row r="934" spans="1:16" x14ac:dyDescent="0.25">
      <c r="A934" s="363">
        <f>A928+1</f>
        <v>45669</v>
      </c>
      <c r="B934" s="366" t="s">
        <v>1</v>
      </c>
      <c r="C934" s="57" t="s">
        <v>72</v>
      </c>
      <c r="D934" s="7"/>
      <c r="E934" s="49"/>
      <c r="F934" s="48">
        <v>1</v>
      </c>
      <c r="G934" s="227"/>
      <c r="H934" s="49">
        <f>F934*D934*G934</f>
        <v>0</v>
      </c>
      <c r="I934" s="55"/>
      <c r="K934" s="369" t="s">
        <v>23</v>
      </c>
      <c r="L934" s="370"/>
      <c r="M934" s="370"/>
      <c r="N934" s="370"/>
      <c r="O934" s="371"/>
    </row>
    <row r="935" spans="1:16" x14ac:dyDescent="0.25">
      <c r="A935" s="364"/>
      <c r="B935" s="367"/>
      <c r="C935" s="21" t="s">
        <v>73</v>
      </c>
      <c r="E935" s="17"/>
      <c r="F935" s="16">
        <v>1</v>
      </c>
      <c r="G935" s="228"/>
      <c r="H935" s="17">
        <f>F935*D935*G935</f>
        <v>0</v>
      </c>
      <c r="I935" s="72"/>
      <c r="K935" s="47" t="s">
        <v>27</v>
      </c>
      <c r="L935" s="47" t="s">
        <v>12</v>
      </c>
      <c r="M935" s="47" t="s">
        <v>87</v>
      </c>
      <c r="N935" s="47" t="s">
        <v>28</v>
      </c>
      <c r="O935" s="28" t="s">
        <v>86</v>
      </c>
      <c r="P935" s="17"/>
    </row>
    <row r="936" spans="1:16" x14ac:dyDescent="0.25">
      <c r="A936" s="364"/>
      <c r="B936" s="367"/>
      <c r="E936" s="17"/>
      <c r="F936" s="16">
        <v>1</v>
      </c>
      <c r="G936" s="228"/>
      <c r="H936" s="17">
        <f>F936*D936</f>
        <v>0</v>
      </c>
      <c r="I936" s="72"/>
      <c r="K936" s="3"/>
      <c r="L936" s="3"/>
      <c r="M936" s="3"/>
      <c r="N936" s="3"/>
      <c r="O936" s="3"/>
      <c r="P936" s="50" t="s">
        <v>50</v>
      </c>
    </row>
    <row r="937" spans="1:16" ht="16.5" thickBot="1" x14ac:dyDescent="0.3">
      <c r="A937" s="364"/>
      <c r="B937" s="367"/>
      <c r="C937" s="225" t="s">
        <v>47</v>
      </c>
      <c r="D937" s="223"/>
      <c r="E937" s="85"/>
      <c r="F937" s="224">
        <v>1</v>
      </c>
      <c r="G937" s="224"/>
      <c r="H937" s="85">
        <f>F937*D937</f>
        <v>0</v>
      </c>
      <c r="I937" s="86"/>
      <c r="K937" s="214" t="e">
        <f>K936/SUM(K936:O936)*I938</f>
        <v>#DIV/0!</v>
      </c>
      <c r="L937" s="214" t="e">
        <f>L936/SUM(K936:O936)*$I938</f>
        <v>#DIV/0!</v>
      </c>
      <c r="M937" s="214" t="e">
        <f>M936/SUM(K936:O936)*$I938</f>
        <v>#DIV/0!</v>
      </c>
      <c r="N937" s="214" t="e">
        <f>N936/SUM(K936:O936)*$I938</f>
        <v>#DIV/0!</v>
      </c>
      <c r="O937" s="214" t="e">
        <f>O936/SUM(K936:O936)*$I938</f>
        <v>#DIV/0!</v>
      </c>
      <c r="P937" s="50" t="s">
        <v>90</v>
      </c>
    </row>
    <row r="938" spans="1:16" ht="16.5" thickTop="1" x14ac:dyDescent="0.25">
      <c r="A938" s="365"/>
      <c r="B938" s="368"/>
      <c r="C938" s="9"/>
      <c r="D938" s="9"/>
      <c r="E938" s="64"/>
      <c r="F938" s="222"/>
      <c r="G938" s="222"/>
      <c r="H938" s="64">
        <f>SUM(H934:H937)</f>
        <v>0</v>
      </c>
      <c r="I938" s="74">
        <f>H938*I$6*I$5</f>
        <v>0</v>
      </c>
    </row>
    <row r="939" spans="1:16" x14ac:dyDescent="0.25">
      <c r="B939" s="9"/>
    </row>
    <row r="940" spans="1:16" x14ac:dyDescent="0.25">
      <c r="A940" s="363">
        <f>A934+1</f>
        <v>45670</v>
      </c>
      <c r="B940" s="366" t="s">
        <v>25</v>
      </c>
      <c r="C940" s="57" t="s">
        <v>72</v>
      </c>
      <c r="D940" s="7"/>
      <c r="E940" s="49"/>
      <c r="F940" s="48">
        <v>1</v>
      </c>
      <c r="G940" s="227">
        <v>1</v>
      </c>
      <c r="H940" s="49">
        <f>F940*D940*G940</f>
        <v>0</v>
      </c>
      <c r="I940" s="55"/>
      <c r="K940" s="369" t="s">
        <v>23</v>
      </c>
      <c r="L940" s="370"/>
      <c r="M940" s="370"/>
      <c r="N940" s="370"/>
      <c r="O940" s="371"/>
    </row>
    <row r="941" spans="1:16" x14ac:dyDescent="0.25">
      <c r="A941" s="364"/>
      <c r="B941" s="367"/>
      <c r="C941" s="21" t="s">
        <v>73</v>
      </c>
      <c r="E941" s="17"/>
      <c r="F941" s="16">
        <v>1</v>
      </c>
      <c r="G941" s="228"/>
      <c r="H941" s="17">
        <f>F941*D941*G941</f>
        <v>0</v>
      </c>
      <c r="I941" s="72"/>
      <c r="K941" s="47" t="s">
        <v>27</v>
      </c>
      <c r="L941" s="47" t="s">
        <v>12</v>
      </c>
      <c r="M941" s="47" t="s">
        <v>87</v>
      </c>
      <c r="N941" s="47" t="s">
        <v>28</v>
      </c>
      <c r="O941" s="28" t="s">
        <v>86</v>
      </c>
      <c r="P941" s="17"/>
    </row>
    <row r="942" spans="1:16" x14ac:dyDescent="0.25">
      <c r="A942" s="364"/>
      <c r="B942" s="367"/>
      <c r="E942" s="17"/>
      <c r="F942" s="16">
        <v>1</v>
      </c>
      <c r="G942" s="228"/>
      <c r="H942" s="17">
        <f>F942*D942</f>
        <v>0</v>
      </c>
      <c r="I942" s="72"/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50" t="s">
        <v>50</v>
      </c>
    </row>
    <row r="943" spans="1:16" ht="16.5" thickBot="1" x14ac:dyDescent="0.3">
      <c r="A943" s="364"/>
      <c r="B943" s="367"/>
      <c r="C943" s="225" t="s">
        <v>47</v>
      </c>
      <c r="D943" s="223"/>
      <c r="E943" s="85"/>
      <c r="F943" s="224"/>
      <c r="G943" s="224"/>
      <c r="H943" s="85">
        <f>F943*D943</f>
        <v>0</v>
      </c>
      <c r="I943" s="86"/>
      <c r="K943" s="214" t="e">
        <f>K942/SUM(K942:O942)*I944</f>
        <v>#DIV/0!</v>
      </c>
      <c r="L943" s="214" t="e">
        <f>L942/SUM(K942:O942)*$I944</f>
        <v>#DIV/0!</v>
      </c>
      <c r="M943" s="214" t="e">
        <f>M942/SUM(K942:O942)*$I944</f>
        <v>#DIV/0!</v>
      </c>
      <c r="N943" s="214" t="e">
        <f>N942/SUM(K942:O942)*$I944</f>
        <v>#DIV/0!</v>
      </c>
      <c r="O943" s="214" t="e">
        <f>O942/SUM(K942:O942)*$I944</f>
        <v>#DIV/0!</v>
      </c>
      <c r="P943" s="50" t="s">
        <v>90</v>
      </c>
    </row>
    <row r="944" spans="1:16" ht="16.5" thickTop="1" x14ac:dyDescent="0.25">
      <c r="A944" s="365"/>
      <c r="B944" s="368"/>
      <c r="C944" s="9"/>
      <c r="D944" s="9"/>
      <c r="E944" s="64"/>
      <c r="F944" s="222"/>
      <c r="G944" s="222"/>
      <c r="H944" s="64">
        <f>SUM(H940:H943)</f>
        <v>0</v>
      </c>
      <c r="I944" s="74">
        <f>H944*I$6*I$5</f>
        <v>0</v>
      </c>
    </row>
    <row r="946" spans="1:16" x14ac:dyDescent="0.25">
      <c r="A946" s="363">
        <f>A940+1</f>
        <v>45671</v>
      </c>
      <c r="B946" s="366" t="s">
        <v>3</v>
      </c>
      <c r="C946" s="57" t="s">
        <v>72</v>
      </c>
      <c r="D946" s="7"/>
      <c r="E946" s="49"/>
      <c r="F946" s="48">
        <v>1</v>
      </c>
      <c r="G946" s="227">
        <v>1</v>
      </c>
      <c r="H946" s="49">
        <f>F946*D946*G946</f>
        <v>0</v>
      </c>
      <c r="I946" s="55"/>
      <c r="K946" s="369" t="s">
        <v>23</v>
      </c>
      <c r="L946" s="370"/>
      <c r="M946" s="370"/>
      <c r="N946" s="370"/>
      <c r="O946" s="371"/>
    </row>
    <row r="947" spans="1:16" x14ac:dyDescent="0.25">
      <c r="A947" s="364"/>
      <c r="B947" s="367"/>
      <c r="C947" s="21" t="s">
        <v>73</v>
      </c>
      <c r="E947" s="17"/>
      <c r="F947" s="16">
        <v>1</v>
      </c>
      <c r="G947" s="228">
        <v>1</v>
      </c>
      <c r="H947" s="17">
        <f>F947*D947*G947</f>
        <v>0</v>
      </c>
      <c r="I947" s="72"/>
      <c r="K947" s="47" t="s">
        <v>27</v>
      </c>
      <c r="L947" s="47" t="s">
        <v>12</v>
      </c>
      <c r="M947" s="47" t="s">
        <v>87</v>
      </c>
      <c r="N947" s="47" t="s">
        <v>28</v>
      </c>
      <c r="O947" s="28" t="s">
        <v>86</v>
      </c>
      <c r="P947" s="17"/>
    </row>
    <row r="948" spans="1:16" x14ac:dyDescent="0.25">
      <c r="A948" s="364"/>
      <c r="B948" s="367"/>
      <c r="E948" s="17"/>
      <c r="F948" s="16">
        <v>1</v>
      </c>
      <c r="G948" s="228"/>
      <c r="H948" s="17">
        <f>F948*D948</f>
        <v>0</v>
      </c>
      <c r="I948" s="72"/>
      <c r="K948" s="3"/>
      <c r="L948" s="3"/>
      <c r="M948" s="3"/>
      <c r="N948" s="3"/>
      <c r="O948" s="3"/>
      <c r="P948" s="50" t="s">
        <v>50</v>
      </c>
    </row>
    <row r="949" spans="1:16" ht="16.5" thickBot="1" x14ac:dyDescent="0.3">
      <c r="A949" s="364"/>
      <c r="B949" s="367"/>
      <c r="C949" s="225" t="s">
        <v>47</v>
      </c>
      <c r="D949" s="223"/>
      <c r="E949" s="85"/>
      <c r="F949" s="224"/>
      <c r="G949" s="224"/>
      <c r="H949" s="85">
        <f>F949*D949</f>
        <v>0</v>
      </c>
      <c r="I949" s="86"/>
      <c r="K949" s="214"/>
      <c r="L949" s="214"/>
      <c r="M949" s="214"/>
      <c r="N949" s="214"/>
      <c r="O949" s="214"/>
      <c r="P949" s="50" t="s">
        <v>90</v>
      </c>
    </row>
    <row r="950" spans="1:16" ht="16.5" thickTop="1" x14ac:dyDescent="0.25">
      <c r="A950" s="365"/>
      <c r="B950" s="368"/>
      <c r="C950" s="9"/>
      <c r="D950" s="9"/>
      <c r="E950" s="64"/>
      <c r="F950" s="222"/>
      <c r="G950" s="222"/>
      <c r="H950" s="64">
        <f>SUM(H946:H949)</f>
        <v>0</v>
      </c>
      <c r="I950" s="74">
        <f>H950*I$6*I$5</f>
        <v>0</v>
      </c>
    </row>
    <row r="952" spans="1:16" x14ac:dyDescent="0.25">
      <c r="A952" s="363">
        <f>A946+1</f>
        <v>45672</v>
      </c>
      <c r="B952" s="366" t="s">
        <v>24</v>
      </c>
      <c r="C952" s="57" t="s">
        <v>72</v>
      </c>
      <c r="D952" s="7"/>
      <c r="E952" s="49"/>
      <c r="F952" s="48">
        <v>1</v>
      </c>
      <c r="G952" s="227">
        <v>1</v>
      </c>
      <c r="H952" s="49">
        <f>F952*D952*G952</f>
        <v>0</v>
      </c>
      <c r="I952" s="55"/>
      <c r="K952" s="369" t="s">
        <v>23</v>
      </c>
      <c r="L952" s="370"/>
      <c r="M952" s="370"/>
      <c r="N952" s="370"/>
      <c r="O952" s="371"/>
    </row>
    <row r="953" spans="1:16" x14ac:dyDescent="0.25">
      <c r="A953" s="364"/>
      <c r="B953" s="367"/>
      <c r="C953" s="21" t="s">
        <v>73</v>
      </c>
      <c r="E953" s="17"/>
      <c r="F953" s="16">
        <v>1</v>
      </c>
      <c r="G953" s="228">
        <v>1</v>
      </c>
      <c r="H953" s="17">
        <f>F953*D953*G953</f>
        <v>0</v>
      </c>
      <c r="I953" s="72"/>
      <c r="K953" s="47" t="s">
        <v>27</v>
      </c>
      <c r="L953" s="47" t="s">
        <v>12</v>
      </c>
      <c r="M953" s="47" t="s">
        <v>87</v>
      </c>
      <c r="N953" s="47" t="s">
        <v>28</v>
      </c>
      <c r="O953" s="28" t="s">
        <v>86</v>
      </c>
      <c r="P953" s="17"/>
    </row>
    <row r="954" spans="1:16" x14ac:dyDescent="0.25">
      <c r="A954" s="364"/>
      <c r="B954" s="367"/>
      <c r="E954" s="17"/>
      <c r="F954" s="16">
        <v>1</v>
      </c>
      <c r="G954" s="228"/>
      <c r="H954" s="17">
        <f>F954*D954</f>
        <v>0</v>
      </c>
      <c r="I954" s="72"/>
      <c r="K954" s="3"/>
      <c r="L954" s="3"/>
      <c r="M954" s="3"/>
      <c r="N954" s="3"/>
      <c r="O954" s="3"/>
      <c r="P954" s="50" t="s">
        <v>50</v>
      </c>
    </row>
    <row r="955" spans="1:16" ht="16.5" thickBot="1" x14ac:dyDescent="0.3">
      <c r="A955" s="364"/>
      <c r="B955" s="367"/>
      <c r="C955" s="225" t="s">
        <v>47</v>
      </c>
      <c r="D955" s="223"/>
      <c r="E955" s="85"/>
      <c r="F955" s="224"/>
      <c r="G955" s="224"/>
      <c r="H955" s="85">
        <f>F955*D955</f>
        <v>0</v>
      </c>
      <c r="I955" s="86"/>
      <c r="K955" s="214"/>
      <c r="L955" s="214"/>
      <c r="M955" s="214"/>
      <c r="N955" s="214"/>
      <c r="O955" s="214"/>
      <c r="P955" s="50" t="s">
        <v>90</v>
      </c>
    </row>
    <row r="956" spans="1:16" ht="16.5" thickTop="1" x14ac:dyDescent="0.25">
      <c r="A956" s="365"/>
      <c r="B956" s="368"/>
      <c r="C956" s="9"/>
      <c r="D956" s="9"/>
      <c r="E956" s="64"/>
      <c r="F956" s="222"/>
      <c r="G956" s="222"/>
      <c r="H956" s="64">
        <f>SUM(H952:H955)</f>
        <v>0</v>
      </c>
      <c r="I956" s="74">
        <f>H956*I$6*I$5</f>
        <v>0</v>
      </c>
    </row>
    <row r="958" spans="1:16" x14ac:dyDescent="0.25">
      <c r="A958" s="363">
        <f>A952+1</f>
        <v>45673</v>
      </c>
      <c r="B958" s="366" t="s">
        <v>5</v>
      </c>
      <c r="C958" s="57" t="s">
        <v>72</v>
      </c>
      <c r="D958" s="7"/>
      <c r="E958" s="49"/>
      <c r="F958" s="48">
        <v>1</v>
      </c>
      <c r="G958" s="227"/>
      <c r="H958" s="49">
        <f>F958*D958*G958</f>
        <v>0</v>
      </c>
      <c r="I958" s="55"/>
      <c r="K958" s="369" t="s">
        <v>23</v>
      </c>
      <c r="L958" s="370"/>
      <c r="M958" s="370"/>
      <c r="N958" s="370"/>
      <c r="O958" s="371"/>
    </row>
    <row r="959" spans="1:16" x14ac:dyDescent="0.25">
      <c r="A959" s="364"/>
      <c r="B959" s="367"/>
      <c r="C959" s="21" t="s">
        <v>73</v>
      </c>
      <c r="E959" s="17"/>
      <c r="F959" s="16">
        <v>1</v>
      </c>
      <c r="G959" s="228"/>
      <c r="H959" s="17">
        <f>F959*D959*G959</f>
        <v>0</v>
      </c>
      <c r="I959" s="72"/>
      <c r="K959" s="47" t="s">
        <v>27</v>
      </c>
      <c r="L959" s="47" t="s">
        <v>12</v>
      </c>
      <c r="M959" s="47" t="s">
        <v>87</v>
      </c>
      <c r="N959" s="47" t="s">
        <v>28</v>
      </c>
      <c r="O959" s="28" t="s">
        <v>86</v>
      </c>
      <c r="P959" s="17"/>
    </row>
    <row r="960" spans="1:16" x14ac:dyDescent="0.25">
      <c r="A960" s="364"/>
      <c r="B960" s="367"/>
      <c r="E960" s="17"/>
      <c r="F960" s="16">
        <v>1</v>
      </c>
      <c r="G960" s="228"/>
      <c r="H960" s="17">
        <f>F960*D960</f>
        <v>0</v>
      </c>
      <c r="I960" s="72"/>
      <c r="K960" s="3"/>
      <c r="L960" s="3"/>
      <c r="M960" s="3"/>
      <c r="N960" s="3"/>
      <c r="O960" s="3"/>
      <c r="P960" s="50" t="s">
        <v>50</v>
      </c>
    </row>
    <row r="961" spans="1:16" ht="16.5" thickBot="1" x14ac:dyDescent="0.3">
      <c r="A961" s="364"/>
      <c r="B961" s="367"/>
      <c r="C961" s="225" t="s">
        <v>47</v>
      </c>
      <c r="D961" s="223"/>
      <c r="E961" s="85"/>
      <c r="F961" s="224">
        <v>1</v>
      </c>
      <c r="G961" s="224"/>
      <c r="H961" s="85">
        <f>F961*D961</f>
        <v>0</v>
      </c>
      <c r="I961" s="86"/>
      <c r="K961" s="214" t="e">
        <f>K960/SUM(K960:O960)*I962</f>
        <v>#DIV/0!</v>
      </c>
      <c r="L961" s="214" t="e">
        <f>L960/SUM(K960:O960)*$I962</f>
        <v>#DIV/0!</v>
      </c>
      <c r="M961" s="214" t="e">
        <f>M960/SUM(K960:O960)*$I962</f>
        <v>#DIV/0!</v>
      </c>
      <c r="N961" s="214" t="e">
        <f>N960/SUM(K960:O960)*$I962</f>
        <v>#DIV/0!</v>
      </c>
      <c r="O961" s="214" t="e">
        <f>O960/SUM(K960:O960)*$I962</f>
        <v>#DIV/0!</v>
      </c>
      <c r="P961" s="50" t="s">
        <v>90</v>
      </c>
    </row>
    <row r="962" spans="1:16" ht="16.5" thickTop="1" x14ac:dyDescent="0.25">
      <c r="A962" s="365"/>
      <c r="B962" s="368"/>
      <c r="C962" s="9"/>
      <c r="D962" s="9"/>
      <c r="E962" s="64"/>
      <c r="F962" s="222"/>
      <c r="G962" s="222"/>
      <c r="H962" s="64">
        <f>SUM(H958:H961)</f>
        <v>0</v>
      </c>
      <c r="I962" s="74">
        <f>H962*I$6*I$5</f>
        <v>0</v>
      </c>
    </row>
    <row r="964" spans="1:16" x14ac:dyDescent="0.25">
      <c r="A964" s="363">
        <f>A958+1</f>
        <v>45674</v>
      </c>
      <c r="B964" s="366" t="s">
        <v>6</v>
      </c>
      <c r="C964" s="57" t="s">
        <v>72</v>
      </c>
      <c r="D964" s="7"/>
      <c r="E964" s="49"/>
      <c r="F964" s="48">
        <v>1</v>
      </c>
      <c r="G964" s="227">
        <f>2/3</f>
        <v>0.66666666666666663</v>
      </c>
      <c r="H964" s="49">
        <f>F964*D964*G964</f>
        <v>0</v>
      </c>
      <c r="I964" s="55"/>
      <c r="K964" s="369" t="s">
        <v>23</v>
      </c>
      <c r="L964" s="370"/>
      <c r="M964" s="370"/>
      <c r="N964" s="370"/>
      <c r="O964" s="371"/>
    </row>
    <row r="965" spans="1:16" x14ac:dyDescent="0.25">
      <c r="A965" s="364"/>
      <c r="B965" s="367"/>
      <c r="C965" s="21" t="s">
        <v>73</v>
      </c>
      <c r="E965" s="17"/>
      <c r="F965" s="16">
        <v>1</v>
      </c>
      <c r="G965" s="228">
        <f>2/3</f>
        <v>0.66666666666666663</v>
      </c>
      <c r="H965" s="17">
        <f>F965*D965*G965</f>
        <v>0</v>
      </c>
      <c r="I965" s="72"/>
      <c r="K965" s="47" t="s">
        <v>27</v>
      </c>
      <c r="L965" s="47" t="s">
        <v>12</v>
      </c>
      <c r="M965" s="47" t="s">
        <v>87</v>
      </c>
      <c r="N965" s="47" t="s">
        <v>28</v>
      </c>
      <c r="O965" s="28" t="s">
        <v>86</v>
      </c>
      <c r="P965" s="17"/>
    </row>
    <row r="966" spans="1:16" x14ac:dyDescent="0.25">
      <c r="A966" s="364"/>
      <c r="B966" s="367"/>
      <c r="E966" s="17"/>
      <c r="F966" s="16">
        <v>1</v>
      </c>
      <c r="G966" s="228"/>
      <c r="H966" s="17">
        <f>F966*D966</f>
        <v>0</v>
      </c>
      <c r="I966" s="72"/>
      <c r="K966" s="3"/>
      <c r="L966" s="3"/>
      <c r="M966" s="3"/>
      <c r="N966" s="3"/>
      <c r="O966" s="3"/>
      <c r="P966" s="50" t="s">
        <v>50</v>
      </c>
    </row>
    <row r="967" spans="1:16" ht="16.5" thickBot="1" x14ac:dyDescent="0.3">
      <c r="A967" s="364"/>
      <c r="B967" s="367"/>
      <c r="C967" s="225" t="s">
        <v>47</v>
      </c>
      <c r="D967" s="223"/>
      <c r="E967" s="85"/>
      <c r="F967" s="224"/>
      <c r="G967" s="224"/>
      <c r="H967" s="85">
        <f>F967*D967</f>
        <v>0</v>
      </c>
      <c r="I967" s="86"/>
      <c r="K967" s="214" t="e">
        <f>K966/SUM(K966:O966)*I968</f>
        <v>#DIV/0!</v>
      </c>
      <c r="L967" s="214" t="e">
        <f>L966/SUM(K966:O966)*$I968</f>
        <v>#DIV/0!</v>
      </c>
      <c r="M967" s="214" t="e">
        <f>M966/SUM(K966:O966)*$I968</f>
        <v>#DIV/0!</v>
      </c>
      <c r="N967" s="214" t="e">
        <f>N966/SUM(K966:O966)*$I968</f>
        <v>#DIV/0!</v>
      </c>
      <c r="O967" s="214" t="e">
        <f>O966/SUM(K966:O966)*$I968</f>
        <v>#DIV/0!</v>
      </c>
      <c r="P967" s="50" t="s">
        <v>90</v>
      </c>
    </row>
    <row r="968" spans="1:16" ht="16.5" thickTop="1" x14ac:dyDescent="0.25">
      <c r="A968" s="365"/>
      <c r="B968" s="368"/>
      <c r="C968" s="9"/>
      <c r="D968" s="9"/>
      <c r="E968" s="64"/>
      <c r="F968" s="222"/>
      <c r="G968" s="222"/>
      <c r="H968" s="64">
        <f>SUM(H964:H967)</f>
        <v>0</v>
      </c>
      <c r="I968" s="74">
        <f>H968*I$6*I$5</f>
        <v>0</v>
      </c>
    </row>
    <row r="970" spans="1:16" x14ac:dyDescent="0.25">
      <c r="A970" s="363">
        <f>A964+1</f>
        <v>45675</v>
      </c>
      <c r="B970" s="366" t="s">
        <v>0</v>
      </c>
      <c r="C970" s="57" t="s">
        <v>72</v>
      </c>
      <c r="D970" s="7"/>
      <c r="E970" s="49"/>
      <c r="F970" s="48">
        <v>1</v>
      </c>
      <c r="G970" s="227"/>
      <c r="H970" s="49">
        <f>F970*D970*G970</f>
        <v>0</v>
      </c>
      <c r="I970" s="55"/>
      <c r="K970" s="369" t="s">
        <v>23</v>
      </c>
      <c r="L970" s="370"/>
      <c r="M970" s="370"/>
      <c r="N970" s="370"/>
      <c r="O970" s="371"/>
    </row>
    <row r="971" spans="1:16" x14ac:dyDescent="0.25">
      <c r="A971" s="364"/>
      <c r="B971" s="367"/>
      <c r="C971" s="21" t="s">
        <v>73</v>
      </c>
      <c r="E971" s="17"/>
      <c r="F971" s="16">
        <v>1</v>
      </c>
      <c r="G971" s="228"/>
      <c r="H971" s="17">
        <f>F971*D971*G971</f>
        <v>0</v>
      </c>
      <c r="I971" s="72"/>
      <c r="K971" s="47" t="s">
        <v>27</v>
      </c>
      <c r="L971" s="47" t="s">
        <v>12</v>
      </c>
      <c r="M971" s="47" t="s">
        <v>87</v>
      </c>
      <c r="N971" s="47" t="s">
        <v>28</v>
      </c>
      <c r="O971" s="28" t="s">
        <v>86</v>
      </c>
      <c r="P971" s="17"/>
    </row>
    <row r="972" spans="1:16" x14ac:dyDescent="0.25">
      <c r="A972" s="364"/>
      <c r="B972" s="367"/>
      <c r="E972" s="17"/>
      <c r="F972" s="16">
        <v>1</v>
      </c>
      <c r="G972" s="228"/>
      <c r="H972" s="17">
        <f>F972*D972</f>
        <v>0</v>
      </c>
      <c r="I972" s="72"/>
      <c r="K972" s="3"/>
      <c r="L972" s="3"/>
      <c r="M972" s="3"/>
      <c r="N972" s="3"/>
      <c r="O972" s="3"/>
      <c r="P972" s="50" t="s">
        <v>50</v>
      </c>
    </row>
    <row r="973" spans="1:16" ht="16.5" thickBot="1" x14ac:dyDescent="0.3">
      <c r="A973" s="364"/>
      <c r="B973" s="367"/>
      <c r="C973" s="225" t="s">
        <v>47</v>
      </c>
      <c r="D973" s="223"/>
      <c r="E973" s="85"/>
      <c r="F973" s="224">
        <v>1</v>
      </c>
      <c r="G973" s="224"/>
      <c r="H973" s="85">
        <f>F973*D973</f>
        <v>0</v>
      </c>
      <c r="I973" s="86"/>
      <c r="K973" s="214" t="e">
        <f>K972/SUM(K972:O972)*I974</f>
        <v>#DIV/0!</v>
      </c>
      <c r="L973" s="214" t="e">
        <f>L972/SUM(K972:O972)*$I974</f>
        <v>#DIV/0!</v>
      </c>
      <c r="M973" s="214" t="e">
        <f>M972/SUM(K972:O972)*$I974</f>
        <v>#DIV/0!</v>
      </c>
      <c r="N973" s="214" t="e">
        <f>N972/SUM(K972:O972)*$I974</f>
        <v>#DIV/0!</v>
      </c>
      <c r="O973" s="214" t="e">
        <f>O972/SUM(K972:O972)*$I974</f>
        <v>#DIV/0!</v>
      </c>
      <c r="P973" s="50" t="s">
        <v>90</v>
      </c>
    </row>
    <row r="974" spans="1:16" ht="16.5" thickTop="1" x14ac:dyDescent="0.25">
      <c r="A974" s="365"/>
      <c r="B974" s="368"/>
      <c r="C974" s="9"/>
      <c r="D974" s="9"/>
      <c r="E974" s="64"/>
      <c r="F974" s="222"/>
      <c r="G974" s="222"/>
      <c r="H974" s="64">
        <f>SUM(H970:H973)</f>
        <v>0</v>
      </c>
      <c r="I974" s="74">
        <f>H974*I$6*I$5</f>
        <v>0</v>
      </c>
    </row>
    <row r="976" spans="1:16" ht="15.6" customHeight="1" x14ac:dyDescent="0.25">
      <c r="A976" s="363">
        <f>A970+1</f>
        <v>45676</v>
      </c>
      <c r="B976" s="366" t="s">
        <v>1</v>
      </c>
      <c r="C976" s="57" t="s">
        <v>72</v>
      </c>
      <c r="D976" s="7"/>
      <c r="E976" s="49"/>
      <c r="F976" s="48">
        <v>1</v>
      </c>
      <c r="G976" s="227"/>
      <c r="H976" s="49">
        <f>F976*D976*G976</f>
        <v>0</v>
      </c>
      <c r="I976" s="55"/>
      <c r="K976" s="369" t="s">
        <v>23</v>
      </c>
      <c r="L976" s="370"/>
      <c r="M976" s="370"/>
      <c r="N976" s="370"/>
      <c r="O976" s="371"/>
    </row>
    <row r="977" spans="1:16" x14ac:dyDescent="0.25">
      <c r="A977" s="364"/>
      <c r="B977" s="367"/>
      <c r="C977" s="21" t="s">
        <v>73</v>
      </c>
      <c r="E977" s="17"/>
      <c r="F977" s="16">
        <v>1</v>
      </c>
      <c r="G977" s="228"/>
      <c r="H977" s="17">
        <f>F977*D977*G977</f>
        <v>0</v>
      </c>
      <c r="I977" s="72"/>
      <c r="K977" s="47" t="s">
        <v>27</v>
      </c>
      <c r="L977" s="47" t="s">
        <v>12</v>
      </c>
      <c r="M977" s="47" t="s">
        <v>87</v>
      </c>
      <c r="N977" s="47" t="s">
        <v>28</v>
      </c>
      <c r="O977" s="28" t="s">
        <v>86</v>
      </c>
      <c r="P977" s="17"/>
    </row>
    <row r="978" spans="1:16" x14ac:dyDescent="0.25">
      <c r="A978" s="364"/>
      <c r="B978" s="367"/>
      <c r="E978" s="17"/>
      <c r="F978" s="16">
        <v>1</v>
      </c>
      <c r="G978" s="228"/>
      <c r="H978" s="17">
        <f>F978*D978</f>
        <v>0</v>
      </c>
      <c r="I978" s="72"/>
      <c r="K978" s="3"/>
      <c r="L978" s="3"/>
      <c r="M978" s="3"/>
      <c r="N978" s="3"/>
      <c r="O978" s="3"/>
      <c r="P978" s="50" t="s">
        <v>50</v>
      </c>
    </row>
    <row r="979" spans="1:16" ht="16.5" thickBot="1" x14ac:dyDescent="0.3">
      <c r="A979" s="364"/>
      <c r="B979" s="367"/>
      <c r="C979" s="225" t="s">
        <v>47</v>
      </c>
      <c r="D979" s="223"/>
      <c r="E979" s="85"/>
      <c r="F979" s="224">
        <v>1</v>
      </c>
      <c r="G979" s="224"/>
      <c r="H979" s="85">
        <f>F979*D979</f>
        <v>0</v>
      </c>
      <c r="I979" s="86"/>
      <c r="K979" s="214" t="e">
        <f>K978/SUM(K978:O978)*I980</f>
        <v>#DIV/0!</v>
      </c>
      <c r="L979" s="214" t="e">
        <f>L978/SUM(K978:O978)*$I980</f>
        <v>#DIV/0!</v>
      </c>
      <c r="M979" s="214" t="e">
        <f>M978/SUM(K978:O978)*$I980</f>
        <v>#DIV/0!</v>
      </c>
      <c r="N979" s="214" t="e">
        <f>N978/SUM(K978:O978)*$I980</f>
        <v>#DIV/0!</v>
      </c>
      <c r="O979" s="214" t="e">
        <f>O978/SUM(K978:O978)*$I980</f>
        <v>#DIV/0!</v>
      </c>
      <c r="P979" s="50" t="s">
        <v>90</v>
      </c>
    </row>
    <row r="980" spans="1:16" ht="16.5" thickTop="1" x14ac:dyDescent="0.25">
      <c r="A980" s="365"/>
      <c r="B980" s="368"/>
      <c r="C980" s="9"/>
      <c r="D980" s="9"/>
      <c r="E980" s="64"/>
      <c r="F980" s="222"/>
      <c r="G980" s="222"/>
      <c r="H980" s="64">
        <f>SUM(H976:H979)</f>
        <v>0</v>
      </c>
      <c r="I980" s="74">
        <f>H980*I$6*I$5</f>
        <v>0</v>
      </c>
    </row>
    <row r="981" spans="1:16" x14ac:dyDescent="0.25">
      <c r="B981" s="9"/>
    </row>
    <row r="982" spans="1:16" ht="15.6" customHeight="1" x14ac:dyDescent="0.25">
      <c r="A982" s="363">
        <f>A976+1</f>
        <v>45677</v>
      </c>
      <c r="B982" s="366" t="s">
        <v>25</v>
      </c>
      <c r="C982" s="57" t="s">
        <v>72</v>
      </c>
      <c r="D982" s="7"/>
      <c r="E982" s="49"/>
      <c r="F982" s="48">
        <v>1</v>
      </c>
      <c r="G982" s="227"/>
      <c r="H982" s="49">
        <f>F982*D982*G982</f>
        <v>0</v>
      </c>
      <c r="I982" s="55"/>
      <c r="K982" s="369" t="s">
        <v>23</v>
      </c>
      <c r="L982" s="370"/>
      <c r="M982" s="370"/>
      <c r="N982" s="370"/>
      <c r="O982" s="371"/>
    </row>
    <row r="983" spans="1:16" x14ac:dyDescent="0.25">
      <c r="A983" s="364"/>
      <c r="B983" s="367"/>
      <c r="C983" s="21" t="s">
        <v>73</v>
      </c>
      <c r="E983" s="17"/>
      <c r="F983" s="16">
        <v>1</v>
      </c>
      <c r="G983" s="228"/>
      <c r="H983" s="17">
        <f>F983*D983*G983</f>
        <v>0</v>
      </c>
      <c r="I983" s="72"/>
      <c r="K983" s="47" t="s">
        <v>27</v>
      </c>
      <c r="L983" s="47" t="s">
        <v>12</v>
      </c>
      <c r="M983" s="47" t="s">
        <v>87</v>
      </c>
      <c r="N983" s="47" t="s">
        <v>28</v>
      </c>
      <c r="O983" s="28" t="s">
        <v>86</v>
      </c>
      <c r="P983" s="17"/>
    </row>
    <row r="984" spans="1:16" x14ac:dyDescent="0.25">
      <c r="A984" s="364"/>
      <c r="B984" s="367"/>
      <c r="E984" s="17"/>
      <c r="F984" s="16">
        <v>1</v>
      </c>
      <c r="G984" s="228"/>
      <c r="H984" s="17">
        <f>F984*D984</f>
        <v>0</v>
      </c>
      <c r="I984" s="72"/>
      <c r="K984" s="3"/>
      <c r="L984" s="3">
        <v>2</v>
      </c>
      <c r="M984" s="3"/>
      <c r="N984" s="3"/>
      <c r="O984" s="3"/>
      <c r="P984" s="50" t="s">
        <v>50</v>
      </c>
    </row>
    <row r="985" spans="1:16" ht="16.5" thickBot="1" x14ac:dyDescent="0.3">
      <c r="A985" s="364"/>
      <c r="B985" s="367"/>
      <c r="C985" s="225" t="s">
        <v>47</v>
      </c>
      <c r="D985" s="223"/>
      <c r="E985" s="85"/>
      <c r="F985" s="224"/>
      <c r="G985" s="224"/>
      <c r="H985" s="85">
        <f>F985*D985</f>
        <v>0</v>
      </c>
      <c r="I985" s="86"/>
      <c r="K985" s="214">
        <f>K984/SUM(K984:O984)*I986</f>
        <v>0</v>
      </c>
      <c r="L985" s="214">
        <f>L984/SUM(K984:O984)*$I986</f>
        <v>0</v>
      </c>
      <c r="M985" s="214">
        <f>M984/SUM(K984:O984)*$I986</f>
        <v>0</v>
      </c>
      <c r="N985" s="214">
        <f>N984/SUM(K984:O984)*$I986</f>
        <v>0</v>
      </c>
      <c r="O985" s="214">
        <f>O984/SUM(K984:O984)*$I986</f>
        <v>0</v>
      </c>
      <c r="P985" s="50" t="s">
        <v>90</v>
      </c>
    </row>
    <row r="986" spans="1:16" ht="16.5" thickTop="1" x14ac:dyDescent="0.25">
      <c r="A986" s="365"/>
      <c r="B986" s="368"/>
      <c r="C986" s="9"/>
      <c r="D986" s="9"/>
      <c r="E986" s="64"/>
      <c r="F986" s="222"/>
      <c r="G986" s="222"/>
      <c r="H986" s="64">
        <f>SUM(H982:H985)</f>
        <v>0</v>
      </c>
      <c r="I986" s="74">
        <f>H986*I$6*I$5</f>
        <v>0</v>
      </c>
    </row>
    <row r="988" spans="1:16" ht="15.6" customHeight="1" x14ac:dyDescent="0.25">
      <c r="A988" s="363">
        <f>A982+1</f>
        <v>45678</v>
      </c>
      <c r="B988" s="366" t="s">
        <v>3</v>
      </c>
      <c r="C988" s="57" t="s">
        <v>72</v>
      </c>
      <c r="D988" s="7"/>
      <c r="E988" s="49"/>
      <c r="F988" s="48">
        <v>1</v>
      </c>
      <c r="G988" s="227"/>
      <c r="H988" s="49">
        <f>F988*D988*G988</f>
        <v>0</v>
      </c>
      <c r="I988" s="55"/>
      <c r="K988" s="369" t="s">
        <v>23</v>
      </c>
      <c r="L988" s="370"/>
      <c r="M988" s="370"/>
      <c r="N988" s="370"/>
      <c r="O988" s="371"/>
    </row>
    <row r="989" spans="1:16" x14ac:dyDescent="0.25">
      <c r="A989" s="364"/>
      <c r="B989" s="367"/>
      <c r="C989" s="21" t="s">
        <v>73</v>
      </c>
      <c r="E989" s="17"/>
      <c r="F989" s="16">
        <v>1</v>
      </c>
      <c r="G989" s="228"/>
      <c r="H989" s="17">
        <f>F989*D989*G989</f>
        <v>0</v>
      </c>
      <c r="I989" s="72"/>
      <c r="K989" s="47" t="s">
        <v>27</v>
      </c>
      <c r="L989" s="47" t="s">
        <v>12</v>
      </c>
      <c r="M989" s="47" t="s">
        <v>87</v>
      </c>
      <c r="N989" s="47" t="s">
        <v>28</v>
      </c>
      <c r="O989" s="28" t="s">
        <v>86</v>
      </c>
      <c r="P989" s="17"/>
    </row>
    <row r="990" spans="1:16" x14ac:dyDescent="0.25">
      <c r="A990" s="364"/>
      <c r="B990" s="367"/>
      <c r="E990" s="17"/>
      <c r="F990" s="16">
        <v>1</v>
      </c>
      <c r="G990" s="228"/>
      <c r="H990" s="17">
        <f>F990*D990</f>
        <v>0</v>
      </c>
      <c r="I990" s="72"/>
      <c r="K990" s="3"/>
      <c r="L990" s="3"/>
      <c r="M990" s="3"/>
      <c r="N990" s="3"/>
      <c r="O990" s="3"/>
      <c r="P990" s="50" t="s">
        <v>50</v>
      </c>
    </row>
    <row r="991" spans="1:16" ht="16.5" thickBot="1" x14ac:dyDescent="0.3">
      <c r="A991" s="364"/>
      <c r="B991" s="367"/>
      <c r="C991" s="225" t="s">
        <v>47</v>
      </c>
      <c r="D991" s="223"/>
      <c r="E991" s="85"/>
      <c r="F991" s="224">
        <v>1</v>
      </c>
      <c r="G991" s="224"/>
      <c r="H991" s="85">
        <f>F991*D991</f>
        <v>0</v>
      </c>
      <c r="I991" s="86"/>
      <c r="K991" s="214" t="e">
        <f>K990/SUM(K990:O990)*I992</f>
        <v>#DIV/0!</v>
      </c>
      <c r="L991" s="214" t="e">
        <f>L990/SUM(K990:O990)*$I992</f>
        <v>#DIV/0!</v>
      </c>
      <c r="M991" s="214" t="e">
        <f>M990/SUM(K990:O990)*$I992</f>
        <v>#DIV/0!</v>
      </c>
      <c r="N991" s="214" t="e">
        <f>N990/SUM(K990:O990)*$I992</f>
        <v>#DIV/0!</v>
      </c>
      <c r="O991" s="214" t="e">
        <f>O990/SUM(K990:O990)*$I992</f>
        <v>#DIV/0!</v>
      </c>
      <c r="P991" s="50" t="s">
        <v>90</v>
      </c>
    </row>
    <row r="992" spans="1:16" ht="16.5" thickTop="1" x14ac:dyDescent="0.25">
      <c r="A992" s="365"/>
      <c r="B992" s="368"/>
      <c r="C992" s="9"/>
      <c r="D992" s="9"/>
      <c r="E992" s="64"/>
      <c r="F992" s="222"/>
      <c r="G992" s="222"/>
      <c r="H992" s="64">
        <f>SUM(H988:H991)</f>
        <v>0</v>
      </c>
      <c r="I992" s="74">
        <f>H992*I$6*I$5</f>
        <v>0</v>
      </c>
    </row>
    <row r="994" spans="1:16" ht="15.6" customHeight="1" x14ac:dyDescent="0.25">
      <c r="A994" s="363">
        <f>A988+1</f>
        <v>45679</v>
      </c>
      <c r="B994" s="366" t="s">
        <v>24</v>
      </c>
      <c r="C994" s="57" t="s">
        <v>72</v>
      </c>
      <c r="D994" s="7"/>
      <c r="E994" s="49"/>
      <c r="F994" s="48">
        <v>1</v>
      </c>
      <c r="G994" s="227"/>
      <c r="H994" s="49">
        <f>F994*D994*G994</f>
        <v>0</v>
      </c>
      <c r="I994" s="55"/>
      <c r="K994" s="369" t="s">
        <v>23</v>
      </c>
      <c r="L994" s="370"/>
      <c r="M994" s="370"/>
      <c r="N994" s="370"/>
      <c r="O994" s="371"/>
    </row>
    <row r="995" spans="1:16" x14ac:dyDescent="0.25">
      <c r="A995" s="364"/>
      <c r="B995" s="367"/>
      <c r="C995" s="21" t="s">
        <v>73</v>
      </c>
      <c r="E995" s="17"/>
      <c r="F995" s="16">
        <v>1</v>
      </c>
      <c r="G995" s="228"/>
      <c r="H995" s="17">
        <f>F995*D995*G995</f>
        <v>0</v>
      </c>
      <c r="I995" s="72"/>
      <c r="K995" s="47" t="s">
        <v>27</v>
      </c>
      <c r="L995" s="47" t="s">
        <v>12</v>
      </c>
      <c r="M995" s="47" t="s">
        <v>87</v>
      </c>
      <c r="N995" s="47" t="s">
        <v>28</v>
      </c>
      <c r="O995" s="28" t="s">
        <v>86</v>
      </c>
      <c r="P995" s="17"/>
    </row>
    <row r="996" spans="1:16" x14ac:dyDescent="0.25">
      <c r="A996" s="364"/>
      <c r="B996" s="367"/>
      <c r="E996" s="17"/>
      <c r="F996" s="16">
        <v>1</v>
      </c>
      <c r="G996" s="228"/>
      <c r="H996" s="17">
        <f>F996*D996</f>
        <v>0</v>
      </c>
      <c r="I996" s="72"/>
      <c r="K996" s="3"/>
      <c r="L996" s="3"/>
      <c r="M996" s="3"/>
      <c r="N996" s="3"/>
      <c r="O996" s="3"/>
      <c r="P996" s="50" t="s">
        <v>50</v>
      </c>
    </row>
    <row r="997" spans="1:16" ht="16.5" thickBot="1" x14ac:dyDescent="0.3">
      <c r="A997" s="364"/>
      <c r="B997" s="367"/>
      <c r="C997" s="225" t="s">
        <v>47</v>
      </c>
      <c r="D997" s="223"/>
      <c r="E997" s="85"/>
      <c r="F997" s="224">
        <v>1</v>
      </c>
      <c r="G997" s="224"/>
      <c r="H997" s="85">
        <f>F997*D997</f>
        <v>0</v>
      </c>
      <c r="I997" s="86"/>
      <c r="K997" s="214" t="e">
        <f>K996/SUM(K996:O996)*I998</f>
        <v>#DIV/0!</v>
      </c>
      <c r="L997" s="214" t="e">
        <f>L996/SUM(K996:O996)*$I998</f>
        <v>#DIV/0!</v>
      </c>
      <c r="M997" s="214" t="e">
        <f>M996/SUM(K996:O996)*$I998</f>
        <v>#DIV/0!</v>
      </c>
      <c r="N997" s="214" t="e">
        <f>N996/SUM(K996:O996)*$I998</f>
        <v>#DIV/0!</v>
      </c>
      <c r="O997" s="214" t="e">
        <f>O996/SUM(K996:O996)*$I998</f>
        <v>#DIV/0!</v>
      </c>
      <c r="P997" s="50" t="s">
        <v>90</v>
      </c>
    </row>
    <row r="998" spans="1:16" ht="16.5" thickTop="1" x14ac:dyDescent="0.25">
      <c r="A998" s="365"/>
      <c r="B998" s="368"/>
      <c r="C998" s="9"/>
      <c r="D998" s="9"/>
      <c r="E998" s="64"/>
      <c r="F998" s="222"/>
      <c r="G998" s="222"/>
      <c r="H998" s="64">
        <f>SUM(H994:H997)</f>
        <v>0</v>
      </c>
      <c r="I998" s="74">
        <f>H998*I$6*I$5</f>
        <v>0</v>
      </c>
    </row>
    <row r="1000" spans="1:16" ht="15.6" customHeight="1" x14ac:dyDescent="0.25">
      <c r="A1000" s="363">
        <f>A994+1</f>
        <v>45680</v>
      </c>
      <c r="B1000" s="366" t="s">
        <v>5</v>
      </c>
      <c r="C1000" s="57" t="s">
        <v>72</v>
      </c>
      <c r="D1000" s="7"/>
      <c r="E1000" s="49"/>
      <c r="F1000" s="48">
        <v>1</v>
      </c>
      <c r="G1000" s="227"/>
      <c r="H1000" s="49">
        <f>F1000*D1000*G1000</f>
        <v>0</v>
      </c>
      <c r="I1000" s="55"/>
      <c r="K1000" s="369" t="s">
        <v>23</v>
      </c>
      <c r="L1000" s="370"/>
      <c r="M1000" s="370"/>
      <c r="N1000" s="370"/>
      <c r="O1000" s="371"/>
    </row>
    <row r="1001" spans="1:16" x14ac:dyDescent="0.25">
      <c r="A1001" s="364"/>
      <c r="B1001" s="367"/>
      <c r="C1001" s="21" t="s">
        <v>73</v>
      </c>
      <c r="E1001" s="17"/>
      <c r="F1001" s="16">
        <v>1</v>
      </c>
      <c r="G1001" s="228"/>
      <c r="H1001" s="17">
        <f>F1001*D1001*G1001</f>
        <v>0</v>
      </c>
      <c r="I1001" s="72"/>
      <c r="K1001" s="47" t="s">
        <v>27</v>
      </c>
      <c r="L1001" s="47" t="s">
        <v>12</v>
      </c>
      <c r="M1001" s="47" t="s">
        <v>87</v>
      </c>
      <c r="N1001" s="47" t="s">
        <v>28</v>
      </c>
      <c r="O1001" s="28" t="s">
        <v>86</v>
      </c>
      <c r="P1001" s="17"/>
    </row>
    <row r="1002" spans="1:16" x14ac:dyDescent="0.25">
      <c r="A1002" s="364"/>
      <c r="B1002" s="367"/>
      <c r="E1002" s="17"/>
      <c r="F1002" s="16">
        <v>1</v>
      </c>
      <c r="G1002" s="228"/>
      <c r="H1002" s="17">
        <f>F1002*D1002</f>
        <v>0</v>
      </c>
      <c r="I1002" s="72"/>
      <c r="K1002" s="3"/>
      <c r="L1002" s="3"/>
      <c r="M1002" s="3"/>
      <c r="N1002" s="3"/>
      <c r="O1002" s="3"/>
      <c r="P1002" s="50" t="s">
        <v>50</v>
      </c>
    </row>
    <row r="1003" spans="1:16" ht="16.5" thickBot="1" x14ac:dyDescent="0.3">
      <c r="A1003" s="364"/>
      <c r="B1003" s="367"/>
      <c r="C1003" s="225" t="s">
        <v>47</v>
      </c>
      <c r="D1003" s="223"/>
      <c r="E1003" s="85"/>
      <c r="F1003" s="224"/>
      <c r="G1003" s="224"/>
      <c r="H1003" s="85">
        <f>F1003*D1003</f>
        <v>0</v>
      </c>
      <c r="I1003" s="86"/>
      <c r="K1003" s="214" t="e">
        <f>K1002/SUM(K1002:O1002)*I1004</f>
        <v>#DIV/0!</v>
      </c>
      <c r="L1003" s="214" t="e">
        <f>L1002/SUM(K1002:O1002)*$I1004</f>
        <v>#DIV/0!</v>
      </c>
      <c r="M1003" s="214" t="e">
        <f>M1002/SUM(K1002:O1002)*$I1004</f>
        <v>#DIV/0!</v>
      </c>
      <c r="N1003" s="214" t="e">
        <f>N1002/SUM(K1002:O1002)*$I1004</f>
        <v>#DIV/0!</v>
      </c>
      <c r="O1003" s="214" t="e">
        <f>O1002/SUM(K1002:O1002)*$I1004</f>
        <v>#DIV/0!</v>
      </c>
      <c r="P1003" s="50" t="s">
        <v>90</v>
      </c>
    </row>
    <row r="1004" spans="1:16" ht="16.5" thickTop="1" x14ac:dyDescent="0.25">
      <c r="A1004" s="365"/>
      <c r="B1004" s="368"/>
      <c r="C1004" s="9"/>
      <c r="D1004" s="9"/>
      <c r="E1004" s="64"/>
      <c r="F1004" s="222"/>
      <c r="G1004" s="222"/>
      <c r="H1004" s="64">
        <f>SUM(H1000:H1003)</f>
        <v>0</v>
      </c>
      <c r="I1004" s="74">
        <f>H1004*I$6*I$5</f>
        <v>0</v>
      </c>
    </row>
    <row r="1006" spans="1:16" ht="15.6" customHeight="1" x14ac:dyDescent="0.25">
      <c r="A1006" s="363">
        <f>A1000+1</f>
        <v>45681</v>
      </c>
      <c r="B1006" s="366" t="s">
        <v>6</v>
      </c>
      <c r="C1006" s="57" t="s">
        <v>72</v>
      </c>
      <c r="D1006" s="7"/>
      <c r="E1006" s="49"/>
      <c r="F1006" s="48">
        <v>1</v>
      </c>
      <c r="G1006" s="227">
        <f>1/3</f>
        <v>0.33333333333333331</v>
      </c>
      <c r="H1006" s="49">
        <f>F1006*D1006*G1006</f>
        <v>0</v>
      </c>
      <c r="I1006" s="55"/>
      <c r="K1006" s="369" t="s">
        <v>23</v>
      </c>
      <c r="L1006" s="370"/>
      <c r="M1006" s="370"/>
      <c r="N1006" s="370"/>
      <c r="O1006" s="371"/>
    </row>
    <row r="1007" spans="1:16" x14ac:dyDescent="0.25">
      <c r="A1007" s="364"/>
      <c r="B1007" s="367"/>
      <c r="C1007" s="21" t="s">
        <v>73</v>
      </c>
      <c r="E1007" s="17"/>
      <c r="F1007" s="16">
        <v>1</v>
      </c>
      <c r="G1007" s="228"/>
      <c r="H1007" s="17">
        <f>F1007*D1007*G1007</f>
        <v>0</v>
      </c>
      <c r="I1007" s="72"/>
      <c r="K1007" s="47" t="s">
        <v>27</v>
      </c>
      <c r="L1007" s="47" t="s">
        <v>12</v>
      </c>
      <c r="M1007" s="47" t="s">
        <v>87</v>
      </c>
      <c r="N1007" s="47" t="s">
        <v>28</v>
      </c>
      <c r="O1007" s="28" t="s">
        <v>100</v>
      </c>
      <c r="P1007" s="17"/>
    </row>
    <row r="1008" spans="1:16" x14ac:dyDescent="0.25">
      <c r="A1008" s="364"/>
      <c r="B1008" s="367"/>
      <c r="E1008" s="17"/>
      <c r="F1008" s="16">
        <v>1</v>
      </c>
      <c r="G1008" s="228"/>
      <c r="H1008" s="17">
        <f>F1008*D1008</f>
        <v>0</v>
      </c>
      <c r="I1008" s="72"/>
      <c r="K1008" s="3"/>
      <c r="L1008" s="3"/>
      <c r="M1008" s="3"/>
      <c r="N1008" s="3"/>
      <c r="O1008" s="3"/>
      <c r="P1008" s="50" t="s">
        <v>50</v>
      </c>
    </row>
    <row r="1009" spans="1:16" ht="16.5" thickBot="1" x14ac:dyDescent="0.3">
      <c r="A1009" s="364"/>
      <c r="B1009" s="367"/>
      <c r="C1009" s="225" t="s">
        <v>47</v>
      </c>
      <c r="D1009" s="223"/>
      <c r="E1009" s="85"/>
      <c r="F1009" s="224">
        <v>1</v>
      </c>
      <c r="G1009" s="224"/>
      <c r="H1009" s="85">
        <f>F1009*D1009</f>
        <v>0</v>
      </c>
      <c r="I1009" s="86"/>
      <c r="K1009" s="214" t="e">
        <f>K1008/SUM(K1008:O1008)*I1010</f>
        <v>#DIV/0!</v>
      </c>
      <c r="L1009" s="214" t="e">
        <f>L1008/SUM(K1008:O1008)*$I1010</f>
        <v>#DIV/0!</v>
      </c>
      <c r="M1009" s="214" t="e">
        <f>M1008/SUM(K1008:O1008)*$I1010</f>
        <v>#DIV/0!</v>
      </c>
      <c r="N1009" s="214" t="e">
        <f>N1008/SUM(K1008:O1008)*$I1010</f>
        <v>#DIV/0!</v>
      </c>
      <c r="O1009" s="214" t="e">
        <f>O1008/SUM(K1008:O1008)*$I1010</f>
        <v>#DIV/0!</v>
      </c>
      <c r="P1009" s="50" t="s">
        <v>90</v>
      </c>
    </row>
    <row r="1010" spans="1:16" ht="16.5" thickTop="1" x14ac:dyDescent="0.25">
      <c r="A1010" s="365"/>
      <c r="B1010" s="368"/>
      <c r="C1010" s="9"/>
      <c r="D1010" s="9"/>
      <c r="E1010" s="64"/>
      <c r="F1010" s="222"/>
      <c r="G1010" s="222"/>
      <c r="H1010" s="64">
        <f>SUM(H1006:H1009)</f>
        <v>0</v>
      </c>
      <c r="I1010" s="74">
        <f>H1010*I$6*I$5</f>
        <v>0</v>
      </c>
    </row>
    <row r="1012" spans="1:16" ht="15.6" customHeight="1" x14ac:dyDescent="0.25">
      <c r="A1012" s="363">
        <f>A1006+1</f>
        <v>45682</v>
      </c>
      <c r="B1012" s="366" t="s">
        <v>0</v>
      </c>
      <c r="C1012" s="57" t="s">
        <v>72</v>
      </c>
      <c r="D1012" s="7"/>
      <c r="E1012" s="49"/>
      <c r="F1012" s="48">
        <v>1</v>
      </c>
      <c r="G1012" s="227">
        <v>1</v>
      </c>
      <c r="H1012" s="49">
        <f>F1012*D1012*G1012</f>
        <v>0</v>
      </c>
      <c r="I1012" s="55"/>
      <c r="K1012" s="369" t="s">
        <v>23</v>
      </c>
      <c r="L1012" s="370"/>
      <c r="M1012" s="370"/>
      <c r="N1012" s="370"/>
      <c r="O1012" s="371"/>
    </row>
    <row r="1013" spans="1:16" x14ac:dyDescent="0.25">
      <c r="A1013" s="364"/>
      <c r="B1013" s="367"/>
      <c r="C1013" s="21" t="s">
        <v>73</v>
      </c>
      <c r="E1013" s="17"/>
      <c r="F1013" s="16">
        <v>1</v>
      </c>
      <c r="G1013" s="228">
        <v>1</v>
      </c>
      <c r="H1013" s="17">
        <f>F1013*D1013*G1013</f>
        <v>0</v>
      </c>
      <c r="I1013" s="72"/>
      <c r="K1013" s="47" t="s">
        <v>27</v>
      </c>
      <c r="L1013" s="47" t="s">
        <v>12</v>
      </c>
      <c r="M1013" s="47" t="s">
        <v>87</v>
      </c>
      <c r="N1013" s="47" t="s">
        <v>28</v>
      </c>
      <c r="O1013" s="28" t="s">
        <v>100</v>
      </c>
      <c r="P1013" s="17"/>
    </row>
    <row r="1014" spans="1:16" x14ac:dyDescent="0.25">
      <c r="A1014" s="364"/>
      <c r="B1014" s="367"/>
      <c r="E1014" s="17"/>
      <c r="F1014" s="16">
        <v>1</v>
      </c>
      <c r="G1014" s="228"/>
      <c r="H1014" s="17">
        <f>F1014*D1014</f>
        <v>0</v>
      </c>
      <c r="I1014" s="72"/>
      <c r="K1014" s="3"/>
      <c r="L1014" s="3"/>
      <c r="M1014" s="3"/>
      <c r="N1014" s="3"/>
      <c r="O1014" s="3"/>
      <c r="P1014" s="50" t="s">
        <v>50</v>
      </c>
    </row>
    <row r="1015" spans="1:16" ht="16.5" thickBot="1" x14ac:dyDescent="0.3">
      <c r="A1015" s="364"/>
      <c r="B1015" s="367"/>
      <c r="C1015" s="225" t="s">
        <v>47</v>
      </c>
      <c r="D1015" s="223"/>
      <c r="E1015" s="85"/>
      <c r="F1015" s="224">
        <v>1</v>
      </c>
      <c r="G1015" s="224"/>
      <c r="H1015" s="85"/>
      <c r="I1015" s="86"/>
      <c r="K1015" s="214" t="e">
        <f>K1014/SUM(K1014:O1014)*I1016</f>
        <v>#DIV/0!</v>
      </c>
      <c r="L1015" s="214" t="e">
        <f>L1014/SUM(K1014:O1014)*$I1016</f>
        <v>#DIV/0!</v>
      </c>
      <c r="M1015" s="214" t="e">
        <f>M1014/SUM(K1014:O1014)*$I1016</f>
        <v>#DIV/0!</v>
      </c>
      <c r="N1015" s="214" t="e">
        <f>N1014/SUM(K1014:O1014)*$I1016</f>
        <v>#DIV/0!</v>
      </c>
      <c r="O1015" s="214" t="e">
        <f>O1014/SUM(K1014:O1014)*$I1016</f>
        <v>#DIV/0!</v>
      </c>
      <c r="P1015" s="50" t="s">
        <v>90</v>
      </c>
    </row>
    <row r="1016" spans="1:16" ht="16.5" thickTop="1" x14ac:dyDescent="0.25">
      <c r="A1016" s="365"/>
      <c r="B1016" s="368"/>
      <c r="C1016" s="9"/>
      <c r="D1016" s="9"/>
      <c r="E1016" s="64"/>
      <c r="F1016" s="222"/>
      <c r="G1016" s="222"/>
      <c r="H1016" s="64">
        <f>SUM(H1012:H1015)</f>
        <v>0</v>
      </c>
      <c r="I1016" s="74">
        <f>H1016*I$6*I$5</f>
        <v>0</v>
      </c>
    </row>
    <row r="1018" spans="1:16" ht="15.6" customHeight="1" x14ac:dyDescent="0.25">
      <c r="A1018" s="363">
        <f>A1012+1</f>
        <v>45683</v>
      </c>
      <c r="B1018" s="366" t="s">
        <v>1</v>
      </c>
      <c r="C1018" s="57" t="s">
        <v>72</v>
      </c>
      <c r="D1018" s="7"/>
      <c r="E1018" s="49"/>
      <c r="F1018" s="48">
        <v>1</v>
      </c>
      <c r="G1018" s="227"/>
      <c r="H1018" s="49">
        <f>F1018*D1018*G1018</f>
        <v>0</v>
      </c>
      <c r="I1018" s="55"/>
      <c r="K1018" s="369" t="s">
        <v>23</v>
      </c>
      <c r="L1018" s="370"/>
      <c r="M1018" s="370"/>
      <c r="N1018" s="370"/>
      <c r="O1018" s="371"/>
    </row>
    <row r="1019" spans="1:16" x14ac:dyDescent="0.25">
      <c r="A1019" s="364"/>
      <c r="B1019" s="367"/>
      <c r="C1019" s="21" t="s">
        <v>73</v>
      </c>
      <c r="E1019" s="17"/>
      <c r="F1019" s="16">
        <v>1</v>
      </c>
      <c r="G1019" s="228"/>
      <c r="H1019" s="17">
        <f>F1019*D1019*G1019</f>
        <v>0</v>
      </c>
      <c r="I1019" s="72"/>
      <c r="K1019" s="47" t="s">
        <v>27</v>
      </c>
      <c r="L1019" s="47" t="s">
        <v>12</v>
      </c>
      <c r="M1019" s="47" t="s">
        <v>87</v>
      </c>
      <c r="N1019" s="47" t="s">
        <v>28</v>
      </c>
      <c r="O1019" s="28" t="s">
        <v>86</v>
      </c>
      <c r="P1019" s="17"/>
    </row>
    <row r="1020" spans="1:16" x14ac:dyDescent="0.25">
      <c r="A1020" s="364"/>
      <c r="B1020" s="367"/>
      <c r="E1020" s="17"/>
      <c r="F1020" s="16">
        <v>1</v>
      </c>
      <c r="G1020" s="228"/>
      <c r="H1020" s="17">
        <f>F1020*D1020</f>
        <v>0</v>
      </c>
      <c r="I1020" s="72"/>
      <c r="K1020" s="3"/>
      <c r="L1020" s="3"/>
      <c r="M1020" s="3"/>
      <c r="N1020" s="3"/>
      <c r="O1020" s="3"/>
      <c r="P1020" s="50" t="s">
        <v>50</v>
      </c>
    </row>
    <row r="1021" spans="1:16" ht="16.5" thickBot="1" x14ac:dyDescent="0.3">
      <c r="A1021" s="364"/>
      <c r="B1021" s="367"/>
      <c r="C1021" s="225" t="s">
        <v>47</v>
      </c>
      <c r="D1021" s="223"/>
      <c r="E1021" s="85"/>
      <c r="F1021" s="224"/>
      <c r="G1021" s="224"/>
      <c r="H1021" s="85">
        <f>F1021*D1021</f>
        <v>0</v>
      </c>
      <c r="I1021" s="86"/>
      <c r="K1021" s="214" t="e">
        <f>K1020/SUM(K1020:O1020)*I1022</f>
        <v>#DIV/0!</v>
      </c>
      <c r="L1021" s="214" t="e">
        <f>L1020/SUM(K1020:O1020)*$I1022</f>
        <v>#DIV/0!</v>
      </c>
      <c r="M1021" s="214" t="e">
        <f>M1020/SUM(K1020:O1020)*$I1022</f>
        <v>#DIV/0!</v>
      </c>
      <c r="N1021" s="214" t="e">
        <f>N1020/SUM(K1020:O1020)*$I1022</f>
        <v>#DIV/0!</v>
      </c>
      <c r="O1021" s="214" t="e">
        <f>O1020/SUM(K1020:O1020)*$I1022</f>
        <v>#DIV/0!</v>
      </c>
      <c r="P1021" s="50" t="s">
        <v>90</v>
      </c>
    </row>
    <row r="1022" spans="1:16" ht="16.5" thickTop="1" x14ac:dyDescent="0.25">
      <c r="A1022" s="365"/>
      <c r="B1022" s="368"/>
      <c r="C1022" s="9"/>
      <c r="D1022" s="9"/>
      <c r="E1022" s="64"/>
      <c r="F1022" s="222"/>
      <c r="G1022" s="222"/>
      <c r="H1022" s="64">
        <f>SUM(H1018:H1021)</f>
        <v>0</v>
      </c>
      <c r="I1022" s="74">
        <f>H1022*I$6*I$5</f>
        <v>0</v>
      </c>
    </row>
    <row r="1023" spans="1:16" x14ac:dyDescent="0.25">
      <c r="B1023" s="9"/>
    </row>
    <row r="1024" spans="1:16" ht="15.6" customHeight="1" x14ac:dyDescent="0.25">
      <c r="A1024" s="363">
        <f>A1018+1</f>
        <v>45684</v>
      </c>
      <c r="B1024" s="366" t="s">
        <v>25</v>
      </c>
      <c r="C1024" s="57" t="s">
        <v>72</v>
      </c>
      <c r="D1024" s="7"/>
      <c r="E1024" s="49"/>
      <c r="F1024" s="48">
        <v>1</v>
      </c>
      <c r="G1024" s="227"/>
      <c r="H1024" s="49">
        <f>F1024*D1024*G1024</f>
        <v>0</v>
      </c>
      <c r="I1024" s="55"/>
      <c r="K1024" s="369" t="s">
        <v>23</v>
      </c>
      <c r="L1024" s="370"/>
      <c r="M1024" s="370"/>
      <c r="N1024" s="370"/>
      <c r="O1024" s="371"/>
    </row>
    <row r="1025" spans="1:16" x14ac:dyDescent="0.25">
      <c r="A1025" s="364"/>
      <c r="B1025" s="367"/>
      <c r="C1025" s="21" t="s">
        <v>73</v>
      </c>
      <c r="E1025" s="17"/>
      <c r="F1025" s="16">
        <v>1</v>
      </c>
      <c r="G1025" s="228"/>
      <c r="H1025" s="17">
        <f>F1025*D1025*G1025</f>
        <v>0</v>
      </c>
      <c r="I1025" s="72"/>
      <c r="K1025" s="47" t="s">
        <v>27</v>
      </c>
      <c r="L1025" s="47" t="s">
        <v>12</v>
      </c>
      <c r="M1025" s="47" t="s">
        <v>87</v>
      </c>
      <c r="N1025" s="47" t="s">
        <v>28</v>
      </c>
      <c r="O1025" s="28" t="s">
        <v>86</v>
      </c>
      <c r="P1025" s="17"/>
    </row>
    <row r="1026" spans="1:16" x14ac:dyDescent="0.25">
      <c r="A1026" s="364"/>
      <c r="B1026" s="367"/>
      <c r="E1026" s="17"/>
      <c r="F1026" s="16">
        <v>1</v>
      </c>
      <c r="G1026" s="228"/>
      <c r="H1026" s="17">
        <f>F1026*D1026</f>
        <v>0</v>
      </c>
      <c r="I1026" s="72"/>
      <c r="K1026" s="3"/>
      <c r="L1026" s="3"/>
      <c r="M1026" s="3"/>
      <c r="N1026" s="3"/>
      <c r="O1026" s="3"/>
      <c r="P1026" s="50" t="s">
        <v>50</v>
      </c>
    </row>
    <row r="1027" spans="1:16" ht="16.5" thickBot="1" x14ac:dyDescent="0.3">
      <c r="A1027" s="364"/>
      <c r="B1027" s="367"/>
      <c r="C1027" s="225" t="s">
        <v>47</v>
      </c>
      <c r="D1027" s="223"/>
      <c r="E1027" s="85"/>
      <c r="F1027" s="224">
        <v>1</v>
      </c>
      <c r="G1027" s="224"/>
      <c r="H1027" s="85">
        <f>F1027*D1027</f>
        <v>0</v>
      </c>
      <c r="I1027" s="86"/>
      <c r="K1027" s="214" t="e">
        <f>K1026/SUM(K1026:O1026)*I1028</f>
        <v>#DIV/0!</v>
      </c>
      <c r="L1027" s="214" t="e">
        <f>L1026/SUM(K1026:O1026)*$I1028</f>
        <v>#DIV/0!</v>
      </c>
      <c r="M1027" s="214" t="e">
        <f>M1026/SUM(K1026:O1026)*$I1028</f>
        <v>#DIV/0!</v>
      </c>
      <c r="N1027" s="214" t="e">
        <f>N1026/SUM(K1026:O1026)*$I1028</f>
        <v>#DIV/0!</v>
      </c>
      <c r="O1027" s="214" t="e">
        <f>O1026/SUM(K1026:O1026)*$I1028</f>
        <v>#DIV/0!</v>
      </c>
      <c r="P1027" s="50" t="s">
        <v>90</v>
      </c>
    </row>
    <row r="1028" spans="1:16" ht="16.5" thickTop="1" x14ac:dyDescent="0.25">
      <c r="A1028" s="365"/>
      <c r="B1028" s="368"/>
      <c r="C1028" s="9"/>
      <c r="D1028" s="9"/>
      <c r="E1028" s="64"/>
      <c r="F1028" s="222"/>
      <c r="G1028" s="222"/>
      <c r="H1028" s="64">
        <f>SUM(H1024:H1027)</f>
        <v>0</v>
      </c>
      <c r="I1028" s="74">
        <f>H1028*I$6*I$5</f>
        <v>0</v>
      </c>
    </row>
    <row r="1030" spans="1:16" ht="15.6" customHeight="1" x14ac:dyDescent="0.25">
      <c r="A1030" s="363">
        <f>A1024+1</f>
        <v>45685</v>
      </c>
      <c r="B1030" s="366" t="s">
        <v>3</v>
      </c>
      <c r="C1030" s="57" t="s">
        <v>72</v>
      </c>
      <c r="D1030" s="7"/>
      <c r="E1030" s="49"/>
      <c r="F1030" s="48">
        <v>1</v>
      </c>
      <c r="G1030" s="227"/>
      <c r="H1030" s="49">
        <f>F1030*D1030*G1030</f>
        <v>0</v>
      </c>
      <c r="I1030" s="55"/>
      <c r="K1030" s="369" t="s">
        <v>23</v>
      </c>
      <c r="L1030" s="370"/>
      <c r="M1030" s="370"/>
      <c r="N1030" s="370"/>
      <c r="O1030" s="371"/>
    </row>
    <row r="1031" spans="1:16" x14ac:dyDescent="0.25">
      <c r="A1031" s="364"/>
      <c r="B1031" s="367"/>
      <c r="C1031" s="21" t="s">
        <v>73</v>
      </c>
      <c r="E1031" s="17"/>
      <c r="F1031" s="16">
        <v>1</v>
      </c>
      <c r="G1031" s="228"/>
      <c r="H1031" s="17">
        <f>F1031*D1031*G1031</f>
        <v>0</v>
      </c>
      <c r="I1031" s="72"/>
      <c r="K1031" s="47" t="s">
        <v>27</v>
      </c>
      <c r="L1031" s="47" t="s">
        <v>12</v>
      </c>
      <c r="M1031" s="47" t="s">
        <v>87</v>
      </c>
      <c r="N1031" s="47" t="s">
        <v>28</v>
      </c>
      <c r="O1031" s="28" t="s">
        <v>86</v>
      </c>
      <c r="P1031" s="17"/>
    </row>
    <row r="1032" spans="1:16" x14ac:dyDescent="0.25">
      <c r="A1032" s="364"/>
      <c r="B1032" s="367"/>
      <c r="E1032" s="17"/>
      <c r="F1032" s="16">
        <v>1</v>
      </c>
      <c r="G1032" s="228"/>
      <c r="H1032" s="17">
        <f>F1032*D1032</f>
        <v>0</v>
      </c>
      <c r="I1032" s="72"/>
      <c r="K1032" s="3"/>
      <c r="L1032" s="3"/>
      <c r="M1032" s="3"/>
      <c r="N1032" s="3"/>
      <c r="O1032" s="3"/>
      <c r="P1032" s="50" t="s">
        <v>50</v>
      </c>
    </row>
    <row r="1033" spans="1:16" ht="16.5" thickBot="1" x14ac:dyDescent="0.3">
      <c r="A1033" s="364"/>
      <c r="B1033" s="367"/>
      <c r="C1033" s="225" t="s">
        <v>47</v>
      </c>
      <c r="D1033" s="223"/>
      <c r="E1033" s="85"/>
      <c r="F1033" s="224">
        <v>1</v>
      </c>
      <c r="G1033" s="224"/>
      <c r="H1033" s="85">
        <f>F1033*D1033</f>
        <v>0</v>
      </c>
      <c r="I1033" s="86"/>
      <c r="K1033" s="214" t="e">
        <f>K1032/SUM(K1032:O1032)*I1034</f>
        <v>#DIV/0!</v>
      </c>
      <c r="L1033" s="214" t="e">
        <f>L1032/SUM(K1032:O1032)*$I1034</f>
        <v>#DIV/0!</v>
      </c>
      <c r="M1033" s="214" t="e">
        <f>M1032/SUM(K1032:O1032)*$I1034</f>
        <v>#DIV/0!</v>
      </c>
      <c r="N1033" s="214" t="e">
        <f>N1032/SUM(K1032:O1032)*$I1034</f>
        <v>#DIV/0!</v>
      </c>
      <c r="O1033" s="214" t="e">
        <f>O1032/SUM(K1032:O1032)*$I1034</f>
        <v>#DIV/0!</v>
      </c>
      <c r="P1033" s="50" t="s">
        <v>90</v>
      </c>
    </row>
    <row r="1034" spans="1:16" ht="16.5" thickTop="1" x14ac:dyDescent="0.25">
      <c r="A1034" s="365"/>
      <c r="B1034" s="368"/>
      <c r="C1034" s="9"/>
      <c r="D1034" s="9"/>
      <c r="E1034" s="64"/>
      <c r="F1034" s="222"/>
      <c r="G1034" s="222"/>
      <c r="H1034" s="64">
        <f>SUM(H1030:H1033)</f>
        <v>0</v>
      </c>
      <c r="I1034" s="74">
        <f>H1034*I$6*I$5</f>
        <v>0</v>
      </c>
    </row>
    <row r="1036" spans="1:16" ht="15.6" customHeight="1" x14ac:dyDescent="0.25">
      <c r="A1036" s="363">
        <f>A1030+1</f>
        <v>45686</v>
      </c>
      <c r="B1036" s="366" t="s">
        <v>24</v>
      </c>
      <c r="C1036" s="57" t="s">
        <v>72</v>
      </c>
      <c r="D1036" s="7"/>
      <c r="E1036" s="49"/>
      <c r="F1036" s="48">
        <v>1</v>
      </c>
      <c r="G1036" s="227"/>
      <c r="H1036" s="49">
        <f>F1036*D1036*G1036</f>
        <v>0</v>
      </c>
      <c r="I1036" s="55"/>
      <c r="K1036" s="369" t="s">
        <v>23</v>
      </c>
      <c r="L1036" s="370"/>
      <c r="M1036" s="370"/>
      <c r="N1036" s="370"/>
      <c r="O1036" s="371"/>
    </row>
    <row r="1037" spans="1:16" x14ac:dyDescent="0.25">
      <c r="A1037" s="364"/>
      <c r="B1037" s="367"/>
      <c r="C1037" s="21" t="s">
        <v>73</v>
      </c>
      <c r="E1037" s="17"/>
      <c r="F1037" s="16">
        <v>1</v>
      </c>
      <c r="G1037" s="228"/>
      <c r="H1037" s="17">
        <f>F1037*D1037*G1037</f>
        <v>0</v>
      </c>
      <c r="I1037" s="72"/>
      <c r="K1037" s="47" t="s">
        <v>27</v>
      </c>
      <c r="L1037" s="47" t="s">
        <v>12</v>
      </c>
      <c r="M1037" s="47" t="s">
        <v>87</v>
      </c>
      <c r="N1037" s="47" t="s">
        <v>28</v>
      </c>
      <c r="O1037" s="28" t="s">
        <v>86</v>
      </c>
      <c r="P1037" s="17"/>
    </row>
    <row r="1038" spans="1:16" x14ac:dyDescent="0.25">
      <c r="A1038" s="364"/>
      <c r="B1038" s="367"/>
      <c r="E1038" s="17"/>
      <c r="F1038" s="16">
        <v>1</v>
      </c>
      <c r="G1038" s="228"/>
      <c r="H1038" s="17">
        <f>F1038*D1038</f>
        <v>0</v>
      </c>
      <c r="I1038" s="72"/>
      <c r="K1038" s="3"/>
      <c r="L1038" s="3">
        <v>1</v>
      </c>
      <c r="M1038" s="3"/>
      <c r="N1038" s="3"/>
      <c r="O1038" s="3"/>
      <c r="P1038" s="50" t="s">
        <v>50</v>
      </c>
    </row>
    <row r="1039" spans="1:16" ht="16.5" thickBot="1" x14ac:dyDescent="0.3">
      <c r="A1039" s="364"/>
      <c r="B1039" s="367"/>
      <c r="C1039" s="225" t="s">
        <v>47</v>
      </c>
      <c r="D1039" s="223"/>
      <c r="E1039" s="85"/>
      <c r="F1039" s="224">
        <v>1</v>
      </c>
      <c r="G1039" s="224"/>
      <c r="H1039" s="85">
        <f>F1039*D1039</f>
        <v>0</v>
      </c>
      <c r="I1039" s="86"/>
      <c r="K1039" s="214">
        <f>K1038/SUM(K1038:O1038)*I1040</f>
        <v>0</v>
      </c>
      <c r="L1039" s="214">
        <f>L1038/SUM(K1038:O1038)*$I1040</f>
        <v>0</v>
      </c>
      <c r="M1039" s="214">
        <f>M1038/SUM(K1038:O1038)*$I1040</f>
        <v>0</v>
      </c>
      <c r="N1039" s="214">
        <f>N1038/SUM(K1038:O1038)*$I1040</f>
        <v>0</v>
      </c>
      <c r="O1039" s="214">
        <f>O1038/SUM(K1038:O1038)*$I1040</f>
        <v>0</v>
      </c>
      <c r="P1039" s="50" t="s">
        <v>90</v>
      </c>
    </row>
    <row r="1040" spans="1:16" ht="16.5" thickTop="1" x14ac:dyDescent="0.25">
      <c r="A1040" s="365"/>
      <c r="B1040" s="368"/>
      <c r="C1040" s="9"/>
      <c r="D1040" s="9"/>
      <c r="E1040" s="64"/>
      <c r="F1040" s="222"/>
      <c r="G1040" s="222"/>
      <c r="H1040" s="64">
        <f>SUM(H1036:H1039)</f>
        <v>0</v>
      </c>
      <c r="I1040" s="74">
        <f>H1040*I$6*I$5</f>
        <v>0</v>
      </c>
    </row>
    <row r="1042" spans="1:16" ht="15.6" customHeight="1" x14ac:dyDescent="0.25">
      <c r="A1042" s="363">
        <f>A1036+1</f>
        <v>45687</v>
      </c>
      <c r="B1042" s="366" t="s">
        <v>5</v>
      </c>
      <c r="C1042" s="57" t="s">
        <v>72</v>
      </c>
      <c r="D1042" s="7"/>
      <c r="E1042" s="49"/>
      <c r="F1042" s="48">
        <v>1</v>
      </c>
      <c r="G1042" s="227">
        <v>1</v>
      </c>
      <c r="H1042" s="49">
        <f>F1042*D1042*G1042</f>
        <v>0</v>
      </c>
      <c r="I1042" s="55"/>
      <c r="K1042" s="369" t="s">
        <v>23</v>
      </c>
      <c r="L1042" s="370"/>
      <c r="M1042" s="370"/>
      <c r="N1042" s="370"/>
      <c r="O1042" s="371"/>
    </row>
    <row r="1043" spans="1:16" x14ac:dyDescent="0.25">
      <c r="A1043" s="364"/>
      <c r="B1043" s="367"/>
      <c r="C1043" s="21" t="s">
        <v>73</v>
      </c>
      <c r="E1043" s="17"/>
      <c r="F1043" s="16">
        <v>1</v>
      </c>
      <c r="G1043" s="228">
        <v>1</v>
      </c>
      <c r="H1043" s="17">
        <f>F1043*D1043*G1043</f>
        <v>0</v>
      </c>
      <c r="I1043" s="72"/>
      <c r="K1043" s="47" t="s">
        <v>27</v>
      </c>
      <c r="L1043" s="47" t="s">
        <v>12</v>
      </c>
      <c r="M1043" s="47" t="s">
        <v>87</v>
      </c>
      <c r="N1043" s="47" t="s">
        <v>28</v>
      </c>
      <c r="O1043" s="28" t="s">
        <v>86</v>
      </c>
      <c r="P1043" s="17"/>
    </row>
    <row r="1044" spans="1:16" x14ac:dyDescent="0.25">
      <c r="A1044" s="364"/>
      <c r="B1044" s="367"/>
      <c r="E1044" s="17"/>
      <c r="F1044" s="16">
        <v>1</v>
      </c>
      <c r="G1044" s="228"/>
      <c r="H1044" s="17">
        <f>F1044*D1044</f>
        <v>0</v>
      </c>
      <c r="I1044" s="72"/>
      <c r="K1044" s="3"/>
      <c r="L1044" s="3"/>
      <c r="M1044" s="3"/>
      <c r="N1044" s="3"/>
      <c r="O1044" s="3"/>
      <c r="P1044" s="50" t="s">
        <v>50</v>
      </c>
    </row>
    <row r="1045" spans="1:16" ht="16.5" thickBot="1" x14ac:dyDescent="0.3">
      <c r="A1045" s="364"/>
      <c r="B1045" s="367"/>
      <c r="C1045" s="225" t="s">
        <v>47</v>
      </c>
      <c r="D1045" s="223"/>
      <c r="E1045" s="85"/>
      <c r="F1045" s="224">
        <v>1</v>
      </c>
      <c r="G1045" s="224"/>
      <c r="H1045" s="85"/>
      <c r="I1045" s="86"/>
      <c r="K1045" s="214" t="e">
        <f>K1044/SUM(K1044:O1044)*I1046</f>
        <v>#DIV/0!</v>
      </c>
      <c r="L1045" s="214" t="e">
        <f>L1044/SUM(K1044:O1044)*$I1046</f>
        <v>#DIV/0!</v>
      </c>
      <c r="M1045" s="214" t="e">
        <f>M1044/SUM(K1044:O1044)*$I1046</f>
        <v>#DIV/0!</v>
      </c>
      <c r="N1045" s="214" t="e">
        <f>N1044/SUM(K1044:O1044)*$I1046</f>
        <v>#DIV/0!</v>
      </c>
      <c r="O1045" s="214" t="e">
        <f>O1044/SUM(K1044:O1044)*$I1046</f>
        <v>#DIV/0!</v>
      </c>
      <c r="P1045" s="50" t="s">
        <v>90</v>
      </c>
    </row>
    <row r="1046" spans="1:16" ht="16.5" thickTop="1" x14ac:dyDescent="0.25">
      <c r="A1046" s="365"/>
      <c r="B1046" s="368"/>
      <c r="C1046" s="9"/>
      <c r="D1046" s="9"/>
      <c r="E1046" s="64"/>
      <c r="F1046" s="222"/>
      <c r="G1046" s="222"/>
      <c r="H1046" s="64">
        <f>SUM(H1042:H1045)</f>
        <v>0</v>
      </c>
      <c r="I1046" s="74">
        <f>H1046*I$6*I$5</f>
        <v>0</v>
      </c>
    </row>
    <row r="1048" spans="1:16" ht="15.6" customHeight="1" x14ac:dyDescent="0.25">
      <c r="A1048" s="363">
        <f>A1042+1</f>
        <v>45688</v>
      </c>
      <c r="B1048" s="366" t="s">
        <v>6</v>
      </c>
      <c r="C1048" s="57" t="s">
        <v>72</v>
      </c>
      <c r="D1048" s="7"/>
      <c r="E1048" s="49"/>
      <c r="F1048" s="48">
        <v>1</v>
      </c>
      <c r="G1048" s="227">
        <v>1</v>
      </c>
      <c r="H1048" s="49">
        <f>F1048*D1048*G1048</f>
        <v>0</v>
      </c>
      <c r="I1048" s="55"/>
      <c r="K1048" s="369" t="s">
        <v>23</v>
      </c>
      <c r="L1048" s="370"/>
      <c r="M1048" s="370"/>
      <c r="N1048" s="370"/>
      <c r="O1048" s="371"/>
    </row>
    <row r="1049" spans="1:16" x14ac:dyDescent="0.25">
      <c r="A1049" s="364"/>
      <c r="B1049" s="367"/>
      <c r="C1049" s="21" t="s">
        <v>73</v>
      </c>
      <c r="E1049" s="17"/>
      <c r="F1049" s="16">
        <v>1</v>
      </c>
      <c r="G1049" s="228">
        <v>1</v>
      </c>
      <c r="H1049" s="17">
        <f>F1049*D1049*G1049</f>
        <v>0</v>
      </c>
      <c r="I1049" s="72"/>
      <c r="K1049" s="47" t="s">
        <v>27</v>
      </c>
      <c r="L1049" s="47" t="s">
        <v>12</v>
      </c>
      <c r="M1049" s="47" t="s">
        <v>87</v>
      </c>
      <c r="N1049" s="47" t="s">
        <v>28</v>
      </c>
      <c r="O1049" s="28" t="s">
        <v>86</v>
      </c>
      <c r="P1049" s="17"/>
    </row>
    <row r="1050" spans="1:16" x14ac:dyDescent="0.25">
      <c r="A1050" s="364"/>
      <c r="B1050" s="367"/>
      <c r="E1050" s="17"/>
      <c r="F1050" s="16">
        <v>1</v>
      </c>
      <c r="G1050" s="228"/>
      <c r="H1050" s="17">
        <f>F1050*D1050</f>
        <v>0</v>
      </c>
      <c r="I1050" s="72"/>
      <c r="K1050" s="3"/>
      <c r="L1050" s="3"/>
      <c r="M1050" s="3"/>
      <c r="N1050" s="3"/>
      <c r="O1050" s="3"/>
      <c r="P1050" s="50" t="s">
        <v>50</v>
      </c>
    </row>
    <row r="1051" spans="1:16" ht="16.5" thickBot="1" x14ac:dyDescent="0.3">
      <c r="A1051" s="364"/>
      <c r="B1051" s="367"/>
      <c r="C1051" s="225" t="s">
        <v>47</v>
      </c>
      <c r="D1051" s="223"/>
      <c r="E1051" s="85"/>
      <c r="F1051" s="224">
        <v>1</v>
      </c>
      <c r="G1051" s="224"/>
      <c r="H1051" s="85"/>
      <c r="I1051" s="86"/>
      <c r="K1051" s="214" t="e">
        <f>K1050/SUM(K1050:O1050)*I1052</f>
        <v>#DIV/0!</v>
      </c>
      <c r="L1051" s="214" t="e">
        <f>L1050/SUM(K1050:O1050)*$I1052</f>
        <v>#DIV/0!</v>
      </c>
      <c r="M1051" s="214" t="e">
        <f>M1050/SUM(K1050:O1050)*$I1052</f>
        <v>#DIV/0!</v>
      </c>
      <c r="N1051" s="214" t="e">
        <f>N1050/SUM(K1050:O1050)*$I1052</f>
        <v>#DIV/0!</v>
      </c>
      <c r="O1051" s="214" t="e">
        <f>O1050/SUM(K1050:O1050)*$I1052</f>
        <v>#DIV/0!</v>
      </c>
      <c r="P1051" s="50" t="s">
        <v>90</v>
      </c>
    </row>
    <row r="1052" spans="1:16" ht="16.5" thickTop="1" x14ac:dyDescent="0.25">
      <c r="A1052" s="365"/>
      <c r="B1052" s="368"/>
      <c r="C1052" s="9"/>
      <c r="D1052" s="9"/>
      <c r="E1052" s="64"/>
      <c r="F1052" s="222"/>
      <c r="G1052" s="222"/>
      <c r="H1052" s="64">
        <f>SUM(H1048:H1051)</f>
        <v>0</v>
      </c>
      <c r="I1052" s="74">
        <f>H1052*I$6*I$5</f>
        <v>0</v>
      </c>
    </row>
    <row r="1054" spans="1:16" ht="15.6" customHeight="1" x14ac:dyDescent="0.25">
      <c r="A1054" s="363">
        <f>A1048+1</f>
        <v>45689</v>
      </c>
      <c r="B1054" s="366" t="s">
        <v>0</v>
      </c>
      <c r="C1054" s="57" t="s">
        <v>72</v>
      </c>
      <c r="D1054" s="7"/>
      <c r="E1054" s="49"/>
      <c r="F1054" s="48">
        <v>1</v>
      </c>
      <c r="G1054" s="227"/>
      <c r="H1054" s="49">
        <f>F1054*D1054*G1054</f>
        <v>0</v>
      </c>
      <c r="I1054" s="55"/>
      <c r="K1054" s="369" t="s">
        <v>23</v>
      </c>
      <c r="L1054" s="370"/>
      <c r="M1054" s="370"/>
      <c r="N1054" s="370"/>
      <c r="O1054" s="371"/>
    </row>
    <row r="1055" spans="1:16" x14ac:dyDescent="0.25">
      <c r="A1055" s="364"/>
      <c r="B1055" s="367"/>
      <c r="C1055" s="21" t="s">
        <v>73</v>
      </c>
      <c r="E1055" s="17"/>
      <c r="F1055" s="16">
        <v>1</v>
      </c>
      <c r="G1055" s="228"/>
      <c r="H1055" s="17">
        <f>F1055*D1055*G1055</f>
        <v>0</v>
      </c>
      <c r="I1055" s="72"/>
      <c r="K1055" s="47" t="s">
        <v>27</v>
      </c>
      <c r="L1055" s="47" t="s">
        <v>12</v>
      </c>
      <c r="M1055" s="47" t="s">
        <v>87</v>
      </c>
      <c r="N1055" s="47" t="s">
        <v>28</v>
      </c>
      <c r="O1055" s="28" t="s">
        <v>86</v>
      </c>
      <c r="P1055" s="17"/>
    </row>
    <row r="1056" spans="1:16" x14ac:dyDescent="0.25">
      <c r="A1056" s="364"/>
      <c r="B1056" s="367"/>
      <c r="E1056" s="17"/>
      <c r="F1056" s="16">
        <v>1</v>
      </c>
      <c r="G1056" s="228"/>
      <c r="H1056" s="17">
        <f>F1056*D1056</f>
        <v>0</v>
      </c>
      <c r="I1056" s="72"/>
      <c r="K1056" s="3"/>
      <c r="L1056" s="3"/>
      <c r="M1056" s="3"/>
      <c r="N1056" s="3"/>
      <c r="O1056" s="3"/>
      <c r="P1056" s="50" t="s">
        <v>50</v>
      </c>
    </row>
    <row r="1057" spans="1:16" ht="16.5" thickBot="1" x14ac:dyDescent="0.3">
      <c r="A1057" s="364"/>
      <c r="B1057" s="367"/>
      <c r="C1057" s="225" t="s">
        <v>47</v>
      </c>
      <c r="D1057" s="223"/>
      <c r="E1057" s="85"/>
      <c r="F1057" s="224"/>
      <c r="G1057" s="224"/>
      <c r="H1057" s="85">
        <f>F1057*D1057</f>
        <v>0</v>
      </c>
      <c r="I1057" s="86"/>
      <c r="K1057" s="214" t="e">
        <f>K1056/SUM(K1056:O1056)*I1058</f>
        <v>#DIV/0!</v>
      </c>
      <c r="L1057" s="214" t="e">
        <f>L1056/SUM(K1056:O1056)*$I1058</f>
        <v>#DIV/0!</v>
      </c>
      <c r="M1057" s="214" t="e">
        <f>M1056/SUM(K1056:O1056)*$I1058</f>
        <v>#DIV/0!</v>
      </c>
      <c r="N1057" s="214" t="e">
        <f>N1056/SUM(K1056:O1056)*$I1058</f>
        <v>#DIV/0!</v>
      </c>
      <c r="O1057" s="214" t="e">
        <f>O1056/SUM(K1056:O1056)*$I1058</f>
        <v>#DIV/0!</v>
      </c>
      <c r="P1057" s="50" t="s">
        <v>90</v>
      </c>
    </row>
    <row r="1058" spans="1:16" ht="16.5" thickTop="1" x14ac:dyDescent="0.25">
      <c r="A1058" s="365"/>
      <c r="B1058" s="368"/>
      <c r="C1058" s="9"/>
      <c r="D1058" s="9"/>
      <c r="E1058" s="64"/>
      <c r="F1058" s="222"/>
      <c r="G1058" s="222"/>
      <c r="H1058" s="64">
        <f>SUM(H1054:H1057)</f>
        <v>0</v>
      </c>
      <c r="I1058" s="74">
        <f>H1058*I$6*I$5</f>
        <v>0</v>
      </c>
    </row>
    <row r="1060" spans="1:16" ht="15.6" customHeight="1" x14ac:dyDescent="0.25">
      <c r="A1060" s="363">
        <f>A1054+1</f>
        <v>45690</v>
      </c>
      <c r="B1060" s="366" t="s">
        <v>1</v>
      </c>
      <c r="C1060" s="57" t="s">
        <v>72</v>
      </c>
      <c r="D1060" s="7"/>
      <c r="E1060" s="49"/>
      <c r="F1060" s="48">
        <v>1</v>
      </c>
      <c r="G1060" s="227">
        <v>1</v>
      </c>
      <c r="H1060" s="49">
        <f>F1060*D1060*G1060</f>
        <v>0</v>
      </c>
      <c r="I1060" s="55"/>
      <c r="K1060" s="369" t="s">
        <v>23</v>
      </c>
      <c r="L1060" s="370"/>
      <c r="M1060" s="370"/>
      <c r="N1060" s="370"/>
      <c r="O1060" s="371"/>
    </row>
    <row r="1061" spans="1:16" x14ac:dyDescent="0.25">
      <c r="A1061" s="364"/>
      <c r="B1061" s="367"/>
      <c r="C1061" s="21" t="s">
        <v>73</v>
      </c>
      <c r="E1061" s="17"/>
      <c r="F1061" s="16">
        <v>1</v>
      </c>
      <c r="G1061" s="228">
        <v>1</v>
      </c>
      <c r="H1061" s="17">
        <f>F1061*D1061*G1061</f>
        <v>0</v>
      </c>
      <c r="I1061" s="72"/>
      <c r="K1061" s="47" t="s">
        <v>27</v>
      </c>
      <c r="L1061" s="47" t="s">
        <v>12</v>
      </c>
      <c r="M1061" s="47" t="s">
        <v>87</v>
      </c>
      <c r="N1061" s="47" t="s">
        <v>28</v>
      </c>
      <c r="O1061" s="28" t="s">
        <v>86</v>
      </c>
      <c r="P1061" s="17"/>
    </row>
    <row r="1062" spans="1:16" x14ac:dyDescent="0.25">
      <c r="A1062" s="364"/>
      <c r="B1062" s="367"/>
      <c r="E1062" s="17"/>
      <c r="F1062" s="16">
        <v>1</v>
      </c>
      <c r="G1062" s="228"/>
      <c r="H1062" s="17">
        <f>F1062*D1062</f>
        <v>0</v>
      </c>
      <c r="I1062" s="72"/>
      <c r="K1062" s="3"/>
      <c r="L1062" s="3"/>
      <c r="M1062" s="3"/>
      <c r="N1062" s="3"/>
      <c r="O1062" s="3"/>
      <c r="P1062" s="50" t="s">
        <v>50</v>
      </c>
    </row>
    <row r="1063" spans="1:16" ht="16.5" thickBot="1" x14ac:dyDescent="0.3">
      <c r="A1063" s="364"/>
      <c r="B1063" s="367"/>
      <c r="C1063" s="225" t="s">
        <v>47</v>
      </c>
      <c r="D1063" s="223"/>
      <c r="E1063" s="85"/>
      <c r="F1063" s="224"/>
      <c r="G1063" s="224"/>
      <c r="H1063" s="85">
        <f>F1063*D1063</f>
        <v>0</v>
      </c>
      <c r="I1063" s="86"/>
      <c r="K1063" s="214" t="e">
        <f>K1062/SUM(K1062:O1062)*I1064</f>
        <v>#DIV/0!</v>
      </c>
      <c r="L1063" s="214" t="e">
        <f>L1062/SUM(K1062:O1062)*$I1064</f>
        <v>#DIV/0!</v>
      </c>
      <c r="M1063" s="214" t="e">
        <f>M1062/SUM(K1062:O1062)*$I1064</f>
        <v>#DIV/0!</v>
      </c>
      <c r="N1063" s="214" t="e">
        <f>N1062/SUM(K1062:O1062)*$I1064</f>
        <v>#DIV/0!</v>
      </c>
      <c r="O1063" s="214" t="e">
        <f>O1062/SUM(K1062:O1062)*$I1064</f>
        <v>#DIV/0!</v>
      </c>
      <c r="P1063" s="50" t="s">
        <v>90</v>
      </c>
    </row>
    <row r="1064" spans="1:16" ht="16.5" thickTop="1" x14ac:dyDescent="0.25">
      <c r="A1064" s="365"/>
      <c r="B1064" s="368"/>
      <c r="C1064" s="9"/>
      <c r="D1064" s="9"/>
      <c r="E1064" s="64"/>
      <c r="F1064" s="222"/>
      <c r="G1064" s="222"/>
      <c r="H1064" s="64">
        <f>SUM(H1060:H1063)</f>
        <v>0</v>
      </c>
      <c r="I1064" s="74">
        <f>H1064*I$6*I$5</f>
        <v>0</v>
      </c>
    </row>
    <row r="1065" spans="1:16" x14ac:dyDescent="0.25">
      <c r="B1065" s="9"/>
    </row>
    <row r="1066" spans="1:16" ht="15.6" customHeight="1" x14ac:dyDescent="0.25">
      <c r="A1066" s="363">
        <f>A1060+1</f>
        <v>45691</v>
      </c>
      <c r="B1066" s="366" t="s">
        <v>25</v>
      </c>
      <c r="C1066" s="57" t="s">
        <v>72</v>
      </c>
      <c r="D1066" s="7"/>
      <c r="E1066" s="49"/>
      <c r="F1066" s="48">
        <v>1</v>
      </c>
      <c r="G1066" s="227"/>
      <c r="H1066" s="49">
        <f>F1066*D1066*G1066</f>
        <v>0</v>
      </c>
      <c r="I1066" s="55"/>
      <c r="K1066" s="369" t="s">
        <v>23</v>
      </c>
      <c r="L1066" s="370"/>
      <c r="M1066" s="370"/>
      <c r="N1066" s="370"/>
      <c r="O1066" s="371"/>
    </row>
    <row r="1067" spans="1:16" x14ac:dyDescent="0.25">
      <c r="A1067" s="364"/>
      <c r="B1067" s="367"/>
      <c r="C1067" s="21" t="s">
        <v>73</v>
      </c>
      <c r="E1067" s="17"/>
      <c r="F1067" s="16">
        <v>1</v>
      </c>
      <c r="G1067" s="228"/>
      <c r="H1067" s="17">
        <f>F1067*D1067*G1067</f>
        <v>0</v>
      </c>
      <c r="I1067" s="72"/>
      <c r="K1067" s="47" t="s">
        <v>27</v>
      </c>
      <c r="L1067" s="47" t="s">
        <v>12</v>
      </c>
      <c r="M1067" s="47" t="s">
        <v>87</v>
      </c>
      <c r="N1067" s="47" t="s">
        <v>28</v>
      </c>
      <c r="O1067" s="28" t="s">
        <v>86</v>
      </c>
      <c r="P1067" s="17"/>
    </row>
    <row r="1068" spans="1:16" x14ac:dyDescent="0.25">
      <c r="A1068" s="364"/>
      <c r="B1068" s="367"/>
      <c r="E1068" s="17"/>
      <c r="F1068" s="16">
        <v>1</v>
      </c>
      <c r="G1068" s="228"/>
      <c r="H1068" s="17">
        <f>F1068*D1068</f>
        <v>0</v>
      </c>
      <c r="I1068" s="72"/>
      <c r="K1068" s="3"/>
      <c r="L1068" s="3"/>
      <c r="M1068" s="3"/>
      <c r="N1068" s="3"/>
      <c r="O1068" s="3"/>
      <c r="P1068" s="50" t="s">
        <v>50</v>
      </c>
    </row>
    <row r="1069" spans="1:16" ht="16.5" thickBot="1" x14ac:dyDescent="0.3">
      <c r="A1069" s="364"/>
      <c r="B1069" s="367"/>
      <c r="C1069" s="225" t="s">
        <v>47</v>
      </c>
      <c r="D1069" s="223"/>
      <c r="E1069" s="85"/>
      <c r="F1069" s="224">
        <v>1</v>
      </c>
      <c r="G1069" s="224"/>
      <c r="H1069" s="85">
        <f>F1069*D1069</f>
        <v>0</v>
      </c>
      <c r="I1069" s="86"/>
      <c r="K1069" s="214" t="e">
        <f>K1068/SUM(K1068:O1068)*I1070</f>
        <v>#DIV/0!</v>
      </c>
      <c r="L1069" s="214" t="e">
        <f>L1068/SUM(K1068:O1068)*$I1070</f>
        <v>#DIV/0!</v>
      </c>
      <c r="M1069" s="214" t="e">
        <f>M1068/SUM(K1068:O1068)*$I1070</f>
        <v>#DIV/0!</v>
      </c>
      <c r="N1069" s="214" t="e">
        <f>N1068/SUM(K1068:O1068)*$I1070</f>
        <v>#DIV/0!</v>
      </c>
      <c r="O1069" s="214" t="e">
        <f>O1068/SUM(K1068:O1068)*$I1070</f>
        <v>#DIV/0!</v>
      </c>
      <c r="P1069" s="50" t="s">
        <v>90</v>
      </c>
    </row>
    <row r="1070" spans="1:16" ht="16.5" thickTop="1" x14ac:dyDescent="0.25">
      <c r="A1070" s="365"/>
      <c r="B1070" s="368"/>
      <c r="C1070" s="9"/>
      <c r="D1070" s="9"/>
      <c r="E1070" s="64"/>
      <c r="F1070" s="222"/>
      <c r="G1070" s="222"/>
      <c r="H1070" s="64">
        <f>SUM(H1066:H1069)</f>
        <v>0</v>
      </c>
      <c r="I1070" s="74">
        <f>H1070*I$6*I$5</f>
        <v>0</v>
      </c>
    </row>
    <row r="1072" spans="1:16" ht="15.6" customHeight="1" x14ac:dyDescent="0.25">
      <c r="A1072" s="363">
        <f>A1066+1</f>
        <v>45692</v>
      </c>
      <c r="B1072" s="366" t="s">
        <v>3</v>
      </c>
      <c r="C1072" s="57" t="s">
        <v>72</v>
      </c>
      <c r="D1072" s="7"/>
      <c r="E1072" s="49"/>
      <c r="F1072" s="48">
        <v>1</v>
      </c>
      <c r="G1072" s="227"/>
      <c r="H1072" s="49">
        <f>F1072*D1072*G1072</f>
        <v>0</v>
      </c>
      <c r="I1072" s="55"/>
      <c r="K1072" s="369" t="s">
        <v>23</v>
      </c>
      <c r="L1072" s="370"/>
      <c r="M1072" s="370"/>
      <c r="N1072" s="370"/>
      <c r="O1072" s="371"/>
    </row>
    <row r="1073" spans="1:16" x14ac:dyDescent="0.25">
      <c r="A1073" s="364"/>
      <c r="B1073" s="367"/>
      <c r="C1073" s="21" t="s">
        <v>73</v>
      </c>
      <c r="E1073" s="17"/>
      <c r="F1073" s="16">
        <v>1</v>
      </c>
      <c r="G1073" s="228"/>
      <c r="H1073" s="17">
        <f>F1073*D1073*G1073</f>
        <v>0</v>
      </c>
      <c r="I1073" s="72"/>
      <c r="K1073" s="47" t="s">
        <v>27</v>
      </c>
      <c r="L1073" s="47" t="s">
        <v>12</v>
      </c>
      <c r="M1073" s="47" t="s">
        <v>87</v>
      </c>
      <c r="N1073" s="47" t="s">
        <v>28</v>
      </c>
      <c r="O1073" s="28" t="s">
        <v>86</v>
      </c>
      <c r="P1073" s="17"/>
    </row>
    <row r="1074" spans="1:16" x14ac:dyDescent="0.25">
      <c r="A1074" s="364"/>
      <c r="B1074" s="367"/>
      <c r="E1074" s="17"/>
      <c r="F1074" s="16">
        <v>1</v>
      </c>
      <c r="G1074" s="228"/>
      <c r="H1074" s="17">
        <f>F1074*D1074</f>
        <v>0</v>
      </c>
      <c r="I1074" s="72"/>
      <c r="K1074" s="3"/>
      <c r="L1074" s="3"/>
      <c r="M1074" s="3"/>
      <c r="N1074" s="3"/>
      <c r="O1074" s="3"/>
      <c r="P1074" s="50" t="s">
        <v>50</v>
      </c>
    </row>
    <row r="1075" spans="1:16" ht="16.5" thickBot="1" x14ac:dyDescent="0.3">
      <c r="A1075" s="364"/>
      <c r="B1075" s="367"/>
      <c r="C1075" s="225" t="s">
        <v>47</v>
      </c>
      <c r="D1075" s="223"/>
      <c r="E1075" s="85"/>
      <c r="F1075" s="224"/>
      <c r="G1075" s="224"/>
      <c r="H1075" s="85">
        <f>F1075*D1075</f>
        <v>0</v>
      </c>
      <c r="I1075" s="86"/>
      <c r="K1075" s="214" t="e">
        <f>K1074/SUM(K1074:O1074)*I1076</f>
        <v>#DIV/0!</v>
      </c>
      <c r="L1075" s="214" t="e">
        <f>L1074/SUM(K1074:O1074)*$I1076</f>
        <v>#DIV/0!</v>
      </c>
      <c r="M1075" s="214" t="e">
        <f>M1074/SUM(K1074:O1074)*$I1076</f>
        <v>#DIV/0!</v>
      </c>
      <c r="N1075" s="214" t="e">
        <f>N1074/SUM(K1074:O1074)*$I1076</f>
        <v>#DIV/0!</v>
      </c>
      <c r="O1075" s="214" t="e">
        <f>O1074/SUM(K1074:O1074)*$I1076</f>
        <v>#DIV/0!</v>
      </c>
      <c r="P1075" s="50" t="s">
        <v>90</v>
      </c>
    </row>
    <row r="1076" spans="1:16" ht="16.5" thickTop="1" x14ac:dyDescent="0.25">
      <c r="A1076" s="365"/>
      <c r="B1076" s="368"/>
      <c r="C1076" s="9"/>
      <c r="D1076" s="9"/>
      <c r="E1076" s="64"/>
      <c r="F1076" s="222"/>
      <c r="G1076" s="222"/>
      <c r="H1076" s="64">
        <f>SUM(H1072:H1075)</f>
        <v>0</v>
      </c>
      <c r="I1076" s="74">
        <f>H1076*I$6*I$5</f>
        <v>0</v>
      </c>
    </row>
    <row r="1078" spans="1:16" ht="15.6" customHeight="1" x14ac:dyDescent="0.25">
      <c r="A1078" s="363">
        <f>A1072+1</f>
        <v>45693</v>
      </c>
      <c r="B1078" s="366" t="s">
        <v>24</v>
      </c>
      <c r="C1078" s="57" t="s">
        <v>72</v>
      </c>
      <c r="D1078" s="7"/>
      <c r="E1078" s="49"/>
      <c r="F1078" s="48">
        <v>1</v>
      </c>
      <c r="G1078" s="227"/>
      <c r="H1078" s="49">
        <f>F1078*D1078*G1078</f>
        <v>0</v>
      </c>
      <c r="I1078" s="55"/>
      <c r="K1078" s="369" t="s">
        <v>23</v>
      </c>
      <c r="L1078" s="370"/>
      <c r="M1078" s="370"/>
      <c r="N1078" s="370"/>
      <c r="O1078" s="371"/>
    </row>
    <row r="1079" spans="1:16" x14ac:dyDescent="0.25">
      <c r="A1079" s="364"/>
      <c r="B1079" s="367"/>
      <c r="C1079" s="21" t="s">
        <v>73</v>
      </c>
      <c r="E1079" s="17"/>
      <c r="F1079" s="16">
        <v>1</v>
      </c>
      <c r="G1079" s="228"/>
      <c r="H1079" s="17">
        <f>F1079*D1079*G1079</f>
        <v>0</v>
      </c>
      <c r="I1079" s="72"/>
      <c r="K1079" s="47" t="s">
        <v>27</v>
      </c>
      <c r="L1079" s="47" t="s">
        <v>12</v>
      </c>
      <c r="M1079" s="47" t="s">
        <v>87</v>
      </c>
      <c r="N1079" s="47" t="s">
        <v>28</v>
      </c>
      <c r="O1079" s="28" t="s">
        <v>86</v>
      </c>
      <c r="P1079" s="17"/>
    </row>
    <row r="1080" spans="1:16" x14ac:dyDescent="0.25">
      <c r="A1080" s="364"/>
      <c r="B1080" s="367"/>
      <c r="E1080" s="17"/>
      <c r="F1080" s="16">
        <v>1</v>
      </c>
      <c r="G1080" s="228"/>
      <c r="H1080" s="17">
        <f>F1080*D1080</f>
        <v>0</v>
      </c>
      <c r="I1080" s="72"/>
      <c r="K1080" s="3"/>
      <c r="L1080" s="3"/>
      <c r="M1080" s="3"/>
      <c r="N1080" s="3"/>
      <c r="O1080" s="3"/>
      <c r="P1080" s="50" t="s">
        <v>50</v>
      </c>
    </row>
    <row r="1081" spans="1:16" ht="16.5" thickBot="1" x14ac:dyDescent="0.3">
      <c r="A1081" s="364"/>
      <c r="B1081" s="367"/>
      <c r="C1081" s="225" t="s">
        <v>47</v>
      </c>
      <c r="D1081" s="223"/>
      <c r="E1081" s="85"/>
      <c r="F1081" s="224">
        <v>1</v>
      </c>
      <c r="G1081" s="224"/>
      <c r="H1081" s="85">
        <f>F1081*D1081</f>
        <v>0</v>
      </c>
      <c r="I1081" s="86"/>
      <c r="K1081" s="214" t="e">
        <f>K1080/SUM(K1080:O1080)*I1082</f>
        <v>#DIV/0!</v>
      </c>
      <c r="L1081" s="214" t="e">
        <f>L1080/SUM(K1080:O1080)*$I1082</f>
        <v>#DIV/0!</v>
      </c>
      <c r="M1081" s="214" t="e">
        <f>M1080/SUM(K1080:O1080)*$I1082</f>
        <v>#DIV/0!</v>
      </c>
      <c r="N1081" s="214" t="e">
        <f>N1080/SUM(K1080:O1080)*$I1082</f>
        <v>#DIV/0!</v>
      </c>
      <c r="O1081" s="214" t="e">
        <f>O1080/SUM(K1080:O1080)*$I1082</f>
        <v>#DIV/0!</v>
      </c>
      <c r="P1081" s="50" t="s">
        <v>90</v>
      </c>
    </row>
    <row r="1082" spans="1:16" ht="16.5" thickTop="1" x14ac:dyDescent="0.25">
      <c r="A1082" s="365"/>
      <c r="B1082" s="368"/>
      <c r="C1082" s="9"/>
      <c r="D1082" s="9"/>
      <c r="E1082" s="64"/>
      <c r="F1082" s="222"/>
      <c r="G1082" s="222"/>
      <c r="H1082" s="64">
        <f>SUM(H1078:H1081)</f>
        <v>0</v>
      </c>
      <c r="I1082" s="74">
        <f>H1082*I$6*I$5</f>
        <v>0</v>
      </c>
    </row>
    <row r="1084" spans="1:16" ht="15.6" customHeight="1" x14ac:dyDescent="0.25">
      <c r="A1084" s="363">
        <f>A1078+1</f>
        <v>45694</v>
      </c>
      <c r="B1084" s="366" t="s">
        <v>5</v>
      </c>
      <c r="C1084" s="57" t="s">
        <v>72</v>
      </c>
      <c r="D1084" s="7"/>
      <c r="E1084" s="49"/>
      <c r="F1084" s="48">
        <v>1</v>
      </c>
      <c r="G1084" s="227">
        <v>1</v>
      </c>
      <c r="H1084" s="49">
        <f>F1084*D1084*G1084</f>
        <v>0</v>
      </c>
      <c r="I1084" s="55"/>
      <c r="K1084" s="369" t="s">
        <v>23</v>
      </c>
      <c r="L1084" s="370"/>
      <c r="M1084" s="370"/>
      <c r="N1084" s="370"/>
      <c r="O1084" s="371"/>
    </row>
    <row r="1085" spans="1:16" x14ac:dyDescent="0.25">
      <c r="A1085" s="364"/>
      <c r="B1085" s="367"/>
      <c r="C1085" s="21" t="s">
        <v>73</v>
      </c>
      <c r="E1085" s="17"/>
      <c r="F1085" s="16">
        <v>1</v>
      </c>
      <c r="G1085" s="228">
        <v>1</v>
      </c>
      <c r="H1085" s="17">
        <f>F1085*D1085*G1085</f>
        <v>0</v>
      </c>
      <c r="I1085" s="72"/>
      <c r="K1085" s="47" t="s">
        <v>27</v>
      </c>
      <c r="L1085" s="47" t="s">
        <v>12</v>
      </c>
      <c r="M1085" s="47" t="s">
        <v>87</v>
      </c>
      <c r="N1085" s="47" t="s">
        <v>28</v>
      </c>
      <c r="O1085" s="28" t="s">
        <v>86</v>
      </c>
      <c r="P1085" s="17"/>
    </row>
    <row r="1086" spans="1:16" x14ac:dyDescent="0.25">
      <c r="A1086" s="364"/>
      <c r="B1086" s="367"/>
      <c r="E1086" s="17"/>
      <c r="F1086" s="16">
        <v>1</v>
      </c>
      <c r="G1086" s="228"/>
      <c r="H1086" s="17">
        <f>F1086*D1086</f>
        <v>0</v>
      </c>
      <c r="I1086" s="72"/>
      <c r="K1086" s="3"/>
      <c r="L1086" s="3"/>
      <c r="M1086" s="3"/>
      <c r="N1086" s="3"/>
      <c r="O1086" s="3"/>
      <c r="P1086" s="50" t="s">
        <v>50</v>
      </c>
    </row>
    <row r="1087" spans="1:16" ht="16.5" thickBot="1" x14ac:dyDescent="0.3">
      <c r="A1087" s="364"/>
      <c r="B1087" s="367"/>
      <c r="C1087" s="225" t="s">
        <v>47</v>
      </c>
      <c r="D1087" s="223"/>
      <c r="E1087" s="85"/>
      <c r="F1087" s="224"/>
      <c r="G1087" s="224"/>
      <c r="H1087" s="85">
        <f>F1087*D1087</f>
        <v>0</v>
      </c>
      <c r="I1087" s="86"/>
      <c r="K1087" s="214" t="e">
        <f>K1086/SUM(K1086:O1086)*I1088</f>
        <v>#DIV/0!</v>
      </c>
      <c r="L1087" s="214" t="e">
        <f>L1086/SUM(K1086:O1086)*$I1088</f>
        <v>#DIV/0!</v>
      </c>
      <c r="M1087" s="214" t="e">
        <f>M1086/SUM(K1086:O1086)*$I1088</f>
        <v>#DIV/0!</v>
      </c>
      <c r="N1087" s="214" t="e">
        <f>N1086/SUM(K1086:O1086)*$I1088</f>
        <v>#DIV/0!</v>
      </c>
      <c r="O1087" s="214" t="e">
        <f>O1086/SUM(K1086:O1086)*$I1088</f>
        <v>#DIV/0!</v>
      </c>
      <c r="P1087" s="50" t="s">
        <v>90</v>
      </c>
    </row>
    <row r="1088" spans="1:16" ht="16.5" thickTop="1" x14ac:dyDescent="0.25">
      <c r="A1088" s="365"/>
      <c r="B1088" s="368"/>
      <c r="C1088" s="9"/>
      <c r="D1088" s="9"/>
      <c r="E1088" s="64"/>
      <c r="F1088" s="222"/>
      <c r="G1088" s="222"/>
      <c r="H1088" s="64">
        <f>SUM(H1084:H1087)</f>
        <v>0</v>
      </c>
      <c r="I1088" s="74">
        <f>H1088*I$6*I$5</f>
        <v>0</v>
      </c>
    </row>
    <row r="1090" spans="1:16" ht="15.6" customHeight="1" x14ac:dyDescent="0.25">
      <c r="A1090" s="363">
        <f>A1084+1</f>
        <v>45695</v>
      </c>
      <c r="B1090" s="366" t="s">
        <v>6</v>
      </c>
      <c r="C1090" s="57" t="s">
        <v>72</v>
      </c>
      <c r="D1090" s="7"/>
      <c r="E1090" s="49"/>
      <c r="F1090" s="48">
        <v>1</v>
      </c>
      <c r="G1090" s="227">
        <v>1</v>
      </c>
      <c r="H1090" s="49">
        <f>F1090*D1090*G1090</f>
        <v>0</v>
      </c>
      <c r="I1090" s="55"/>
      <c r="K1090" s="369" t="s">
        <v>23</v>
      </c>
      <c r="L1090" s="370"/>
      <c r="M1090" s="370"/>
      <c r="N1090" s="370"/>
      <c r="O1090" s="371"/>
    </row>
    <row r="1091" spans="1:16" x14ac:dyDescent="0.25">
      <c r="A1091" s="364"/>
      <c r="B1091" s="367"/>
      <c r="C1091" s="21" t="s">
        <v>73</v>
      </c>
      <c r="E1091" s="17"/>
      <c r="F1091" s="16">
        <v>1</v>
      </c>
      <c r="G1091" s="228">
        <v>1</v>
      </c>
      <c r="H1091" s="17">
        <f>F1091*D1091*G1091</f>
        <v>0</v>
      </c>
      <c r="I1091" s="72"/>
      <c r="K1091" s="47" t="s">
        <v>27</v>
      </c>
      <c r="L1091" s="47" t="s">
        <v>12</v>
      </c>
      <c r="M1091" s="47" t="s">
        <v>87</v>
      </c>
      <c r="N1091" s="47" t="s">
        <v>28</v>
      </c>
      <c r="O1091" s="28" t="s">
        <v>86</v>
      </c>
      <c r="P1091" s="17"/>
    </row>
    <row r="1092" spans="1:16" x14ac:dyDescent="0.25">
      <c r="A1092" s="364"/>
      <c r="B1092" s="367"/>
      <c r="E1092" s="17"/>
      <c r="F1092" s="16">
        <v>1</v>
      </c>
      <c r="G1092" s="228"/>
      <c r="H1092" s="17">
        <f>F1092*D1092</f>
        <v>0</v>
      </c>
      <c r="I1092" s="72"/>
      <c r="K1092" s="3"/>
      <c r="L1092" s="3"/>
      <c r="M1092" s="3"/>
      <c r="N1092" s="3"/>
      <c r="O1092" s="3"/>
      <c r="P1092" s="50" t="s">
        <v>50</v>
      </c>
    </row>
    <row r="1093" spans="1:16" ht="16.5" thickBot="1" x14ac:dyDescent="0.3">
      <c r="A1093" s="364"/>
      <c r="B1093" s="367"/>
      <c r="C1093" s="225" t="s">
        <v>47</v>
      </c>
      <c r="D1093" s="223"/>
      <c r="E1093" s="85"/>
      <c r="F1093" s="224"/>
      <c r="G1093" s="224"/>
      <c r="H1093" s="85">
        <f>F1093*D1093</f>
        <v>0</v>
      </c>
      <c r="I1093" s="86"/>
      <c r="K1093" s="214" t="e">
        <f>K1092/SUM(K1092:O1092)*I1094</f>
        <v>#DIV/0!</v>
      </c>
      <c r="L1093" s="214" t="e">
        <f>L1092/SUM(K1092:O1092)*$I1094</f>
        <v>#DIV/0!</v>
      </c>
      <c r="M1093" s="214" t="e">
        <f>M1092/SUM(K1092:O1092)*$I1094</f>
        <v>#DIV/0!</v>
      </c>
      <c r="N1093" s="214" t="e">
        <f>N1092/SUM(K1092:O1092)*$I1094</f>
        <v>#DIV/0!</v>
      </c>
      <c r="O1093" s="214" t="e">
        <f>O1092/SUM(K1092:O1092)*$I1094</f>
        <v>#DIV/0!</v>
      </c>
      <c r="P1093" s="50" t="s">
        <v>90</v>
      </c>
    </row>
    <row r="1094" spans="1:16" ht="16.5" thickTop="1" x14ac:dyDescent="0.25">
      <c r="A1094" s="365"/>
      <c r="B1094" s="368"/>
      <c r="C1094" s="9"/>
      <c r="D1094" s="9"/>
      <c r="E1094" s="64"/>
      <c r="F1094" s="222"/>
      <c r="G1094" s="222"/>
      <c r="H1094" s="64">
        <f>SUM(H1090:H1093)</f>
        <v>0</v>
      </c>
      <c r="I1094" s="74">
        <f>H1094*I$6*I$5</f>
        <v>0</v>
      </c>
    </row>
    <row r="1096" spans="1:16" ht="15.6" customHeight="1" x14ac:dyDescent="0.25">
      <c r="A1096" s="363">
        <f>A1090+1</f>
        <v>45696</v>
      </c>
      <c r="B1096" s="366" t="s">
        <v>0</v>
      </c>
      <c r="C1096" s="57" t="s">
        <v>72</v>
      </c>
      <c r="D1096" s="7"/>
      <c r="E1096" s="49"/>
      <c r="F1096" s="48">
        <v>1</v>
      </c>
      <c r="G1096" s="227">
        <v>1</v>
      </c>
      <c r="H1096" s="49">
        <f>F1096*D1096*G1096</f>
        <v>0</v>
      </c>
      <c r="I1096" s="55"/>
      <c r="K1096" s="369" t="s">
        <v>23</v>
      </c>
      <c r="L1096" s="370"/>
      <c r="M1096" s="370"/>
      <c r="N1096" s="370"/>
      <c r="O1096" s="371"/>
    </row>
    <row r="1097" spans="1:16" x14ac:dyDescent="0.25">
      <c r="A1097" s="364"/>
      <c r="B1097" s="367"/>
      <c r="C1097" s="21" t="s">
        <v>73</v>
      </c>
      <c r="E1097" s="17"/>
      <c r="F1097" s="16">
        <v>1</v>
      </c>
      <c r="G1097" s="228">
        <v>1</v>
      </c>
      <c r="H1097" s="17">
        <f>F1097*D1097*G1097</f>
        <v>0</v>
      </c>
      <c r="I1097" s="72"/>
      <c r="K1097" s="47" t="s">
        <v>27</v>
      </c>
      <c r="L1097" s="47" t="s">
        <v>12</v>
      </c>
      <c r="M1097" s="47" t="s">
        <v>87</v>
      </c>
      <c r="N1097" s="47" t="s">
        <v>28</v>
      </c>
      <c r="O1097" s="28" t="s">
        <v>86</v>
      </c>
      <c r="P1097" s="17"/>
    </row>
    <row r="1098" spans="1:16" x14ac:dyDescent="0.25">
      <c r="A1098" s="364"/>
      <c r="B1098" s="367"/>
      <c r="E1098" s="17"/>
      <c r="F1098" s="16">
        <v>1</v>
      </c>
      <c r="G1098" s="228"/>
      <c r="H1098" s="17">
        <f>F1098*D1098</f>
        <v>0</v>
      </c>
      <c r="I1098" s="72"/>
      <c r="K1098" s="3"/>
      <c r="L1098" s="3"/>
      <c r="M1098" s="3"/>
      <c r="N1098" s="3"/>
      <c r="O1098" s="3"/>
      <c r="P1098" s="50" t="s">
        <v>50</v>
      </c>
    </row>
    <row r="1099" spans="1:16" ht="16.5" thickBot="1" x14ac:dyDescent="0.3">
      <c r="A1099" s="364"/>
      <c r="B1099" s="367"/>
      <c r="C1099" s="225" t="s">
        <v>47</v>
      </c>
      <c r="D1099" s="223"/>
      <c r="E1099" s="85"/>
      <c r="F1099" s="224"/>
      <c r="G1099" s="224"/>
      <c r="H1099" s="85">
        <f>F1099*D1099</f>
        <v>0</v>
      </c>
      <c r="I1099" s="86"/>
      <c r="K1099" s="214" t="e">
        <f>K1098/SUM(K1098:O1098)*I1100</f>
        <v>#DIV/0!</v>
      </c>
      <c r="L1099" s="214" t="e">
        <f>L1098/SUM(K1098:O1098)*$I1100</f>
        <v>#DIV/0!</v>
      </c>
      <c r="M1099" s="214" t="e">
        <f>M1098/SUM(K1098:O1098)*$I1100</f>
        <v>#DIV/0!</v>
      </c>
      <c r="N1099" s="214" t="e">
        <f>N1098/SUM(K1098:O1098)*$I1100</f>
        <v>#DIV/0!</v>
      </c>
      <c r="O1099" s="214" t="e">
        <f>O1098/SUM(K1098:O1098)*$I1100</f>
        <v>#DIV/0!</v>
      </c>
      <c r="P1099" s="50" t="s">
        <v>90</v>
      </c>
    </row>
    <row r="1100" spans="1:16" ht="16.5" thickTop="1" x14ac:dyDescent="0.25">
      <c r="A1100" s="365"/>
      <c r="B1100" s="368"/>
      <c r="C1100" s="9"/>
      <c r="D1100" s="9"/>
      <c r="E1100" s="64"/>
      <c r="F1100" s="222"/>
      <c r="G1100" s="222"/>
      <c r="H1100" s="64">
        <f>SUM(H1096:H1099)</f>
        <v>0</v>
      </c>
      <c r="I1100" s="74">
        <f>H1100*I$6*I$5</f>
        <v>0</v>
      </c>
    </row>
    <row r="1101" spans="1:16" x14ac:dyDescent="0.25">
      <c r="B1101" s="9"/>
    </row>
    <row r="1102" spans="1:16" ht="15.6" customHeight="1" x14ac:dyDescent="0.25">
      <c r="A1102" s="363">
        <f>A1096+1</f>
        <v>45697</v>
      </c>
      <c r="B1102" s="366" t="s">
        <v>1</v>
      </c>
      <c r="C1102" s="57" t="s">
        <v>72</v>
      </c>
      <c r="D1102" s="7"/>
      <c r="E1102" s="49"/>
      <c r="F1102" s="48">
        <v>1</v>
      </c>
      <c r="G1102" s="227"/>
      <c r="H1102" s="49">
        <f>F1102*D1102*G1102</f>
        <v>0</v>
      </c>
      <c r="I1102" s="55"/>
      <c r="K1102" s="369" t="s">
        <v>23</v>
      </c>
      <c r="L1102" s="370"/>
      <c r="M1102" s="370"/>
      <c r="N1102" s="370"/>
      <c r="O1102" s="371"/>
    </row>
    <row r="1103" spans="1:16" x14ac:dyDescent="0.25">
      <c r="A1103" s="364"/>
      <c r="B1103" s="367"/>
      <c r="C1103" s="21" t="s">
        <v>73</v>
      </c>
      <c r="E1103" s="17"/>
      <c r="F1103" s="16">
        <v>1</v>
      </c>
      <c r="G1103" s="228"/>
      <c r="H1103" s="17">
        <f>F1103*D1103*G1103</f>
        <v>0</v>
      </c>
      <c r="I1103" s="72"/>
      <c r="K1103" s="47" t="s">
        <v>27</v>
      </c>
      <c r="L1103" s="47" t="s">
        <v>12</v>
      </c>
      <c r="M1103" s="47" t="s">
        <v>87</v>
      </c>
      <c r="N1103" s="47" t="s">
        <v>28</v>
      </c>
      <c r="O1103" s="28" t="s">
        <v>86</v>
      </c>
      <c r="P1103" s="17"/>
    </row>
    <row r="1104" spans="1:16" x14ac:dyDescent="0.25">
      <c r="A1104" s="364"/>
      <c r="B1104" s="367"/>
      <c r="E1104" s="17"/>
      <c r="F1104" s="16">
        <v>1</v>
      </c>
      <c r="G1104" s="228"/>
      <c r="H1104" s="17">
        <f>F1104*D1104</f>
        <v>0</v>
      </c>
      <c r="I1104" s="72"/>
      <c r="K1104" s="3"/>
      <c r="L1104" s="3"/>
      <c r="M1104" s="3"/>
      <c r="N1104" s="3"/>
      <c r="O1104" s="3"/>
      <c r="P1104" s="50" t="s">
        <v>50</v>
      </c>
    </row>
    <row r="1105" spans="1:16" ht="16.5" thickBot="1" x14ac:dyDescent="0.3">
      <c r="A1105" s="364"/>
      <c r="B1105" s="367"/>
      <c r="C1105" s="225" t="s">
        <v>47</v>
      </c>
      <c r="D1105" s="223"/>
      <c r="E1105" s="85"/>
      <c r="F1105" s="224">
        <v>1</v>
      </c>
      <c r="G1105" s="224"/>
      <c r="H1105" s="85">
        <f>F1105*D1105</f>
        <v>0</v>
      </c>
      <c r="I1105" s="86"/>
      <c r="K1105" s="214" t="e">
        <f>K1104/SUM(K1104:O1104)*I1106</f>
        <v>#DIV/0!</v>
      </c>
      <c r="L1105" s="214" t="e">
        <f>L1104/SUM(K1104:O1104)*$I1106</f>
        <v>#DIV/0!</v>
      </c>
      <c r="M1105" s="214" t="e">
        <f>M1104/SUM(K1104:O1104)*$I1106</f>
        <v>#DIV/0!</v>
      </c>
      <c r="N1105" s="214" t="e">
        <f>N1104/SUM(K1104:O1104)*$I1106</f>
        <v>#DIV/0!</v>
      </c>
      <c r="O1105" s="214" t="e">
        <f>O1104/SUM(K1104:O1104)*$I1106</f>
        <v>#DIV/0!</v>
      </c>
      <c r="P1105" s="50" t="s">
        <v>90</v>
      </c>
    </row>
    <row r="1106" spans="1:16" ht="16.5" thickTop="1" x14ac:dyDescent="0.25">
      <c r="A1106" s="365"/>
      <c r="B1106" s="368"/>
      <c r="C1106" s="9"/>
      <c r="D1106" s="9"/>
      <c r="E1106" s="64"/>
      <c r="F1106" s="222"/>
      <c r="G1106" s="222"/>
      <c r="H1106" s="64">
        <f>SUM(H1102:H1105)</f>
        <v>0</v>
      </c>
      <c r="I1106" s="74">
        <f>H1106*I$6*I$5</f>
        <v>0</v>
      </c>
    </row>
    <row r="1107" spans="1:16" x14ac:dyDescent="0.25">
      <c r="B1107" s="9"/>
    </row>
    <row r="1108" spans="1:16" ht="15.6" customHeight="1" x14ac:dyDescent="0.25">
      <c r="A1108" s="363">
        <f>A1102+1</f>
        <v>45698</v>
      </c>
      <c r="B1108" s="366" t="s">
        <v>25</v>
      </c>
      <c r="C1108" s="57" t="s">
        <v>72</v>
      </c>
      <c r="D1108" s="7"/>
      <c r="E1108" s="49"/>
      <c r="F1108" s="48">
        <v>1</v>
      </c>
      <c r="G1108" s="227">
        <v>1</v>
      </c>
      <c r="H1108" s="49">
        <f>F1108*D1108*G1108</f>
        <v>0</v>
      </c>
      <c r="I1108" s="55"/>
      <c r="K1108" s="369" t="s">
        <v>23</v>
      </c>
      <c r="L1108" s="370"/>
      <c r="M1108" s="370"/>
      <c r="N1108" s="370"/>
      <c r="O1108" s="371"/>
    </row>
    <row r="1109" spans="1:16" x14ac:dyDescent="0.25">
      <c r="A1109" s="364"/>
      <c r="B1109" s="367"/>
      <c r="C1109" s="21" t="s">
        <v>73</v>
      </c>
      <c r="E1109" s="17"/>
      <c r="F1109" s="16">
        <v>1</v>
      </c>
      <c r="G1109" s="228">
        <v>1</v>
      </c>
      <c r="H1109" s="17">
        <f>F1109*D1109*G1109</f>
        <v>0</v>
      </c>
      <c r="I1109" s="72"/>
      <c r="K1109" s="47" t="s">
        <v>27</v>
      </c>
      <c r="L1109" s="47" t="s">
        <v>12</v>
      </c>
      <c r="M1109" s="47" t="s">
        <v>87</v>
      </c>
      <c r="N1109" s="47" t="s">
        <v>28</v>
      </c>
      <c r="O1109" s="28" t="s">
        <v>86</v>
      </c>
      <c r="P1109" s="17"/>
    </row>
    <row r="1110" spans="1:16" x14ac:dyDescent="0.25">
      <c r="A1110" s="364"/>
      <c r="B1110" s="367"/>
      <c r="E1110" s="17"/>
      <c r="F1110" s="16">
        <v>1</v>
      </c>
      <c r="G1110" s="228"/>
      <c r="H1110" s="17">
        <f>F1110*D1110</f>
        <v>0</v>
      </c>
      <c r="I1110" s="72"/>
      <c r="K1110" s="3"/>
      <c r="L1110" s="3"/>
      <c r="M1110" s="3"/>
      <c r="N1110" s="3"/>
      <c r="O1110" s="3"/>
      <c r="P1110" s="50" t="s">
        <v>50</v>
      </c>
    </row>
    <row r="1111" spans="1:16" ht="16.5" thickBot="1" x14ac:dyDescent="0.3">
      <c r="A1111" s="364"/>
      <c r="B1111" s="367"/>
      <c r="C1111" s="225" t="s">
        <v>47</v>
      </c>
      <c r="D1111" s="223"/>
      <c r="E1111" s="85"/>
      <c r="F1111" s="224"/>
      <c r="G1111" s="224"/>
      <c r="H1111" s="85">
        <f>F1111*D1111</f>
        <v>0</v>
      </c>
      <c r="I1111" s="86"/>
      <c r="K1111" s="214" t="e">
        <f>K1110/SUM(K1110:O1110)*I1112</f>
        <v>#DIV/0!</v>
      </c>
      <c r="L1111" s="214" t="e">
        <f>L1110/SUM(K1110:O1110)*$I1112</f>
        <v>#DIV/0!</v>
      </c>
      <c r="M1111" s="214" t="e">
        <f>M1110/SUM(K1110:O1110)*$I1112</f>
        <v>#DIV/0!</v>
      </c>
      <c r="N1111" s="214" t="e">
        <f>N1110/SUM(K1110:O1110)*$I1112</f>
        <v>#DIV/0!</v>
      </c>
      <c r="O1111" s="214" t="e">
        <f>O1110/SUM(K1110:O1110)*$I1112</f>
        <v>#DIV/0!</v>
      </c>
      <c r="P1111" s="50" t="s">
        <v>90</v>
      </c>
    </row>
    <row r="1112" spans="1:16" ht="16.5" thickTop="1" x14ac:dyDescent="0.25">
      <c r="A1112" s="365"/>
      <c r="B1112" s="368"/>
      <c r="C1112" s="9"/>
      <c r="D1112" s="9"/>
      <c r="E1112" s="64"/>
      <c r="F1112" s="222"/>
      <c r="G1112" s="222"/>
      <c r="H1112" s="64">
        <f>SUM(H1108:H1111)</f>
        <v>0</v>
      </c>
      <c r="I1112" s="74">
        <f>H1112*I$6*I$5</f>
        <v>0</v>
      </c>
    </row>
    <row r="1114" spans="1:16" ht="15.6" customHeight="1" x14ac:dyDescent="0.25">
      <c r="A1114" s="363">
        <f>A1108+1</f>
        <v>45699</v>
      </c>
      <c r="B1114" s="366" t="s">
        <v>3</v>
      </c>
      <c r="C1114" s="57" t="s">
        <v>72</v>
      </c>
      <c r="D1114" s="7"/>
      <c r="E1114" s="49"/>
      <c r="F1114" s="48">
        <v>1</v>
      </c>
      <c r="G1114" s="227">
        <v>1</v>
      </c>
      <c r="H1114" s="49">
        <f>F1114*D1114*G1114</f>
        <v>0</v>
      </c>
      <c r="I1114" s="55"/>
      <c r="K1114" s="369" t="s">
        <v>23</v>
      </c>
      <c r="L1114" s="370"/>
      <c r="M1114" s="370"/>
      <c r="N1114" s="370"/>
      <c r="O1114" s="371"/>
    </row>
    <row r="1115" spans="1:16" x14ac:dyDescent="0.25">
      <c r="A1115" s="364"/>
      <c r="B1115" s="367"/>
      <c r="C1115" s="21" t="s">
        <v>73</v>
      </c>
      <c r="E1115" s="17"/>
      <c r="F1115" s="16">
        <v>1</v>
      </c>
      <c r="G1115" s="228"/>
      <c r="H1115" s="17">
        <f>F1115*D1115*G1115</f>
        <v>0</v>
      </c>
      <c r="I1115" s="72"/>
      <c r="K1115" s="47" t="s">
        <v>27</v>
      </c>
      <c r="L1115" s="47" t="s">
        <v>12</v>
      </c>
      <c r="M1115" s="47" t="s">
        <v>87</v>
      </c>
      <c r="N1115" s="47" t="s">
        <v>28</v>
      </c>
      <c r="O1115" s="28" t="s">
        <v>86</v>
      </c>
      <c r="P1115" s="17"/>
    </row>
    <row r="1116" spans="1:16" x14ac:dyDescent="0.25">
      <c r="A1116" s="364"/>
      <c r="B1116" s="367"/>
      <c r="E1116" s="17"/>
      <c r="F1116" s="16">
        <v>1</v>
      </c>
      <c r="G1116" s="228"/>
      <c r="H1116" s="17">
        <f>F1116*D1116</f>
        <v>0</v>
      </c>
      <c r="I1116" s="72"/>
      <c r="K1116" s="3"/>
      <c r="L1116" s="3">
        <v>1</v>
      </c>
      <c r="M1116" s="3"/>
      <c r="N1116" s="3"/>
      <c r="O1116" s="3"/>
      <c r="P1116" s="50" t="s">
        <v>50</v>
      </c>
    </row>
    <row r="1117" spans="1:16" ht="16.5" thickBot="1" x14ac:dyDescent="0.3">
      <c r="A1117" s="364"/>
      <c r="B1117" s="367"/>
      <c r="C1117" s="225" t="s">
        <v>47</v>
      </c>
      <c r="D1117" s="223"/>
      <c r="E1117" s="85"/>
      <c r="F1117" s="224"/>
      <c r="G1117" s="224"/>
      <c r="H1117" s="85">
        <f>F1117*D1117</f>
        <v>0</v>
      </c>
      <c r="I1117" s="86"/>
      <c r="K1117" s="214">
        <f>K1116/SUM(K1116:O1116)*I1118</f>
        <v>0</v>
      </c>
      <c r="L1117" s="214">
        <f>L1116/SUM(K1116:O1116)*$I1118</f>
        <v>0</v>
      </c>
      <c r="M1117" s="214">
        <f>M1116/SUM(K1116:O1116)*$I1118</f>
        <v>0</v>
      </c>
      <c r="N1117" s="214">
        <f>N1116/SUM(K1116:O1116)*$I1118</f>
        <v>0</v>
      </c>
      <c r="O1117" s="214">
        <f>O1116/SUM(K1116:O1116)*$I1118</f>
        <v>0</v>
      </c>
      <c r="P1117" s="50" t="s">
        <v>90</v>
      </c>
    </row>
    <row r="1118" spans="1:16" ht="16.5" thickTop="1" x14ac:dyDescent="0.25">
      <c r="A1118" s="365"/>
      <c r="B1118" s="368"/>
      <c r="C1118" s="9"/>
      <c r="D1118" s="9"/>
      <c r="E1118" s="64"/>
      <c r="F1118" s="222"/>
      <c r="G1118" s="222"/>
      <c r="H1118" s="64">
        <f>SUM(H1114:H1117)</f>
        <v>0</v>
      </c>
      <c r="I1118" s="74">
        <f>H1118*I$6*I$5</f>
        <v>0</v>
      </c>
    </row>
    <row r="1120" spans="1:16" ht="15.6" customHeight="1" x14ac:dyDescent="0.25">
      <c r="A1120" s="363">
        <f>A1114+1</f>
        <v>45700</v>
      </c>
      <c r="B1120" s="366" t="s">
        <v>24</v>
      </c>
      <c r="C1120" s="57" t="s">
        <v>72</v>
      </c>
      <c r="D1120" s="7"/>
      <c r="E1120" s="49"/>
      <c r="F1120" s="48">
        <v>1</v>
      </c>
      <c r="G1120" s="227"/>
      <c r="H1120" s="49">
        <f>F1120*D1120*G1120</f>
        <v>0</v>
      </c>
      <c r="I1120" s="55"/>
      <c r="K1120" s="369" t="s">
        <v>23</v>
      </c>
      <c r="L1120" s="370"/>
      <c r="M1120" s="370"/>
      <c r="N1120" s="370"/>
      <c r="O1120" s="371"/>
    </row>
    <row r="1121" spans="1:16" x14ac:dyDescent="0.25">
      <c r="A1121" s="364"/>
      <c r="B1121" s="367"/>
      <c r="C1121" s="21" t="s">
        <v>73</v>
      </c>
      <c r="E1121" s="17"/>
      <c r="F1121" s="16">
        <v>1</v>
      </c>
      <c r="G1121" s="228"/>
      <c r="H1121" s="17">
        <f>F1121*D1121*G1121</f>
        <v>0</v>
      </c>
      <c r="I1121" s="72"/>
      <c r="K1121" s="47" t="s">
        <v>27</v>
      </c>
      <c r="L1121" s="47" t="s">
        <v>12</v>
      </c>
      <c r="M1121" s="47" t="s">
        <v>87</v>
      </c>
      <c r="N1121" s="47" t="s">
        <v>28</v>
      </c>
      <c r="O1121" s="28" t="s">
        <v>86</v>
      </c>
      <c r="P1121" s="17"/>
    </row>
    <row r="1122" spans="1:16" x14ac:dyDescent="0.25">
      <c r="A1122" s="364"/>
      <c r="B1122" s="367"/>
      <c r="E1122" s="17"/>
      <c r="F1122" s="16">
        <v>1</v>
      </c>
      <c r="G1122" s="228"/>
      <c r="H1122" s="17">
        <f>F1122*D1122</f>
        <v>0</v>
      </c>
      <c r="I1122" s="72"/>
      <c r="K1122" s="3"/>
      <c r="L1122" s="3"/>
      <c r="M1122" s="3"/>
      <c r="N1122" s="3"/>
      <c r="O1122" s="3"/>
      <c r="P1122" s="50" t="s">
        <v>50</v>
      </c>
    </row>
    <row r="1123" spans="1:16" ht="16.5" thickBot="1" x14ac:dyDescent="0.3">
      <c r="A1123" s="364"/>
      <c r="B1123" s="367"/>
      <c r="C1123" s="225" t="s">
        <v>47</v>
      </c>
      <c r="D1123" s="223"/>
      <c r="E1123" s="85"/>
      <c r="F1123" s="224">
        <v>1</v>
      </c>
      <c r="G1123" s="224"/>
      <c r="H1123" s="85">
        <f>F1123*D1123</f>
        <v>0</v>
      </c>
      <c r="I1123" s="86"/>
      <c r="K1123" s="214" t="e">
        <f>K1122/SUM(K1122:O1122)*I1124</f>
        <v>#DIV/0!</v>
      </c>
      <c r="L1123" s="214" t="e">
        <f>L1122/SUM(K1122:O1122)*$I1124</f>
        <v>#DIV/0!</v>
      </c>
      <c r="M1123" s="214" t="e">
        <f>M1122/SUM(K1122:O1122)*$I1124</f>
        <v>#DIV/0!</v>
      </c>
      <c r="N1123" s="214" t="e">
        <f>N1122/SUM(K1122:O1122)*$I1124</f>
        <v>#DIV/0!</v>
      </c>
      <c r="O1123" s="214" t="e">
        <f>O1122/SUM(K1122:O1122)*$I1124</f>
        <v>#DIV/0!</v>
      </c>
      <c r="P1123" s="50" t="s">
        <v>90</v>
      </c>
    </row>
    <row r="1124" spans="1:16" ht="16.5" thickTop="1" x14ac:dyDescent="0.25">
      <c r="A1124" s="365"/>
      <c r="B1124" s="368"/>
      <c r="C1124" s="9"/>
      <c r="D1124" s="9"/>
      <c r="E1124" s="64"/>
      <c r="F1124" s="222"/>
      <c r="G1124" s="222"/>
      <c r="H1124" s="64">
        <f>SUM(H1120:H1123)</f>
        <v>0</v>
      </c>
      <c r="I1124" s="74">
        <f>H1124*I$6*I$5</f>
        <v>0</v>
      </c>
    </row>
    <row r="1126" spans="1:16" ht="15.6" customHeight="1" x14ac:dyDescent="0.25">
      <c r="A1126" s="363">
        <f>A1120+1</f>
        <v>45701</v>
      </c>
      <c r="B1126" s="366" t="s">
        <v>5</v>
      </c>
      <c r="C1126" s="57" t="s">
        <v>72</v>
      </c>
      <c r="D1126" s="7"/>
      <c r="E1126" s="49"/>
      <c r="F1126" s="48">
        <v>1</v>
      </c>
      <c r="G1126" s="227"/>
      <c r="H1126" s="49">
        <f>F1126*D1126*G1126</f>
        <v>0</v>
      </c>
      <c r="I1126" s="55"/>
      <c r="K1126" s="369" t="s">
        <v>23</v>
      </c>
      <c r="L1126" s="370"/>
      <c r="M1126" s="370"/>
      <c r="N1126" s="370"/>
      <c r="O1126" s="371"/>
    </row>
    <row r="1127" spans="1:16" x14ac:dyDescent="0.25">
      <c r="A1127" s="364"/>
      <c r="B1127" s="367"/>
      <c r="C1127" s="21" t="s">
        <v>73</v>
      </c>
      <c r="E1127" s="17"/>
      <c r="F1127" s="16">
        <v>1</v>
      </c>
      <c r="G1127" s="228"/>
      <c r="H1127" s="17">
        <f>F1127*D1127*G1127</f>
        <v>0</v>
      </c>
      <c r="I1127" s="72"/>
      <c r="K1127" s="47" t="s">
        <v>27</v>
      </c>
      <c r="L1127" s="47" t="s">
        <v>12</v>
      </c>
      <c r="M1127" s="47" t="s">
        <v>87</v>
      </c>
      <c r="N1127" s="47" t="s">
        <v>28</v>
      </c>
      <c r="O1127" s="28" t="s">
        <v>86</v>
      </c>
      <c r="P1127" s="17"/>
    </row>
    <row r="1128" spans="1:16" x14ac:dyDescent="0.25">
      <c r="A1128" s="364"/>
      <c r="B1128" s="367"/>
      <c r="E1128" s="17"/>
      <c r="F1128" s="16">
        <v>1</v>
      </c>
      <c r="G1128" s="228"/>
      <c r="H1128" s="17">
        <f>F1128*D1128</f>
        <v>0</v>
      </c>
      <c r="I1128" s="72"/>
      <c r="K1128" s="3"/>
      <c r="L1128" s="3"/>
      <c r="M1128" s="3"/>
      <c r="N1128" s="3"/>
      <c r="O1128" s="3"/>
      <c r="P1128" s="50" t="s">
        <v>50</v>
      </c>
    </row>
    <row r="1129" spans="1:16" ht="16.5" thickBot="1" x14ac:dyDescent="0.3">
      <c r="A1129" s="364"/>
      <c r="B1129" s="367"/>
      <c r="C1129" s="225" t="s">
        <v>47</v>
      </c>
      <c r="D1129" s="223"/>
      <c r="E1129" s="85"/>
      <c r="F1129" s="224"/>
      <c r="G1129" s="224"/>
      <c r="H1129" s="85">
        <f>F1129*D1129</f>
        <v>0</v>
      </c>
      <c r="I1129" s="86"/>
      <c r="K1129" s="214" t="e">
        <f>K1128/SUM(K1128:O1128)*I1130</f>
        <v>#DIV/0!</v>
      </c>
      <c r="L1129" s="214" t="e">
        <f>L1128/SUM(K1128:O1128)*$I1130</f>
        <v>#DIV/0!</v>
      </c>
      <c r="M1129" s="214" t="e">
        <f>M1128/SUM(K1128:O1128)*$I1130</f>
        <v>#DIV/0!</v>
      </c>
      <c r="N1129" s="214" t="e">
        <f>N1128/SUM(K1128:O1128)*$I1130</f>
        <v>#DIV/0!</v>
      </c>
      <c r="O1129" s="214" t="e">
        <f>O1128/SUM(K1128:O1128)*$I1130</f>
        <v>#DIV/0!</v>
      </c>
      <c r="P1129" s="50" t="s">
        <v>90</v>
      </c>
    </row>
    <row r="1130" spans="1:16" ht="16.5" thickTop="1" x14ac:dyDescent="0.25">
      <c r="A1130" s="365"/>
      <c r="B1130" s="368"/>
      <c r="C1130" s="9"/>
      <c r="D1130" s="9"/>
      <c r="E1130" s="64"/>
      <c r="F1130" s="222"/>
      <c r="G1130" s="222"/>
      <c r="H1130" s="64">
        <f>SUM(H1126:H1129)</f>
        <v>0</v>
      </c>
      <c r="I1130" s="74">
        <f>H1130*I$6*I$5</f>
        <v>0</v>
      </c>
    </row>
    <row r="1132" spans="1:16" ht="15.6" customHeight="1" x14ac:dyDescent="0.25">
      <c r="A1132" s="363">
        <f>A1126+1</f>
        <v>45702</v>
      </c>
      <c r="B1132" s="366" t="s">
        <v>6</v>
      </c>
      <c r="C1132" s="57" t="s">
        <v>72</v>
      </c>
      <c r="D1132" s="7"/>
      <c r="E1132" s="49"/>
      <c r="F1132" s="48">
        <v>1</v>
      </c>
      <c r="G1132" s="227"/>
      <c r="H1132" s="49">
        <f>F1132*D1132*G1132</f>
        <v>0</v>
      </c>
      <c r="I1132" s="55"/>
      <c r="K1132" s="369" t="s">
        <v>23</v>
      </c>
      <c r="L1132" s="370"/>
      <c r="M1132" s="370"/>
      <c r="N1132" s="370"/>
      <c r="O1132" s="371"/>
    </row>
    <row r="1133" spans="1:16" x14ac:dyDescent="0.25">
      <c r="A1133" s="364"/>
      <c r="B1133" s="367"/>
      <c r="C1133" s="21" t="s">
        <v>73</v>
      </c>
      <c r="E1133" s="17"/>
      <c r="F1133" s="16">
        <v>1</v>
      </c>
      <c r="G1133" s="228"/>
      <c r="H1133" s="17">
        <f>F1133*D1133*G1133</f>
        <v>0</v>
      </c>
      <c r="I1133" s="72"/>
      <c r="K1133" s="47" t="s">
        <v>27</v>
      </c>
      <c r="L1133" s="47" t="s">
        <v>12</v>
      </c>
      <c r="M1133" s="47" t="s">
        <v>87</v>
      </c>
      <c r="N1133" s="47" t="s">
        <v>28</v>
      </c>
      <c r="O1133" s="28" t="s">
        <v>86</v>
      </c>
      <c r="P1133" s="17"/>
    </row>
    <row r="1134" spans="1:16" x14ac:dyDescent="0.25">
      <c r="A1134" s="364"/>
      <c r="B1134" s="367"/>
      <c r="E1134" s="17"/>
      <c r="F1134" s="16">
        <v>1</v>
      </c>
      <c r="G1134" s="228"/>
      <c r="H1134" s="17">
        <f>F1134*D1134</f>
        <v>0</v>
      </c>
      <c r="I1134" s="72"/>
      <c r="K1134" s="3"/>
      <c r="L1134" s="3"/>
      <c r="M1134" s="3"/>
      <c r="N1134" s="3"/>
      <c r="O1134" s="3"/>
      <c r="P1134" s="50" t="s">
        <v>50</v>
      </c>
    </row>
    <row r="1135" spans="1:16" ht="16.5" thickBot="1" x14ac:dyDescent="0.3">
      <c r="A1135" s="364"/>
      <c r="B1135" s="367"/>
      <c r="C1135" s="225" t="s">
        <v>47</v>
      </c>
      <c r="D1135" s="223"/>
      <c r="E1135" s="85"/>
      <c r="F1135" s="224">
        <v>1</v>
      </c>
      <c r="G1135" s="224"/>
      <c r="H1135" s="85">
        <f>F1135*D1135</f>
        <v>0</v>
      </c>
      <c r="I1135" s="86"/>
      <c r="K1135" s="214" t="e">
        <f>K1134/SUM(K1134:O1134)*I1136</f>
        <v>#DIV/0!</v>
      </c>
      <c r="L1135" s="214" t="e">
        <f>L1134/SUM(K1134:O1134)*$I1136</f>
        <v>#DIV/0!</v>
      </c>
      <c r="M1135" s="214" t="e">
        <f>M1134/SUM(K1134:O1134)*$I1136</f>
        <v>#DIV/0!</v>
      </c>
      <c r="N1135" s="214" t="e">
        <f>N1134/SUM(K1134:O1134)*$I1136</f>
        <v>#DIV/0!</v>
      </c>
      <c r="O1135" s="214" t="e">
        <f>O1134/SUM(K1134:O1134)*$I1136</f>
        <v>#DIV/0!</v>
      </c>
      <c r="P1135" s="50" t="s">
        <v>90</v>
      </c>
    </row>
    <row r="1136" spans="1:16" ht="16.5" thickTop="1" x14ac:dyDescent="0.25">
      <c r="A1136" s="365"/>
      <c r="B1136" s="368"/>
      <c r="C1136" s="9"/>
      <c r="D1136" s="9"/>
      <c r="E1136" s="64"/>
      <c r="F1136" s="222"/>
      <c r="G1136" s="222"/>
      <c r="H1136" s="64">
        <f>SUM(H1132:H1135)</f>
        <v>0</v>
      </c>
      <c r="I1136" s="74">
        <f>H1136*I$6*I$5</f>
        <v>0</v>
      </c>
    </row>
    <row r="1138" spans="1:16" ht="15.6" customHeight="1" x14ac:dyDescent="0.25">
      <c r="A1138" s="363">
        <f>A1132+1</f>
        <v>45703</v>
      </c>
      <c r="B1138" s="366" t="s">
        <v>0</v>
      </c>
      <c r="C1138" s="57" t="s">
        <v>72</v>
      </c>
      <c r="D1138" s="7"/>
      <c r="E1138" s="49"/>
      <c r="F1138" s="48">
        <v>1</v>
      </c>
      <c r="G1138" s="227">
        <v>1</v>
      </c>
      <c r="H1138" s="49">
        <f>F1138*D1138*G1138</f>
        <v>0</v>
      </c>
      <c r="I1138" s="55"/>
      <c r="K1138" s="369" t="s">
        <v>23</v>
      </c>
      <c r="L1138" s="370"/>
      <c r="M1138" s="370"/>
      <c r="N1138" s="370"/>
      <c r="O1138" s="371"/>
    </row>
    <row r="1139" spans="1:16" x14ac:dyDescent="0.25">
      <c r="A1139" s="364"/>
      <c r="B1139" s="367"/>
      <c r="C1139" s="21" t="s">
        <v>73</v>
      </c>
      <c r="E1139" s="17"/>
      <c r="F1139" s="16">
        <v>1</v>
      </c>
      <c r="G1139" s="228"/>
      <c r="H1139" s="17">
        <f>F1139*D1139*G1139</f>
        <v>0</v>
      </c>
      <c r="I1139" s="72"/>
      <c r="K1139" s="47" t="s">
        <v>27</v>
      </c>
      <c r="L1139" s="47" t="s">
        <v>12</v>
      </c>
      <c r="M1139" s="47" t="s">
        <v>87</v>
      </c>
      <c r="N1139" s="47" t="s">
        <v>28</v>
      </c>
      <c r="O1139" s="28" t="s">
        <v>86</v>
      </c>
      <c r="P1139" s="17"/>
    </row>
    <row r="1140" spans="1:16" x14ac:dyDescent="0.25">
      <c r="A1140" s="364"/>
      <c r="B1140" s="367"/>
      <c r="E1140" s="17"/>
      <c r="F1140" s="16">
        <v>1</v>
      </c>
      <c r="G1140" s="228"/>
      <c r="H1140" s="17">
        <f>F1140*D1140</f>
        <v>0</v>
      </c>
      <c r="I1140" s="72"/>
      <c r="K1140" s="3"/>
      <c r="L1140" s="3"/>
      <c r="M1140" s="3"/>
      <c r="N1140" s="3"/>
      <c r="O1140" s="3"/>
      <c r="P1140" s="50" t="s">
        <v>50</v>
      </c>
    </row>
    <row r="1141" spans="1:16" ht="16.5" thickBot="1" x14ac:dyDescent="0.3">
      <c r="A1141" s="364"/>
      <c r="B1141" s="367"/>
      <c r="C1141" s="225" t="s">
        <v>47</v>
      </c>
      <c r="D1141" s="223"/>
      <c r="E1141" s="85"/>
      <c r="F1141" s="224"/>
      <c r="G1141" s="224"/>
      <c r="H1141" s="85">
        <f>F1141*D1141</f>
        <v>0</v>
      </c>
      <c r="I1141" s="86"/>
      <c r="K1141" s="214" t="e">
        <f>K1140/SUM(K1140:O1140)*I1142</f>
        <v>#DIV/0!</v>
      </c>
      <c r="L1141" s="214" t="e">
        <f>L1140/SUM(K1140:O1140)*$I1142</f>
        <v>#DIV/0!</v>
      </c>
      <c r="M1141" s="214" t="e">
        <f>M1140/SUM(K1140:O1140)*$I1142</f>
        <v>#DIV/0!</v>
      </c>
      <c r="N1141" s="214" t="e">
        <f>N1140/SUM(K1140:O1140)*$I1142</f>
        <v>#DIV/0!</v>
      </c>
      <c r="O1141" s="214" t="e">
        <f>O1140/SUM(K1140:O1140)*$I1142</f>
        <v>#DIV/0!</v>
      </c>
      <c r="P1141" s="50" t="s">
        <v>90</v>
      </c>
    </row>
    <row r="1142" spans="1:16" ht="16.5" thickTop="1" x14ac:dyDescent="0.25">
      <c r="A1142" s="365"/>
      <c r="B1142" s="368"/>
      <c r="C1142" s="9"/>
      <c r="D1142" s="9"/>
      <c r="E1142" s="64"/>
      <c r="F1142" s="222"/>
      <c r="G1142" s="222"/>
      <c r="H1142" s="64">
        <f>SUM(H1138:H1141)</f>
        <v>0</v>
      </c>
      <c r="I1142" s="74">
        <f>H1142*I$6*I$5</f>
        <v>0</v>
      </c>
    </row>
    <row r="1143" spans="1:16" x14ac:dyDescent="0.25">
      <c r="B1143" s="9"/>
    </row>
    <row r="1144" spans="1:16" ht="15.6" customHeight="1" x14ac:dyDescent="0.25">
      <c r="A1144" s="363">
        <f>A1138+1</f>
        <v>45704</v>
      </c>
      <c r="B1144" s="366" t="s">
        <v>1</v>
      </c>
      <c r="C1144" s="57" t="s">
        <v>72</v>
      </c>
      <c r="D1144" s="7"/>
      <c r="E1144" s="49"/>
      <c r="F1144" s="48">
        <v>1</v>
      </c>
      <c r="G1144" s="227">
        <v>1</v>
      </c>
      <c r="H1144" s="49">
        <f>F1144*D1144*G1144</f>
        <v>0</v>
      </c>
      <c r="I1144" s="55"/>
      <c r="K1144" s="369" t="s">
        <v>23</v>
      </c>
      <c r="L1144" s="370"/>
      <c r="M1144" s="370"/>
      <c r="N1144" s="370"/>
      <c r="O1144" s="371"/>
    </row>
    <row r="1145" spans="1:16" x14ac:dyDescent="0.25">
      <c r="A1145" s="364"/>
      <c r="B1145" s="367"/>
      <c r="C1145" s="21" t="s">
        <v>73</v>
      </c>
      <c r="E1145" s="17"/>
      <c r="F1145" s="16">
        <v>1</v>
      </c>
      <c r="G1145" s="228">
        <v>1</v>
      </c>
      <c r="H1145" s="17">
        <f>F1145*D1145*G1145</f>
        <v>0</v>
      </c>
      <c r="I1145" s="72"/>
      <c r="K1145" s="47" t="s">
        <v>27</v>
      </c>
      <c r="L1145" s="47" t="s">
        <v>12</v>
      </c>
      <c r="M1145" s="47" t="s">
        <v>87</v>
      </c>
      <c r="N1145" s="47" t="s">
        <v>28</v>
      </c>
      <c r="O1145" s="28" t="s">
        <v>86</v>
      </c>
      <c r="P1145" s="17"/>
    </row>
    <row r="1146" spans="1:16" x14ac:dyDescent="0.25">
      <c r="A1146" s="364"/>
      <c r="B1146" s="367"/>
      <c r="E1146" s="17"/>
      <c r="F1146" s="16">
        <v>1</v>
      </c>
      <c r="G1146" s="228"/>
      <c r="H1146" s="17">
        <f>F1146*D1146</f>
        <v>0</v>
      </c>
      <c r="I1146" s="72"/>
      <c r="K1146" s="3"/>
      <c r="L1146" s="3"/>
      <c r="M1146" s="3"/>
      <c r="N1146" s="3"/>
      <c r="O1146" s="3"/>
      <c r="P1146" s="50" t="s">
        <v>50</v>
      </c>
    </row>
    <row r="1147" spans="1:16" ht="16.5" thickBot="1" x14ac:dyDescent="0.3">
      <c r="A1147" s="364"/>
      <c r="B1147" s="367"/>
      <c r="C1147" s="225" t="s">
        <v>47</v>
      </c>
      <c r="D1147" s="223"/>
      <c r="E1147" s="85"/>
      <c r="F1147" s="224"/>
      <c r="G1147" s="224"/>
      <c r="H1147" s="85">
        <f>F1147*D1147</f>
        <v>0</v>
      </c>
      <c r="I1147" s="86"/>
      <c r="K1147" s="214" t="e">
        <f>K1146/SUM(K1146:O1146)*I1148</f>
        <v>#DIV/0!</v>
      </c>
      <c r="L1147" s="214" t="e">
        <f>L1146/SUM(K1146:O1146)*$I1148</f>
        <v>#DIV/0!</v>
      </c>
      <c r="M1147" s="214" t="e">
        <f>M1146/SUM(K1146:O1146)*$I1148</f>
        <v>#DIV/0!</v>
      </c>
      <c r="N1147" s="214" t="e">
        <f>N1146/SUM(K1146:O1146)*$I1148</f>
        <v>#DIV/0!</v>
      </c>
      <c r="O1147" s="214" t="e">
        <f>O1146/SUM(K1146:O1146)*$I1148</f>
        <v>#DIV/0!</v>
      </c>
      <c r="P1147" s="50" t="s">
        <v>90</v>
      </c>
    </row>
    <row r="1148" spans="1:16" ht="16.5" thickTop="1" x14ac:dyDescent="0.25">
      <c r="A1148" s="365"/>
      <c r="B1148" s="368"/>
      <c r="C1148" s="9"/>
      <c r="D1148" s="9"/>
      <c r="E1148" s="64"/>
      <c r="F1148" s="222"/>
      <c r="G1148" s="222"/>
      <c r="H1148" s="64">
        <f>SUM(H1144:H1147)</f>
        <v>0</v>
      </c>
      <c r="I1148" s="74">
        <f>H1148*I$6*I$5</f>
        <v>0</v>
      </c>
    </row>
    <row r="1149" spans="1:16" x14ac:dyDescent="0.25">
      <c r="B1149" s="9"/>
    </row>
    <row r="1150" spans="1:16" ht="15.6" customHeight="1" x14ac:dyDescent="0.25">
      <c r="A1150" s="363">
        <f>A1144+1</f>
        <v>45705</v>
      </c>
      <c r="B1150" s="366" t="s">
        <v>25</v>
      </c>
      <c r="C1150" s="57" t="s">
        <v>72</v>
      </c>
      <c r="D1150" s="7"/>
      <c r="E1150" s="49"/>
      <c r="F1150" s="48">
        <v>1</v>
      </c>
      <c r="G1150" s="227"/>
      <c r="H1150" s="49">
        <f>F1150*D1150*G1150</f>
        <v>0</v>
      </c>
      <c r="I1150" s="55"/>
      <c r="K1150" s="369" t="s">
        <v>23</v>
      </c>
      <c r="L1150" s="370"/>
      <c r="M1150" s="370"/>
      <c r="N1150" s="370"/>
      <c r="O1150" s="371"/>
    </row>
    <row r="1151" spans="1:16" x14ac:dyDescent="0.25">
      <c r="A1151" s="364"/>
      <c r="B1151" s="367"/>
      <c r="C1151" s="21" t="s">
        <v>73</v>
      </c>
      <c r="E1151" s="17"/>
      <c r="F1151" s="16">
        <v>1</v>
      </c>
      <c r="G1151" s="228"/>
      <c r="H1151" s="17">
        <f>F1151*D1151*G1151</f>
        <v>0</v>
      </c>
      <c r="I1151" s="72"/>
      <c r="K1151" s="47" t="s">
        <v>27</v>
      </c>
      <c r="L1151" s="47" t="s">
        <v>12</v>
      </c>
      <c r="M1151" s="47" t="s">
        <v>87</v>
      </c>
      <c r="N1151" s="47" t="s">
        <v>28</v>
      </c>
      <c r="O1151" s="28" t="s">
        <v>86</v>
      </c>
      <c r="P1151" s="17"/>
    </row>
    <row r="1152" spans="1:16" x14ac:dyDescent="0.25">
      <c r="A1152" s="364"/>
      <c r="B1152" s="367"/>
      <c r="E1152" s="17"/>
      <c r="F1152" s="16">
        <v>1</v>
      </c>
      <c r="G1152" s="228"/>
      <c r="H1152" s="17">
        <f>F1152*D1152</f>
        <v>0</v>
      </c>
      <c r="I1152" s="72"/>
      <c r="K1152" s="3"/>
      <c r="L1152" s="3"/>
      <c r="M1152" s="3"/>
      <c r="N1152" s="3"/>
      <c r="O1152" s="3"/>
      <c r="P1152" s="50" t="s">
        <v>50</v>
      </c>
    </row>
    <row r="1153" spans="1:16" ht="16.5" thickBot="1" x14ac:dyDescent="0.3">
      <c r="A1153" s="364"/>
      <c r="B1153" s="367"/>
      <c r="C1153" s="225" t="s">
        <v>47</v>
      </c>
      <c r="D1153" s="223"/>
      <c r="E1153" s="85"/>
      <c r="F1153" s="224">
        <v>1</v>
      </c>
      <c r="G1153" s="224"/>
      <c r="H1153" s="85">
        <f>F1153*D1153</f>
        <v>0</v>
      </c>
      <c r="I1153" s="86"/>
      <c r="K1153" s="214" t="e">
        <f>K1152/SUM(K1152:O1152)*I1154</f>
        <v>#DIV/0!</v>
      </c>
      <c r="L1153" s="214" t="e">
        <f>L1152/SUM(K1152:O1152)*$I1154</f>
        <v>#DIV/0!</v>
      </c>
      <c r="M1153" s="214" t="e">
        <f>M1152/SUM(K1152:O1152)*$I1154</f>
        <v>#DIV/0!</v>
      </c>
      <c r="N1153" s="214" t="e">
        <f>N1152/SUM(K1152:O1152)*$I1154</f>
        <v>#DIV/0!</v>
      </c>
      <c r="O1153" s="214" t="e">
        <f>O1152/SUM(K1152:O1152)*$I1154</f>
        <v>#DIV/0!</v>
      </c>
      <c r="P1153" s="50" t="s">
        <v>90</v>
      </c>
    </row>
    <row r="1154" spans="1:16" ht="16.5" thickTop="1" x14ac:dyDescent="0.25">
      <c r="A1154" s="365"/>
      <c r="B1154" s="368"/>
      <c r="C1154" s="9"/>
      <c r="D1154" s="9"/>
      <c r="E1154" s="64"/>
      <c r="F1154" s="222"/>
      <c r="G1154" s="222"/>
      <c r="H1154" s="64">
        <f>SUM(H1150:H1153)</f>
        <v>0</v>
      </c>
      <c r="I1154" s="74">
        <f>H1154*I$6*I$5</f>
        <v>0</v>
      </c>
    </row>
    <row r="1156" spans="1:16" ht="15.6" customHeight="1" x14ac:dyDescent="0.25">
      <c r="A1156" s="363">
        <f>A1150+1</f>
        <v>45706</v>
      </c>
      <c r="B1156" s="366" t="s">
        <v>3</v>
      </c>
      <c r="C1156" s="57" t="s">
        <v>72</v>
      </c>
      <c r="D1156" s="7"/>
      <c r="E1156" s="49"/>
      <c r="F1156" s="48">
        <v>1</v>
      </c>
      <c r="G1156" s="227"/>
      <c r="H1156" s="49">
        <f>F1156*D1156*G1156</f>
        <v>0</v>
      </c>
      <c r="I1156" s="55"/>
      <c r="K1156" s="369" t="s">
        <v>23</v>
      </c>
      <c r="L1156" s="370"/>
      <c r="M1156" s="370"/>
      <c r="N1156" s="370"/>
      <c r="O1156" s="371"/>
    </row>
    <row r="1157" spans="1:16" x14ac:dyDescent="0.25">
      <c r="A1157" s="364"/>
      <c r="B1157" s="367"/>
      <c r="C1157" s="21" t="s">
        <v>73</v>
      </c>
      <c r="E1157" s="17"/>
      <c r="F1157" s="16">
        <v>1</v>
      </c>
      <c r="G1157" s="228"/>
      <c r="H1157" s="17">
        <f>F1157*D1157*G1157</f>
        <v>0</v>
      </c>
      <c r="I1157" s="72"/>
      <c r="K1157" s="47" t="s">
        <v>27</v>
      </c>
      <c r="L1157" s="47" t="s">
        <v>12</v>
      </c>
      <c r="M1157" s="47" t="s">
        <v>87</v>
      </c>
      <c r="N1157" s="47" t="s">
        <v>28</v>
      </c>
      <c r="O1157" s="28" t="s">
        <v>86</v>
      </c>
      <c r="P1157" s="17"/>
    </row>
    <row r="1158" spans="1:16" x14ac:dyDescent="0.25">
      <c r="A1158" s="364"/>
      <c r="B1158" s="367"/>
      <c r="E1158" s="17"/>
      <c r="F1158" s="16">
        <v>1</v>
      </c>
      <c r="G1158" s="228"/>
      <c r="H1158" s="17">
        <f>F1158*D1158</f>
        <v>0</v>
      </c>
      <c r="I1158" s="72"/>
      <c r="K1158" s="3"/>
      <c r="L1158" s="3"/>
      <c r="M1158" s="3"/>
      <c r="N1158" s="3"/>
      <c r="O1158" s="3"/>
      <c r="P1158" s="50" t="s">
        <v>50</v>
      </c>
    </row>
    <row r="1159" spans="1:16" ht="16.5" thickBot="1" x14ac:dyDescent="0.3">
      <c r="A1159" s="364"/>
      <c r="B1159" s="367"/>
      <c r="C1159" s="225" t="s">
        <v>47</v>
      </c>
      <c r="D1159" s="223"/>
      <c r="E1159" s="85"/>
      <c r="F1159" s="224">
        <v>1</v>
      </c>
      <c r="G1159" s="224"/>
      <c r="H1159" s="85">
        <f>F1159*D1159</f>
        <v>0</v>
      </c>
      <c r="I1159" s="86"/>
      <c r="K1159" s="214" t="e">
        <f>K1158/SUM(K1158:O1158)*I1160</f>
        <v>#DIV/0!</v>
      </c>
      <c r="L1159" s="214" t="e">
        <f>L1158/SUM(K1158:O1158)*$I1160</f>
        <v>#DIV/0!</v>
      </c>
      <c r="M1159" s="214" t="e">
        <f>M1158/SUM(K1158:O1158)*$I1160</f>
        <v>#DIV/0!</v>
      </c>
      <c r="N1159" s="214" t="e">
        <f>N1158/SUM(K1158:O1158)*$I1160</f>
        <v>#DIV/0!</v>
      </c>
      <c r="O1159" s="214" t="e">
        <f>O1158/SUM(K1158:O1158)*$I1160</f>
        <v>#DIV/0!</v>
      </c>
      <c r="P1159" s="50" t="s">
        <v>90</v>
      </c>
    </row>
    <row r="1160" spans="1:16" ht="16.5" thickTop="1" x14ac:dyDescent="0.25">
      <c r="A1160" s="365"/>
      <c r="B1160" s="368"/>
      <c r="C1160" s="9"/>
      <c r="D1160" s="9"/>
      <c r="E1160" s="64"/>
      <c r="F1160" s="222"/>
      <c r="G1160" s="222"/>
      <c r="H1160" s="64">
        <f>SUM(H1156:H1159)</f>
        <v>0</v>
      </c>
      <c r="I1160" s="74">
        <f>H1160*I$6*I$5</f>
        <v>0</v>
      </c>
    </row>
    <row r="1162" spans="1:16" ht="15.6" customHeight="1" x14ac:dyDescent="0.25">
      <c r="A1162" s="363">
        <f>A1156+1</f>
        <v>45707</v>
      </c>
      <c r="B1162" s="366" t="s">
        <v>24</v>
      </c>
      <c r="C1162" s="57" t="s">
        <v>72</v>
      </c>
      <c r="D1162" s="7"/>
      <c r="E1162" s="49"/>
      <c r="F1162" s="48">
        <v>1</v>
      </c>
      <c r="G1162" s="227">
        <v>1</v>
      </c>
      <c r="H1162" s="49">
        <f>F1162*D1162*G1162</f>
        <v>0</v>
      </c>
      <c r="I1162" s="55"/>
      <c r="K1162" s="369" t="s">
        <v>23</v>
      </c>
      <c r="L1162" s="370"/>
      <c r="M1162" s="370"/>
      <c r="N1162" s="370"/>
      <c r="O1162" s="371"/>
    </row>
    <row r="1163" spans="1:16" x14ac:dyDescent="0.25">
      <c r="A1163" s="364"/>
      <c r="B1163" s="367"/>
      <c r="C1163" s="21" t="s">
        <v>73</v>
      </c>
      <c r="E1163" s="17"/>
      <c r="F1163" s="16">
        <v>1</v>
      </c>
      <c r="G1163" s="228">
        <v>1</v>
      </c>
      <c r="H1163" s="17">
        <f>F1163*D1163*G1163</f>
        <v>0</v>
      </c>
      <c r="I1163" s="72"/>
      <c r="K1163" s="47" t="s">
        <v>27</v>
      </c>
      <c r="L1163" s="47" t="s">
        <v>12</v>
      </c>
      <c r="M1163" s="47" t="s">
        <v>87</v>
      </c>
      <c r="N1163" s="47" t="s">
        <v>28</v>
      </c>
      <c r="O1163" s="28" t="s">
        <v>86</v>
      </c>
      <c r="P1163" s="17"/>
    </row>
    <row r="1164" spans="1:16" x14ac:dyDescent="0.25">
      <c r="A1164" s="364"/>
      <c r="B1164" s="367"/>
      <c r="E1164" s="17"/>
      <c r="F1164" s="16">
        <v>1</v>
      </c>
      <c r="G1164" s="228"/>
      <c r="H1164" s="17">
        <f>F1164*D1164</f>
        <v>0</v>
      </c>
      <c r="I1164" s="72"/>
      <c r="K1164" s="3"/>
      <c r="L1164" s="3"/>
      <c r="M1164" s="3"/>
      <c r="N1164" s="3"/>
      <c r="O1164" s="3"/>
      <c r="P1164" s="50" t="s">
        <v>50</v>
      </c>
    </row>
    <row r="1165" spans="1:16" ht="16.5" thickBot="1" x14ac:dyDescent="0.3">
      <c r="A1165" s="364"/>
      <c r="B1165" s="367"/>
      <c r="C1165" s="225" t="s">
        <v>47</v>
      </c>
      <c r="D1165" s="223"/>
      <c r="E1165" s="85"/>
      <c r="F1165" s="224"/>
      <c r="G1165" s="224"/>
      <c r="H1165" s="85">
        <f>F1165*D1165</f>
        <v>0</v>
      </c>
      <c r="I1165" s="86"/>
      <c r="K1165" s="214" t="e">
        <f>K1164/SUM(K1164:O1164)*I1166</f>
        <v>#DIV/0!</v>
      </c>
      <c r="L1165" s="214" t="e">
        <f>L1164/SUM(K1164:O1164)*$I1166</f>
        <v>#DIV/0!</v>
      </c>
      <c r="M1165" s="214" t="e">
        <f>M1164/SUM(K1164:O1164)*$I1166</f>
        <v>#DIV/0!</v>
      </c>
      <c r="N1165" s="214" t="e">
        <f>N1164/SUM(K1164:O1164)*$I1166</f>
        <v>#DIV/0!</v>
      </c>
      <c r="O1165" s="214" t="e">
        <f>O1164/SUM(K1164:O1164)*$I1166</f>
        <v>#DIV/0!</v>
      </c>
      <c r="P1165" s="50" t="s">
        <v>90</v>
      </c>
    </row>
    <row r="1166" spans="1:16" ht="16.5" thickTop="1" x14ac:dyDescent="0.25">
      <c r="A1166" s="365"/>
      <c r="B1166" s="368"/>
      <c r="C1166" s="9"/>
      <c r="D1166" s="9"/>
      <c r="E1166" s="64"/>
      <c r="F1166" s="222"/>
      <c r="G1166" s="222"/>
      <c r="H1166" s="64">
        <f>SUM(H1162:H1165)</f>
        <v>0</v>
      </c>
      <c r="I1166" s="74">
        <f>H1166*I$6*I$5</f>
        <v>0</v>
      </c>
    </row>
    <row r="1168" spans="1:16" ht="15.6" customHeight="1" x14ac:dyDescent="0.25">
      <c r="A1168" s="363">
        <f>A1162+1</f>
        <v>45708</v>
      </c>
      <c r="B1168" s="366" t="s">
        <v>5</v>
      </c>
      <c r="C1168" s="57" t="s">
        <v>72</v>
      </c>
      <c r="D1168" s="7"/>
      <c r="E1168" s="49"/>
      <c r="F1168" s="48">
        <v>1</v>
      </c>
      <c r="G1168" s="227">
        <v>1</v>
      </c>
      <c r="H1168" s="49">
        <f>F1168*D1168*G1168</f>
        <v>0</v>
      </c>
      <c r="I1168" s="55"/>
      <c r="K1168" s="369" t="s">
        <v>23</v>
      </c>
      <c r="L1168" s="370"/>
      <c r="M1168" s="370"/>
      <c r="N1168" s="370"/>
      <c r="O1168" s="371"/>
    </row>
    <row r="1169" spans="1:16" x14ac:dyDescent="0.25">
      <c r="A1169" s="364"/>
      <c r="B1169" s="367"/>
      <c r="C1169" s="21" t="s">
        <v>73</v>
      </c>
      <c r="E1169" s="17"/>
      <c r="F1169" s="16">
        <v>1</v>
      </c>
      <c r="G1169" s="228">
        <v>1</v>
      </c>
      <c r="H1169" s="17">
        <f>F1169*D1169*G1169</f>
        <v>0</v>
      </c>
      <c r="I1169" s="72"/>
      <c r="K1169" s="47" t="s">
        <v>27</v>
      </c>
      <c r="L1169" s="47" t="s">
        <v>12</v>
      </c>
      <c r="M1169" s="47" t="s">
        <v>87</v>
      </c>
      <c r="N1169" s="47" t="s">
        <v>28</v>
      </c>
      <c r="O1169" s="28" t="s">
        <v>86</v>
      </c>
      <c r="P1169" s="17"/>
    </row>
    <row r="1170" spans="1:16" x14ac:dyDescent="0.25">
      <c r="A1170" s="364"/>
      <c r="B1170" s="367"/>
      <c r="E1170" s="17"/>
      <c r="F1170" s="16">
        <v>1</v>
      </c>
      <c r="G1170" s="228"/>
      <c r="H1170" s="17">
        <f>F1170*D1170</f>
        <v>0</v>
      </c>
      <c r="I1170" s="72"/>
      <c r="K1170" s="3"/>
      <c r="L1170" s="3"/>
      <c r="M1170" s="3"/>
      <c r="N1170" s="3"/>
      <c r="O1170" s="3"/>
      <c r="P1170" s="50" t="s">
        <v>50</v>
      </c>
    </row>
    <row r="1171" spans="1:16" ht="16.5" thickBot="1" x14ac:dyDescent="0.3">
      <c r="A1171" s="364"/>
      <c r="B1171" s="367"/>
      <c r="C1171" s="225" t="s">
        <v>47</v>
      </c>
      <c r="D1171" s="223"/>
      <c r="E1171" s="85"/>
      <c r="F1171" s="224"/>
      <c r="G1171" s="224"/>
      <c r="H1171" s="85">
        <f>F1171*D1171</f>
        <v>0</v>
      </c>
      <c r="I1171" s="86"/>
      <c r="K1171" s="214" t="e">
        <f>K1170/SUM(K1170:O1170)*I1172</f>
        <v>#DIV/0!</v>
      </c>
      <c r="L1171" s="214" t="e">
        <f>L1170/SUM(K1170:O1170)*$I1172</f>
        <v>#DIV/0!</v>
      </c>
      <c r="M1171" s="214" t="e">
        <f>M1170/SUM(K1170:O1170)*$I1172</f>
        <v>#DIV/0!</v>
      </c>
      <c r="N1171" s="214" t="e">
        <f>N1170/SUM(K1170:O1170)*$I1172</f>
        <v>#DIV/0!</v>
      </c>
      <c r="O1171" s="214" t="e">
        <f>O1170/SUM(K1170:O1170)*$I1172</f>
        <v>#DIV/0!</v>
      </c>
      <c r="P1171" s="50" t="s">
        <v>90</v>
      </c>
    </row>
    <row r="1172" spans="1:16" ht="16.5" thickTop="1" x14ac:dyDescent="0.25">
      <c r="A1172" s="365"/>
      <c r="B1172" s="368"/>
      <c r="C1172" s="9"/>
      <c r="D1172" s="9"/>
      <c r="E1172" s="64"/>
      <c r="F1172" s="222"/>
      <c r="G1172" s="222"/>
      <c r="H1172" s="64">
        <f>SUM(H1168:H1171)</f>
        <v>0</v>
      </c>
      <c r="I1172" s="74">
        <f>H1172*I$6*I$5</f>
        <v>0</v>
      </c>
    </row>
    <row r="1174" spans="1:16" ht="15.6" customHeight="1" x14ac:dyDescent="0.25">
      <c r="A1174" s="363">
        <f>A1168+1</f>
        <v>45709</v>
      </c>
      <c r="B1174" s="366" t="s">
        <v>6</v>
      </c>
      <c r="C1174" s="57" t="s">
        <v>72</v>
      </c>
      <c r="D1174" s="7"/>
      <c r="E1174" s="49"/>
      <c r="F1174" s="48">
        <v>1</v>
      </c>
      <c r="G1174" s="227">
        <v>1</v>
      </c>
      <c r="H1174" s="49">
        <f>F1174*D1174*G1174</f>
        <v>0</v>
      </c>
      <c r="I1174" s="55"/>
      <c r="K1174" s="369" t="s">
        <v>23</v>
      </c>
      <c r="L1174" s="370"/>
      <c r="M1174" s="370"/>
      <c r="N1174" s="370"/>
      <c r="O1174" s="371"/>
    </row>
    <row r="1175" spans="1:16" x14ac:dyDescent="0.25">
      <c r="A1175" s="364"/>
      <c r="B1175" s="367"/>
      <c r="C1175" s="21" t="s">
        <v>73</v>
      </c>
      <c r="E1175" s="17"/>
      <c r="F1175" s="16">
        <v>1</v>
      </c>
      <c r="G1175" s="228">
        <v>1</v>
      </c>
      <c r="H1175" s="17">
        <f>F1175*D1175*G1175</f>
        <v>0</v>
      </c>
      <c r="I1175" s="72"/>
      <c r="K1175" s="47" t="s">
        <v>27</v>
      </c>
      <c r="L1175" s="47" t="s">
        <v>12</v>
      </c>
      <c r="M1175" s="47" t="s">
        <v>87</v>
      </c>
      <c r="N1175" s="47" t="s">
        <v>28</v>
      </c>
      <c r="O1175" s="28" t="s">
        <v>86</v>
      </c>
      <c r="P1175" s="17"/>
    </row>
    <row r="1176" spans="1:16" x14ac:dyDescent="0.25">
      <c r="A1176" s="364"/>
      <c r="B1176" s="367"/>
      <c r="E1176" s="17"/>
      <c r="F1176" s="16">
        <v>1</v>
      </c>
      <c r="G1176" s="228"/>
      <c r="H1176" s="17">
        <f>F1176*D1176</f>
        <v>0</v>
      </c>
      <c r="I1176" s="72"/>
      <c r="K1176" s="3"/>
      <c r="L1176" s="3"/>
      <c r="M1176" s="3"/>
      <c r="N1176" s="3"/>
      <c r="O1176" s="3"/>
      <c r="P1176" s="50" t="s">
        <v>50</v>
      </c>
    </row>
    <row r="1177" spans="1:16" ht="16.5" thickBot="1" x14ac:dyDescent="0.3">
      <c r="A1177" s="364"/>
      <c r="B1177" s="367"/>
      <c r="C1177" s="225" t="s">
        <v>47</v>
      </c>
      <c r="D1177" s="223"/>
      <c r="E1177" s="85"/>
      <c r="F1177" s="224"/>
      <c r="G1177" s="224"/>
      <c r="H1177" s="85">
        <f>F1177*D1177</f>
        <v>0</v>
      </c>
      <c r="I1177" s="86"/>
      <c r="K1177" s="214" t="e">
        <f>K1176/SUM(K1176:O1176)*I1178</f>
        <v>#DIV/0!</v>
      </c>
      <c r="L1177" s="214" t="e">
        <f>L1176/SUM(K1176:O1176)*$I1178</f>
        <v>#DIV/0!</v>
      </c>
      <c r="M1177" s="214" t="e">
        <f>M1176/SUM(K1176:O1176)*$I1178</f>
        <v>#DIV/0!</v>
      </c>
      <c r="N1177" s="214" t="e">
        <f>N1176/SUM(K1176:O1176)*$I1178</f>
        <v>#DIV/0!</v>
      </c>
      <c r="O1177" s="214" t="e">
        <f>O1176/SUM(K1176:O1176)*$I1178</f>
        <v>#DIV/0!</v>
      </c>
      <c r="P1177" s="50" t="s">
        <v>90</v>
      </c>
    </row>
    <row r="1178" spans="1:16" ht="16.5" thickTop="1" x14ac:dyDescent="0.25">
      <c r="A1178" s="365"/>
      <c r="B1178" s="368"/>
      <c r="C1178" s="9"/>
      <c r="D1178" s="9"/>
      <c r="E1178" s="64"/>
      <c r="F1178" s="222"/>
      <c r="G1178" s="222"/>
      <c r="H1178" s="64">
        <f>SUM(H1174:H1177)</f>
        <v>0</v>
      </c>
      <c r="I1178" s="74">
        <f>H1178*I$6*I$5</f>
        <v>0</v>
      </c>
    </row>
    <row r="1180" spans="1:16" ht="15.6" customHeight="1" x14ac:dyDescent="0.25">
      <c r="A1180" s="363">
        <f>A1174+1</f>
        <v>45710</v>
      </c>
      <c r="B1180" s="366" t="s">
        <v>0</v>
      </c>
      <c r="C1180" s="57" t="s">
        <v>72</v>
      </c>
      <c r="D1180" s="7"/>
      <c r="E1180" s="49"/>
      <c r="F1180" s="48">
        <v>1</v>
      </c>
      <c r="G1180" s="227">
        <v>1</v>
      </c>
      <c r="H1180" s="49">
        <f>F1180*D1180*G1180</f>
        <v>0</v>
      </c>
      <c r="I1180" s="55"/>
      <c r="K1180" s="369" t="s">
        <v>23</v>
      </c>
      <c r="L1180" s="370"/>
      <c r="M1180" s="370"/>
      <c r="N1180" s="370"/>
      <c r="O1180" s="371"/>
    </row>
    <row r="1181" spans="1:16" x14ac:dyDescent="0.25">
      <c r="A1181" s="364"/>
      <c r="B1181" s="367"/>
      <c r="C1181" s="21" t="s">
        <v>73</v>
      </c>
      <c r="E1181" s="17"/>
      <c r="F1181" s="16">
        <v>1</v>
      </c>
      <c r="G1181" s="228">
        <v>1</v>
      </c>
      <c r="H1181" s="17">
        <f>F1181*D1181*G1181</f>
        <v>0</v>
      </c>
      <c r="I1181" s="72"/>
      <c r="K1181" s="47" t="s">
        <v>27</v>
      </c>
      <c r="L1181" s="47" t="s">
        <v>12</v>
      </c>
      <c r="M1181" s="47" t="s">
        <v>87</v>
      </c>
      <c r="N1181" s="47" t="s">
        <v>28</v>
      </c>
      <c r="O1181" s="28" t="s">
        <v>86</v>
      </c>
      <c r="P1181" s="17"/>
    </row>
    <row r="1182" spans="1:16" x14ac:dyDescent="0.25">
      <c r="A1182" s="364"/>
      <c r="B1182" s="367"/>
      <c r="E1182" s="17"/>
      <c r="F1182" s="16">
        <v>1</v>
      </c>
      <c r="G1182" s="228"/>
      <c r="H1182" s="17">
        <f>F1182*D1182</f>
        <v>0</v>
      </c>
      <c r="I1182" s="72"/>
      <c r="K1182" s="3"/>
      <c r="L1182" s="3"/>
      <c r="M1182" s="3"/>
      <c r="N1182" s="3"/>
      <c r="O1182" s="3"/>
      <c r="P1182" s="50" t="s">
        <v>50</v>
      </c>
    </row>
    <row r="1183" spans="1:16" ht="16.5" thickBot="1" x14ac:dyDescent="0.3">
      <c r="A1183" s="364"/>
      <c r="B1183" s="367"/>
      <c r="C1183" s="225" t="s">
        <v>47</v>
      </c>
      <c r="D1183" s="223"/>
      <c r="E1183" s="85"/>
      <c r="F1183" s="224"/>
      <c r="G1183" s="224"/>
      <c r="H1183" s="85">
        <f>F1183*D1183</f>
        <v>0</v>
      </c>
      <c r="I1183" s="86"/>
      <c r="K1183" s="214" t="e">
        <f>K1182/SUM(K1182:O1182)*I1184</f>
        <v>#DIV/0!</v>
      </c>
      <c r="L1183" s="214" t="e">
        <f>L1182/SUM(K1182:O1182)*$I1184</f>
        <v>#DIV/0!</v>
      </c>
      <c r="M1183" s="214" t="e">
        <f>M1182/SUM(K1182:O1182)*$I1184</f>
        <v>#DIV/0!</v>
      </c>
      <c r="N1183" s="214" t="e">
        <f>N1182/SUM(K1182:O1182)*$I1184</f>
        <v>#DIV/0!</v>
      </c>
      <c r="O1183" s="214" t="e">
        <f>O1182/SUM(K1182:O1182)*$I1184</f>
        <v>#DIV/0!</v>
      </c>
      <c r="P1183" s="50" t="s">
        <v>90</v>
      </c>
    </row>
    <row r="1184" spans="1:16" ht="16.5" thickTop="1" x14ac:dyDescent="0.25">
      <c r="A1184" s="365"/>
      <c r="B1184" s="368"/>
      <c r="C1184" s="9"/>
      <c r="D1184" s="9"/>
      <c r="E1184" s="64"/>
      <c r="F1184" s="222"/>
      <c r="G1184" s="222"/>
      <c r="H1184" s="64">
        <f>SUM(H1180:H1183)</f>
        <v>0</v>
      </c>
      <c r="I1184" s="74">
        <f>H1184*I$6*I$5</f>
        <v>0</v>
      </c>
    </row>
    <row r="1186" spans="1:16" ht="15.6" customHeight="1" x14ac:dyDescent="0.25">
      <c r="A1186" s="363">
        <f>A1180+1</f>
        <v>45711</v>
      </c>
      <c r="B1186" s="366" t="s">
        <v>1</v>
      </c>
      <c r="C1186" s="57" t="s">
        <v>72</v>
      </c>
      <c r="D1186" s="7"/>
      <c r="E1186" s="49"/>
      <c r="F1186" s="48">
        <v>1</v>
      </c>
      <c r="G1186" s="227"/>
      <c r="H1186" s="49">
        <f>F1186*D1186*G1186</f>
        <v>0</v>
      </c>
      <c r="I1186" s="55"/>
      <c r="K1186" s="369" t="s">
        <v>23</v>
      </c>
      <c r="L1186" s="370"/>
      <c r="M1186" s="370"/>
      <c r="N1186" s="370"/>
      <c r="O1186" s="371"/>
    </row>
    <row r="1187" spans="1:16" x14ac:dyDescent="0.25">
      <c r="A1187" s="364"/>
      <c r="B1187" s="367"/>
      <c r="C1187" s="21" t="s">
        <v>73</v>
      </c>
      <c r="E1187" s="17"/>
      <c r="F1187" s="16">
        <v>1</v>
      </c>
      <c r="G1187" s="228"/>
      <c r="H1187" s="17">
        <f>F1187*D1187*G1187</f>
        <v>0</v>
      </c>
      <c r="I1187" s="72"/>
      <c r="K1187" s="47" t="s">
        <v>27</v>
      </c>
      <c r="L1187" s="47" t="s">
        <v>12</v>
      </c>
      <c r="M1187" s="47" t="s">
        <v>87</v>
      </c>
      <c r="N1187" s="47" t="s">
        <v>28</v>
      </c>
      <c r="O1187" s="28" t="s">
        <v>86</v>
      </c>
      <c r="P1187" s="17"/>
    </row>
    <row r="1188" spans="1:16" x14ac:dyDescent="0.25">
      <c r="A1188" s="364"/>
      <c r="B1188" s="367"/>
      <c r="E1188" s="17"/>
      <c r="F1188" s="16">
        <v>1</v>
      </c>
      <c r="G1188" s="228"/>
      <c r="H1188" s="17">
        <f>F1188*D1188</f>
        <v>0</v>
      </c>
      <c r="I1188" s="72"/>
      <c r="K1188" s="3"/>
      <c r="L1188" s="3"/>
      <c r="M1188" s="3"/>
      <c r="N1188" s="3"/>
      <c r="O1188" s="3"/>
      <c r="P1188" s="50" t="s">
        <v>50</v>
      </c>
    </row>
    <row r="1189" spans="1:16" ht="16.5" thickBot="1" x14ac:dyDescent="0.3">
      <c r="A1189" s="364"/>
      <c r="B1189" s="367"/>
      <c r="C1189" s="225" t="s">
        <v>47</v>
      </c>
      <c r="D1189" s="223"/>
      <c r="E1189" s="85"/>
      <c r="F1189" s="224"/>
      <c r="G1189" s="224"/>
      <c r="H1189" s="85">
        <f>F1189*D1189</f>
        <v>0</v>
      </c>
      <c r="I1189" s="86"/>
      <c r="K1189" s="214" t="e">
        <f>K1188/SUM(K1188:O1188)*I1190</f>
        <v>#DIV/0!</v>
      </c>
      <c r="L1189" s="214" t="e">
        <f>L1188/SUM(K1188:O1188)*$I1190</f>
        <v>#DIV/0!</v>
      </c>
      <c r="M1189" s="214" t="e">
        <f>M1188/SUM(K1188:O1188)*$I1190</f>
        <v>#DIV/0!</v>
      </c>
      <c r="N1189" s="214" t="e">
        <f>N1188/SUM(K1188:O1188)*$I1190</f>
        <v>#DIV/0!</v>
      </c>
      <c r="O1189" s="214" t="e">
        <f>O1188/SUM(K1188:O1188)*$I1190</f>
        <v>#DIV/0!</v>
      </c>
      <c r="P1189" s="50" t="s">
        <v>90</v>
      </c>
    </row>
    <row r="1190" spans="1:16" ht="16.5" thickTop="1" x14ac:dyDescent="0.25">
      <c r="A1190" s="365"/>
      <c r="B1190" s="368"/>
      <c r="C1190" s="9"/>
      <c r="D1190" s="9"/>
      <c r="E1190" s="64"/>
      <c r="F1190" s="222"/>
      <c r="G1190" s="222"/>
      <c r="H1190" s="64">
        <f>SUM(H1186:H1189)</f>
        <v>0</v>
      </c>
      <c r="I1190" s="74">
        <f>H1190*I$6*I$5</f>
        <v>0</v>
      </c>
    </row>
    <row r="1191" spans="1:16" x14ac:dyDescent="0.25">
      <c r="B1191" s="9"/>
    </row>
    <row r="1192" spans="1:16" ht="15.6" customHeight="1" x14ac:dyDescent="0.25">
      <c r="A1192" s="363">
        <f>A1186+1</f>
        <v>45712</v>
      </c>
      <c r="B1192" s="366" t="s">
        <v>25</v>
      </c>
      <c r="C1192" s="57" t="s">
        <v>72</v>
      </c>
      <c r="D1192" s="7"/>
      <c r="E1192" s="49"/>
      <c r="F1192" s="48">
        <v>1</v>
      </c>
      <c r="G1192" s="227">
        <v>1</v>
      </c>
      <c r="H1192" s="49">
        <f>F1192*D1192*G1192</f>
        <v>0</v>
      </c>
      <c r="I1192" s="55"/>
      <c r="K1192" s="369" t="s">
        <v>23</v>
      </c>
      <c r="L1192" s="370"/>
      <c r="M1192" s="370"/>
      <c r="N1192" s="370"/>
      <c r="O1192" s="371"/>
    </row>
    <row r="1193" spans="1:16" x14ac:dyDescent="0.25">
      <c r="A1193" s="364"/>
      <c r="B1193" s="367"/>
      <c r="C1193" s="21" t="s">
        <v>73</v>
      </c>
      <c r="E1193" s="17"/>
      <c r="F1193" s="16">
        <v>1</v>
      </c>
      <c r="G1193" s="228">
        <v>1</v>
      </c>
      <c r="H1193" s="17">
        <f>F1193*D1193*G1193</f>
        <v>0</v>
      </c>
      <c r="I1193" s="72"/>
      <c r="K1193" s="47" t="s">
        <v>27</v>
      </c>
      <c r="L1193" s="47" t="s">
        <v>12</v>
      </c>
      <c r="M1193" s="47" t="s">
        <v>87</v>
      </c>
      <c r="N1193" s="47" t="s">
        <v>28</v>
      </c>
      <c r="O1193" s="28" t="s">
        <v>86</v>
      </c>
      <c r="P1193" s="17"/>
    </row>
    <row r="1194" spans="1:16" x14ac:dyDescent="0.25">
      <c r="A1194" s="364"/>
      <c r="B1194" s="367"/>
      <c r="E1194" s="17"/>
      <c r="F1194" s="16">
        <v>1</v>
      </c>
      <c r="G1194" s="228"/>
      <c r="H1194" s="17">
        <f>F1194*D1194</f>
        <v>0</v>
      </c>
      <c r="I1194" s="72"/>
      <c r="K1194" s="3"/>
      <c r="L1194" s="3"/>
      <c r="M1194" s="3"/>
      <c r="N1194" s="3"/>
      <c r="O1194" s="3"/>
      <c r="P1194" s="50" t="s">
        <v>50</v>
      </c>
    </row>
    <row r="1195" spans="1:16" ht="16.5" thickBot="1" x14ac:dyDescent="0.3">
      <c r="A1195" s="364"/>
      <c r="B1195" s="367"/>
      <c r="C1195" s="225" t="s">
        <v>47</v>
      </c>
      <c r="D1195" s="223"/>
      <c r="E1195" s="85"/>
      <c r="F1195" s="224"/>
      <c r="G1195" s="224"/>
      <c r="H1195" s="85">
        <f>F1195*D1195</f>
        <v>0</v>
      </c>
      <c r="I1195" s="86"/>
      <c r="K1195" s="214" t="e">
        <f>K1194/SUM(K1194:O1194)*I1196</f>
        <v>#DIV/0!</v>
      </c>
      <c r="L1195" s="214" t="e">
        <f>L1194/SUM(K1194:O1194)*$I1196</f>
        <v>#DIV/0!</v>
      </c>
      <c r="M1195" s="214" t="e">
        <f>M1194/SUM(K1194:O1194)*$I1196</f>
        <v>#DIV/0!</v>
      </c>
      <c r="N1195" s="214" t="e">
        <f>N1194/SUM(K1194:O1194)*$I1196</f>
        <v>#DIV/0!</v>
      </c>
      <c r="O1195" s="214" t="e">
        <f>O1194/SUM(K1194:O1194)*$I1196</f>
        <v>#DIV/0!</v>
      </c>
      <c r="P1195" s="50" t="s">
        <v>90</v>
      </c>
    </row>
    <row r="1196" spans="1:16" ht="16.5" thickTop="1" x14ac:dyDescent="0.25">
      <c r="A1196" s="365"/>
      <c r="B1196" s="368"/>
      <c r="C1196" s="9"/>
      <c r="D1196" s="9"/>
      <c r="E1196" s="64"/>
      <c r="F1196" s="222"/>
      <c r="G1196" s="222"/>
      <c r="H1196" s="64">
        <f>SUM(H1192:H1195)</f>
        <v>0</v>
      </c>
      <c r="I1196" s="74">
        <f>H1196*I$6*I$5</f>
        <v>0</v>
      </c>
    </row>
    <row r="1198" spans="1:16" ht="15.6" customHeight="1" x14ac:dyDescent="0.25">
      <c r="A1198" s="363">
        <f>A1192+1</f>
        <v>45713</v>
      </c>
      <c r="B1198" s="366" t="s">
        <v>3</v>
      </c>
      <c r="C1198" s="57" t="s">
        <v>72</v>
      </c>
      <c r="D1198" s="7"/>
      <c r="E1198" s="49"/>
      <c r="F1198" s="48">
        <v>1</v>
      </c>
      <c r="G1198" s="227">
        <v>1</v>
      </c>
      <c r="H1198" s="49">
        <f>F1198*D1198*G1198</f>
        <v>0</v>
      </c>
      <c r="I1198" s="55"/>
      <c r="K1198" s="369" t="s">
        <v>23</v>
      </c>
      <c r="L1198" s="370"/>
      <c r="M1198" s="370"/>
      <c r="N1198" s="370"/>
      <c r="O1198" s="371"/>
    </row>
    <row r="1199" spans="1:16" x14ac:dyDescent="0.25">
      <c r="A1199" s="364"/>
      <c r="B1199" s="367"/>
      <c r="C1199" s="21" t="s">
        <v>73</v>
      </c>
      <c r="E1199" s="17"/>
      <c r="F1199" s="16">
        <v>1</v>
      </c>
      <c r="G1199" s="227">
        <v>1</v>
      </c>
      <c r="H1199" s="17">
        <f>F1199*D1199*G1199</f>
        <v>0</v>
      </c>
      <c r="I1199" s="72"/>
      <c r="K1199" s="47" t="s">
        <v>27</v>
      </c>
      <c r="L1199" s="47" t="s">
        <v>12</v>
      </c>
      <c r="M1199" s="47" t="s">
        <v>87</v>
      </c>
      <c r="N1199" s="47" t="s">
        <v>28</v>
      </c>
      <c r="O1199" s="28" t="s">
        <v>86</v>
      </c>
      <c r="P1199" s="17"/>
    </row>
    <row r="1200" spans="1:16" x14ac:dyDescent="0.25">
      <c r="A1200" s="364"/>
      <c r="B1200" s="367"/>
      <c r="E1200" s="17"/>
      <c r="F1200" s="16">
        <v>1</v>
      </c>
      <c r="G1200" s="228"/>
      <c r="H1200" s="17">
        <f>F1200*D1200</f>
        <v>0</v>
      </c>
      <c r="I1200" s="72"/>
      <c r="K1200" s="3"/>
      <c r="L1200" s="3">
        <v>0</v>
      </c>
      <c r="M1200" s="3"/>
      <c r="N1200" s="3"/>
      <c r="O1200" s="3"/>
      <c r="P1200" s="50" t="s">
        <v>50</v>
      </c>
    </row>
    <row r="1201" spans="1:16" ht="16.5" thickBot="1" x14ac:dyDescent="0.3">
      <c r="A1201" s="364"/>
      <c r="B1201" s="367"/>
      <c r="C1201" s="225" t="s">
        <v>47</v>
      </c>
      <c r="D1201" s="223"/>
      <c r="E1201" s="85"/>
      <c r="F1201" s="224"/>
      <c r="G1201" s="224"/>
      <c r="H1201" s="85">
        <f>F1201*D1201</f>
        <v>0</v>
      </c>
      <c r="I1201" s="86"/>
      <c r="K1201" s="214" t="e">
        <f>K1200/SUM(K1200:O1200)*I1202</f>
        <v>#DIV/0!</v>
      </c>
      <c r="L1201" s="214" t="e">
        <f>L1200/SUM(K1200:O1200)*$I1202</f>
        <v>#DIV/0!</v>
      </c>
      <c r="M1201" s="214" t="e">
        <f>M1200/SUM(K1200:O1200)*$I1202</f>
        <v>#DIV/0!</v>
      </c>
      <c r="N1201" s="214" t="e">
        <f>N1200/SUM(K1200:O1200)*$I1202</f>
        <v>#DIV/0!</v>
      </c>
      <c r="O1201" s="214" t="e">
        <f>O1200/SUM(K1200:O1200)*$I1202</f>
        <v>#DIV/0!</v>
      </c>
      <c r="P1201" s="50" t="s">
        <v>90</v>
      </c>
    </row>
    <row r="1202" spans="1:16" ht="16.5" thickTop="1" x14ac:dyDescent="0.25">
      <c r="A1202" s="365"/>
      <c r="B1202" s="368"/>
      <c r="C1202" s="9"/>
      <c r="D1202" s="9"/>
      <c r="E1202" s="64"/>
      <c r="F1202" s="222"/>
      <c r="G1202" s="222"/>
      <c r="H1202" s="64">
        <f>SUM(H1198:H1201)</f>
        <v>0</v>
      </c>
      <c r="I1202" s="74">
        <f>H1202*I$6*I$5</f>
        <v>0</v>
      </c>
    </row>
    <row r="1204" spans="1:16" ht="15.6" customHeight="1" x14ac:dyDescent="0.25">
      <c r="A1204" s="363">
        <f>A1198+1</f>
        <v>45714</v>
      </c>
      <c r="B1204" s="366" t="s">
        <v>24</v>
      </c>
      <c r="C1204" s="57" t="s">
        <v>72</v>
      </c>
      <c r="D1204" s="7"/>
      <c r="E1204" s="49"/>
      <c r="F1204" s="48">
        <v>1</v>
      </c>
      <c r="G1204" s="227">
        <v>1</v>
      </c>
      <c r="H1204" s="49">
        <f>F1204*D1204*G1204</f>
        <v>0</v>
      </c>
      <c r="I1204" s="55"/>
      <c r="K1204" s="369" t="s">
        <v>23</v>
      </c>
      <c r="L1204" s="370"/>
      <c r="M1204" s="370"/>
      <c r="N1204" s="370"/>
      <c r="O1204" s="371"/>
    </row>
    <row r="1205" spans="1:16" x14ac:dyDescent="0.25">
      <c r="A1205" s="364"/>
      <c r="B1205" s="367"/>
      <c r="C1205" s="21" t="s">
        <v>73</v>
      </c>
      <c r="E1205" s="17"/>
      <c r="F1205" s="16">
        <v>1</v>
      </c>
      <c r="G1205" s="228">
        <v>1</v>
      </c>
      <c r="H1205" s="17">
        <f>F1205*D1205*G1205</f>
        <v>0</v>
      </c>
      <c r="I1205" s="72"/>
      <c r="K1205" s="47" t="s">
        <v>27</v>
      </c>
      <c r="L1205" s="47" t="s">
        <v>12</v>
      </c>
      <c r="M1205" s="47" t="s">
        <v>87</v>
      </c>
      <c r="N1205" s="47" t="s">
        <v>28</v>
      </c>
      <c r="O1205" s="28" t="s">
        <v>86</v>
      </c>
      <c r="P1205" s="17"/>
    </row>
    <row r="1206" spans="1:16" x14ac:dyDescent="0.25">
      <c r="A1206" s="364"/>
      <c r="B1206" s="367"/>
      <c r="E1206" s="17"/>
      <c r="F1206" s="16">
        <v>1</v>
      </c>
      <c r="G1206" s="228"/>
      <c r="H1206" s="17">
        <f>F1206*D1206</f>
        <v>0</v>
      </c>
      <c r="I1206" s="72"/>
      <c r="K1206" s="3"/>
      <c r="L1206" s="3"/>
      <c r="M1206" s="3"/>
      <c r="N1206" s="3"/>
      <c r="O1206" s="3"/>
      <c r="P1206" s="50" t="s">
        <v>50</v>
      </c>
    </row>
    <row r="1207" spans="1:16" ht="16.5" thickBot="1" x14ac:dyDescent="0.3">
      <c r="A1207" s="364"/>
      <c r="B1207" s="367"/>
      <c r="C1207" s="225" t="s">
        <v>47</v>
      </c>
      <c r="D1207" s="223"/>
      <c r="E1207" s="85"/>
      <c r="F1207" s="224"/>
      <c r="G1207" s="224"/>
      <c r="H1207" s="85">
        <f>F1207*D1207</f>
        <v>0</v>
      </c>
      <c r="I1207" s="86"/>
      <c r="K1207" s="214" t="e">
        <f>K1206/SUM(K1206:O1206)*I1208</f>
        <v>#DIV/0!</v>
      </c>
      <c r="L1207" s="214" t="e">
        <f>L1206/SUM(K1206:O1206)*$I1208</f>
        <v>#DIV/0!</v>
      </c>
      <c r="M1207" s="214" t="e">
        <f>M1206/SUM(K1206:O1206)*$I1208</f>
        <v>#DIV/0!</v>
      </c>
      <c r="N1207" s="214" t="e">
        <f>N1206/SUM(K1206:O1206)*$I1208</f>
        <v>#DIV/0!</v>
      </c>
      <c r="O1207" s="214" t="e">
        <f>O1206/SUM(K1206:O1206)*$I1208</f>
        <v>#DIV/0!</v>
      </c>
      <c r="P1207" s="50" t="s">
        <v>90</v>
      </c>
    </row>
    <row r="1208" spans="1:16" ht="16.5" thickTop="1" x14ac:dyDescent="0.25">
      <c r="A1208" s="365"/>
      <c r="B1208" s="368"/>
      <c r="C1208" s="9"/>
      <c r="D1208" s="9"/>
      <c r="E1208" s="64"/>
      <c r="F1208" s="222"/>
      <c r="G1208" s="222"/>
      <c r="H1208" s="64">
        <f>SUM(H1204:H1207)</f>
        <v>0</v>
      </c>
      <c r="I1208" s="74">
        <f>H1208*I$6*I$5</f>
        <v>0</v>
      </c>
    </row>
    <row r="1210" spans="1:16" ht="15.6" customHeight="1" x14ac:dyDescent="0.25">
      <c r="A1210" s="363">
        <f>A1204+1</f>
        <v>45715</v>
      </c>
      <c r="B1210" s="366" t="s">
        <v>5</v>
      </c>
      <c r="C1210" s="57" t="s">
        <v>72</v>
      </c>
      <c r="D1210" s="7"/>
      <c r="E1210" s="49"/>
      <c r="F1210" s="48">
        <v>1</v>
      </c>
      <c r="G1210" s="227">
        <v>1</v>
      </c>
      <c r="H1210" s="49">
        <f>F1210*D1210*G1210</f>
        <v>0</v>
      </c>
      <c r="I1210" s="55"/>
      <c r="K1210" s="369" t="s">
        <v>23</v>
      </c>
      <c r="L1210" s="370"/>
      <c r="M1210" s="370"/>
      <c r="N1210" s="370"/>
      <c r="O1210" s="371"/>
    </row>
    <row r="1211" spans="1:16" x14ac:dyDescent="0.25">
      <c r="A1211" s="364"/>
      <c r="B1211" s="367"/>
      <c r="C1211" s="21" t="s">
        <v>73</v>
      </c>
      <c r="E1211" s="17"/>
      <c r="F1211" s="16">
        <v>1</v>
      </c>
      <c r="G1211" s="228">
        <v>1</v>
      </c>
      <c r="H1211" s="17">
        <f>F1211*D1211*G1211</f>
        <v>0</v>
      </c>
      <c r="I1211" s="72"/>
      <c r="K1211" s="47" t="s">
        <v>27</v>
      </c>
      <c r="L1211" s="47" t="s">
        <v>12</v>
      </c>
      <c r="M1211" s="47" t="s">
        <v>87</v>
      </c>
      <c r="N1211" s="47" t="s">
        <v>28</v>
      </c>
      <c r="O1211" s="28" t="s">
        <v>86</v>
      </c>
      <c r="P1211" s="17"/>
    </row>
    <row r="1212" spans="1:16" x14ac:dyDescent="0.25">
      <c r="A1212" s="364"/>
      <c r="B1212" s="367"/>
      <c r="E1212" s="17"/>
      <c r="F1212" s="16">
        <v>1</v>
      </c>
      <c r="G1212" s="228"/>
      <c r="H1212" s="17">
        <f>F1212*D1212</f>
        <v>0</v>
      </c>
      <c r="I1212" s="72"/>
      <c r="K1212" s="3"/>
      <c r="L1212" s="3">
        <v>2</v>
      </c>
      <c r="M1212" s="3"/>
      <c r="N1212" s="3"/>
      <c r="O1212" s="3"/>
      <c r="P1212" s="50" t="s">
        <v>50</v>
      </c>
    </row>
    <row r="1213" spans="1:16" ht="16.5" thickBot="1" x14ac:dyDescent="0.3">
      <c r="A1213" s="364"/>
      <c r="B1213" s="367"/>
      <c r="C1213" s="225" t="s">
        <v>47</v>
      </c>
      <c r="D1213" s="223"/>
      <c r="E1213" s="85"/>
      <c r="F1213" s="224"/>
      <c r="G1213" s="224"/>
      <c r="H1213" s="85">
        <f>F1213*D1213</f>
        <v>0</v>
      </c>
      <c r="I1213" s="86"/>
      <c r="K1213" s="214">
        <f>K1212/SUM(K1212:O1212)*I1214</f>
        <v>0</v>
      </c>
      <c r="L1213" s="214">
        <f>L1212/SUM(K1212:O1212)*$I1214</f>
        <v>0</v>
      </c>
      <c r="M1213" s="214">
        <f>M1212/SUM(K1212:O1212)*$I1214</f>
        <v>0</v>
      </c>
      <c r="N1213" s="214">
        <f>N1212/SUM(K1212:O1212)*$I1214</f>
        <v>0</v>
      </c>
      <c r="O1213" s="214">
        <f>O1212/SUM(K1212:O1212)*$I1214</f>
        <v>0</v>
      </c>
      <c r="P1213" s="50" t="s">
        <v>90</v>
      </c>
    </row>
    <row r="1214" spans="1:16" ht="16.5" thickTop="1" x14ac:dyDescent="0.25">
      <c r="A1214" s="365"/>
      <c r="B1214" s="368"/>
      <c r="C1214" s="9"/>
      <c r="D1214" s="9"/>
      <c r="E1214" s="64"/>
      <c r="F1214" s="222"/>
      <c r="G1214" s="222"/>
      <c r="H1214" s="64">
        <f>SUM(H1210:H1213)</f>
        <v>0</v>
      </c>
      <c r="I1214" s="74">
        <f>H1214*I$6*I$5</f>
        <v>0</v>
      </c>
    </row>
    <row r="1216" spans="1:16" ht="15.6" customHeight="1" x14ac:dyDescent="0.25">
      <c r="A1216" s="363">
        <f>A1210+1</f>
        <v>45716</v>
      </c>
      <c r="B1216" s="366" t="s">
        <v>6</v>
      </c>
      <c r="C1216" s="57" t="s">
        <v>72</v>
      </c>
      <c r="D1216" s="7"/>
      <c r="E1216" s="49"/>
      <c r="F1216" s="48">
        <v>1</v>
      </c>
      <c r="G1216" s="227">
        <v>1</v>
      </c>
      <c r="H1216" s="49">
        <f>F1216*D1216*G1216</f>
        <v>0</v>
      </c>
      <c r="I1216" s="55"/>
      <c r="K1216" s="369" t="s">
        <v>23</v>
      </c>
      <c r="L1216" s="370"/>
      <c r="M1216" s="370"/>
      <c r="N1216" s="370"/>
      <c r="O1216" s="371"/>
    </row>
    <row r="1217" spans="1:16" x14ac:dyDescent="0.25">
      <c r="A1217" s="364"/>
      <c r="B1217" s="367"/>
      <c r="C1217" s="21" t="s">
        <v>73</v>
      </c>
      <c r="E1217" s="17"/>
      <c r="F1217" s="16">
        <v>1</v>
      </c>
      <c r="G1217" s="228">
        <v>1</v>
      </c>
      <c r="H1217" s="17">
        <f>F1217*D1217*G1217</f>
        <v>0</v>
      </c>
      <c r="I1217" s="72"/>
      <c r="K1217" s="47" t="s">
        <v>27</v>
      </c>
      <c r="L1217" s="47" t="s">
        <v>12</v>
      </c>
      <c r="M1217" s="47" t="s">
        <v>87</v>
      </c>
      <c r="N1217" s="47" t="s">
        <v>28</v>
      </c>
      <c r="O1217" s="28" t="s">
        <v>86</v>
      </c>
      <c r="P1217" s="17"/>
    </row>
    <row r="1218" spans="1:16" x14ac:dyDescent="0.25">
      <c r="A1218" s="364"/>
      <c r="B1218" s="367"/>
      <c r="E1218" s="17"/>
      <c r="F1218" s="16">
        <v>1</v>
      </c>
      <c r="G1218" s="228"/>
      <c r="H1218" s="17">
        <f>F1218*D1218</f>
        <v>0</v>
      </c>
      <c r="I1218" s="72"/>
      <c r="K1218" s="3"/>
      <c r="L1218" s="3"/>
      <c r="M1218" s="3"/>
      <c r="N1218" s="3"/>
      <c r="O1218" s="3"/>
      <c r="P1218" s="50" t="s">
        <v>50</v>
      </c>
    </row>
    <row r="1219" spans="1:16" ht="16.5" thickBot="1" x14ac:dyDescent="0.3">
      <c r="A1219" s="364"/>
      <c r="B1219" s="367"/>
      <c r="C1219" s="225" t="s">
        <v>47</v>
      </c>
      <c r="D1219" s="223"/>
      <c r="E1219" s="85"/>
      <c r="F1219" s="224"/>
      <c r="G1219" s="224"/>
      <c r="H1219" s="85">
        <f>F1219*D1219</f>
        <v>0</v>
      </c>
      <c r="I1219" s="86"/>
      <c r="K1219" s="214" t="e">
        <f>K1218/SUM(K1218:O1218)*I1220</f>
        <v>#DIV/0!</v>
      </c>
      <c r="L1219" s="214" t="e">
        <f>L1218/SUM(K1218:O1218)*$I1220</f>
        <v>#DIV/0!</v>
      </c>
      <c r="M1219" s="214" t="e">
        <f>M1218/SUM(K1218:O1218)*$I1220</f>
        <v>#DIV/0!</v>
      </c>
      <c r="N1219" s="214" t="e">
        <f>N1218/SUM(K1218:O1218)*$I1220</f>
        <v>#DIV/0!</v>
      </c>
      <c r="O1219" s="214" t="e">
        <f>O1218/SUM(K1218:O1218)*$I1220</f>
        <v>#DIV/0!</v>
      </c>
      <c r="P1219" s="50" t="s">
        <v>90</v>
      </c>
    </row>
    <row r="1220" spans="1:16" ht="16.5" thickTop="1" x14ac:dyDescent="0.25">
      <c r="A1220" s="365"/>
      <c r="B1220" s="368"/>
      <c r="C1220" s="9"/>
      <c r="D1220" s="9"/>
      <c r="E1220" s="64"/>
      <c r="F1220" s="222"/>
      <c r="G1220" s="222"/>
      <c r="H1220" s="64">
        <f>SUM(H1216:H1219)</f>
        <v>0</v>
      </c>
      <c r="I1220" s="74">
        <f>H1220*I$6*I$5</f>
        <v>0</v>
      </c>
    </row>
    <row r="1222" spans="1:16" ht="15.6" customHeight="1" x14ac:dyDescent="0.25">
      <c r="A1222" s="363">
        <f>A1216+1</f>
        <v>45717</v>
      </c>
      <c r="B1222" s="366" t="s">
        <v>0</v>
      </c>
      <c r="C1222" s="57" t="s">
        <v>72</v>
      </c>
      <c r="D1222" s="7"/>
      <c r="E1222" s="49"/>
      <c r="F1222" s="48">
        <v>1</v>
      </c>
      <c r="G1222" s="227"/>
      <c r="H1222" s="49">
        <f>F1222*D1222*G1222</f>
        <v>0</v>
      </c>
      <c r="I1222" s="55"/>
      <c r="K1222" s="369" t="s">
        <v>23</v>
      </c>
      <c r="L1222" s="370"/>
      <c r="M1222" s="370"/>
      <c r="N1222" s="370"/>
      <c r="O1222" s="371"/>
    </row>
    <row r="1223" spans="1:16" x14ac:dyDescent="0.25">
      <c r="A1223" s="364"/>
      <c r="B1223" s="367"/>
      <c r="C1223" s="21" t="s">
        <v>73</v>
      </c>
      <c r="E1223" s="17"/>
      <c r="F1223" s="16">
        <v>1</v>
      </c>
      <c r="G1223" s="228"/>
      <c r="H1223" s="17">
        <f>F1223*D1223*G1223</f>
        <v>0</v>
      </c>
      <c r="I1223" s="72"/>
      <c r="K1223" s="47" t="s">
        <v>27</v>
      </c>
      <c r="L1223" s="47" t="s">
        <v>12</v>
      </c>
      <c r="M1223" s="47" t="s">
        <v>87</v>
      </c>
      <c r="N1223" s="47" t="s">
        <v>28</v>
      </c>
      <c r="O1223" s="28" t="s">
        <v>86</v>
      </c>
      <c r="P1223" s="17"/>
    </row>
    <row r="1224" spans="1:16" x14ac:dyDescent="0.25">
      <c r="A1224" s="364"/>
      <c r="B1224" s="367"/>
      <c r="E1224" s="17"/>
      <c r="F1224" s="16">
        <v>1</v>
      </c>
      <c r="G1224" s="228"/>
      <c r="H1224" s="17">
        <f>F1224*D1224</f>
        <v>0</v>
      </c>
      <c r="I1224" s="72"/>
      <c r="K1224" s="3"/>
      <c r="L1224" s="3"/>
      <c r="M1224" s="3"/>
      <c r="N1224" s="3"/>
      <c r="O1224" s="3"/>
      <c r="P1224" s="50" t="s">
        <v>50</v>
      </c>
    </row>
    <row r="1225" spans="1:16" ht="16.5" thickBot="1" x14ac:dyDescent="0.3">
      <c r="A1225" s="364"/>
      <c r="B1225" s="367"/>
      <c r="C1225" s="225" t="s">
        <v>47</v>
      </c>
      <c r="D1225" s="223"/>
      <c r="E1225" s="85"/>
      <c r="F1225" s="224">
        <v>1</v>
      </c>
      <c r="G1225" s="224"/>
      <c r="H1225" s="85">
        <f>F1225*D1225</f>
        <v>0</v>
      </c>
      <c r="I1225" s="86"/>
      <c r="K1225" s="214" t="e">
        <f>K1224/SUM(K1224:O1224)*I1226</f>
        <v>#DIV/0!</v>
      </c>
      <c r="L1225" s="214" t="e">
        <f>L1224/SUM(K1224:O1224)*$I1226</f>
        <v>#DIV/0!</v>
      </c>
      <c r="M1225" s="214" t="e">
        <f>M1224/SUM(K1224:O1224)*$I1226</f>
        <v>#DIV/0!</v>
      </c>
      <c r="N1225" s="214" t="e">
        <f>N1224/SUM(K1224:O1224)*$I1226</f>
        <v>#DIV/0!</v>
      </c>
      <c r="O1225" s="214" t="e">
        <f>O1224/SUM(K1224:O1224)*$I1226</f>
        <v>#DIV/0!</v>
      </c>
      <c r="P1225" s="50" t="s">
        <v>90</v>
      </c>
    </row>
    <row r="1226" spans="1:16" ht="16.5" thickTop="1" x14ac:dyDescent="0.25">
      <c r="A1226" s="365"/>
      <c r="B1226" s="368"/>
      <c r="C1226" s="9"/>
      <c r="D1226" s="9"/>
      <c r="E1226" s="64"/>
      <c r="F1226" s="222"/>
      <c r="G1226" s="222"/>
      <c r="H1226" s="64">
        <f>SUM(H1222:H1225)</f>
        <v>0</v>
      </c>
      <c r="I1226" s="74">
        <f>H1226*I$6*I$5</f>
        <v>0</v>
      </c>
    </row>
    <row r="1228" spans="1:16" ht="15.6" customHeight="1" x14ac:dyDescent="0.25">
      <c r="A1228" s="363">
        <f>A1222+1</f>
        <v>45718</v>
      </c>
      <c r="B1228" s="366" t="s">
        <v>1</v>
      </c>
      <c r="C1228" s="57" t="s">
        <v>72</v>
      </c>
      <c r="D1228" s="7"/>
      <c r="E1228" s="49"/>
      <c r="F1228" s="48">
        <v>1</v>
      </c>
      <c r="G1228" s="227"/>
      <c r="H1228" s="49">
        <f>F1228*D1228*G1228</f>
        <v>0</v>
      </c>
      <c r="I1228" s="55"/>
      <c r="K1228" s="369" t="s">
        <v>23</v>
      </c>
      <c r="L1228" s="370"/>
      <c r="M1228" s="370"/>
      <c r="N1228" s="370"/>
      <c r="O1228" s="371"/>
    </row>
    <row r="1229" spans="1:16" x14ac:dyDescent="0.25">
      <c r="A1229" s="364"/>
      <c r="B1229" s="367"/>
      <c r="C1229" s="21" t="s">
        <v>73</v>
      </c>
      <c r="E1229" s="17"/>
      <c r="F1229" s="16">
        <v>1</v>
      </c>
      <c r="G1229" s="228"/>
      <c r="H1229" s="17">
        <f>F1229*D1229*G1229</f>
        <v>0</v>
      </c>
      <c r="I1229" s="72"/>
      <c r="K1229" s="47" t="s">
        <v>27</v>
      </c>
      <c r="L1229" s="47" t="s">
        <v>12</v>
      </c>
      <c r="M1229" s="47" t="s">
        <v>87</v>
      </c>
      <c r="N1229" s="47" t="s">
        <v>28</v>
      </c>
      <c r="O1229" s="28" t="s">
        <v>86</v>
      </c>
      <c r="P1229" s="17"/>
    </row>
    <row r="1230" spans="1:16" x14ac:dyDescent="0.25">
      <c r="A1230" s="364"/>
      <c r="B1230" s="367"/>
      <c r="E1230" s="17"/>
      <c r="F1230" s="16">
        <v>1</v>
      </c>
      <c r="G1230" s="228"/>
      <c r="H1230" s="17">
        <f>F1230*D1230</f>
        <v>0</v>
      </c>
      <c r="I1230" s="72"/>
      <c r="K1230" s="3"/>
      <c r="L1230" s="3"/>
      <c r="M1230" s="3"/>
      <c r="N1230" s="3"/>
      <c r="O1230" s="3"/>
      <c r="P1230" s="50" t="s">
        <v>50</v>
      </c>
    </row>
    <row r="1231" spans="1:16" ht="16.5" thickBot="1" x14ac:dyDescent="0.3">
      <c r="A1231" s="364"/>
      <c r="B1231" s="367"/>
      <c r="C1231" s="225" t="s">
        <v>47</v>
      </c>
      <c r="D1231" s="223"/>
      <c r="E1231" s="85"/>
      <c r="F1231" s="224">
        <v>1</v>
      </c>
      <c r="G1231" s="224"/>
      <c r="H1231" s="85">
        <f>F1231*D1231</f>
        <v>0</v>
      </c>
      <c r="I1231" s="86"/>
      <c r="K1231" s="214" t="e">
        <f>K1230/SUM(K1230:O1230)*I1232</f>
        <v>#DIV/0!</v>
      </c>
      <c r="L1231" s="214" t="e">
        <f>L1230/SUM(K1230:O1230)*$I1232</f>
        <v>#DIV/0!</v>
      </c>
      <c r="M1231" s="214" t="e">
        <f>M1230/SUM(K1230:O1230)*$I1232</f>
        <v>#DIV/0!</v>
      </c>
      <c r="N1231" s="214" t="e">
        <f>N1230/SUM(K1230:O1230)*$I1232</f>
        <v>#DIV/0!</v>
      </c>
      <c r="O1231" s="214" t="e">
        <f>O1230/SUM(K1230:O1230)*$I1232</f>
        <v>#DIV/0!</v>
      </c>
      <c r="P1231" s="50" t="s">
        <v>90</v>
      </c>
    </row>
    <row r="1232" spans="1:16" ht="16.5" thickTop="1" x14ac:dyDescent="0.25">
      <c r="A1232" s="365"/>
      <c r="B1232" s="368"/>
      <c r="C1232" s="9"/>
      <c r="D1232" s="9"/>
      <c r="E1232" s="64"/>
      <c r="F1232" s="222"/>
      <c r="G1232" s="222"/>
      <c r="H1232" s="64">
        <f>SUM(H1228:H1231)</f>
        <v>0</v>
      </c>
      <c r="I1232" s="74">
        <f>H1232*I$6*I$5</f>
        <v>0</v>
      </c>
    </row>
    <row r="1233" spans="1:16" x14ac:dyDescent="0.25">
      <c r="B1233" s="9"/>
    </row>
    <row r="1234" spans="1:16" ht="15.6" customHeight="1" x14ac:dyDescent="0.25">
      <c r="A1234" s="363">
        <f>A1228+1</f>
        <v>45719</v>
      </c>
      <c r="B1234" s="366" t="s">
        <v>25</v>
      </c>
      <c r="C1234" s="57" t="s">
        <v>72</v>
      </c>
      <c r="D1234" s="7"/>
      <c r="E1234" s="49"/>
      <c r="F1234" s="48">
        <v>1</v>
      </c>
      <c r="G1234" s="227">
        <v>1</v>
      </c>
      <c r="H1234" s="49">
        <f>F1234*D1234*G1234</f>
        <v>0</v>
      </c>
      <c r="I1234" s="55"/>
      <c r="K1234" s="369" t="s">
        <v>23</v>
      </c>
      <c r="L1234" s="370"/>
      <c r="M1234" s="370"/>
      <c r="N1234" s="370"/>
      <c r="O1234" s="371"/>
    </row>
    <row r="1235" spans="1:16" x14ac:dyDescent="0.25">
      <c r="A1235" s="364"/>
      <c r="B1235" s="367"/>
      <c r="C1235" s="21" t="s">
        <v>73</v>
      </c>
      <c r="E1235" s="17"/>
      <c r="F1235" s="16">
        <v>1</v>
      </c>
      <c r="G1235" s="228"/>
      <c r="H1235" s="17">
        <f>F1235*D1235*G1235</f>
        <v>0</v>
      </c>
      <c r="I1235" s="72"/>
      <c r="K1235" s="47" t="s">
        <v>27</v>
      </c>
      <c r="L1235" s="47" t="s">
        <v>12</v>
      </c>
      <c r="M1235" s="47" t="s">
        <v>87</v>
      </c>
      <c r="N1235" s="47" t="s">
        <v>28</v>
      </c>
      <c r="O1235" s="28" t="s">
        <v>86</v>
      </c>
      <c r="P1235" s="17"/>
    </row>
    <row r="1236" spans="1:16" x14ac:dyDescent="0.25">
      <c r="A1236" s="364"/>
      <c r="B1236" s="367"/>
      <c r="E1236" s="17"/>
      <c r="F1236" s="16">
        <v>1</v>
      </c>
      <c r="G1236" s="228"/>
      <c r="H1236" s="17">
        <f>F1236*D1236</f>
        <v>0</v>
      </c>
      <c r="I1236" s="72"/>
      <c r="K1236" s="3"/>
      <c r="L1236" s="3"/>
      <c r="M1236" s="3"/>
      <c r="N1236" s="3"/>
      <c r="O1236" s="3"/>
      <c r="P1236" s="50" t="s">
        <v>50</v>
      </c>
    </row>
    <row r="1237" spans="1:16" ht="16.5" thickBot="1" x14ac:dyDescent="0.3">
      <c r="A1237" s="364"/>
      <c r="B1237" s="367"/>
      <c r="C1237" s="225" t="s">
        <v>47</v>
      </c>
      <c r="D1237" s="223"/>
      <c r="E1237" s="85"/>
      <c r="F1237" s="224"/>
      <c r="G1237" s="224"/>
      <c r="H1237" s="85">
        <f>F1237*D1237</f>
        <v>0</v>
      </c>
      <c r="I1237" s="86"/>
      <c r="K1237" s="214" t="e">
        <f>K1236/SUM(K1236:O1236)*I1238</f>
        <v>#DIV/0!</v>
      </c>
      <c r="L1237" s="214" t="e">
        <f>L1236/SUM(K1236:O1236)*$I1238</f>
        <v>#DIV/0!</v>
      </c>
      <c r="M1237" s="214" t="e">
        <f>M1236/SUM(K1236:O1236)*$I1238</f>
        <v>#DIV/0!</v>
      </c>
      <c r="N1237" s="214" t="e">
        <f>N1236/SUM(K1236:O1236)*$I1238</f>
        <v>#DIV/0!</v>
      </c>
      <c r="O1237" s="214" t="e">
        <f>O1236/SUM(K1236:O1236)*$I1238</f>
        <v>#DIV/0!</v>
      </c>
      <c r="P1237" s="50" t="s">
        <v>90</v>
      </c>
    </row>
    <row r="1238" spans="1:16" ht="16.5" thickTop="1" x14ac:dyDescent="0.25">
      <c r="A1238" s="365"/>
      <c r="B1238" s="368"/>
      <c r="C1238" s="9"/>
      <c r="D1238" s="9"/>
      <c r="E1238" s="64"/>
      <c r="F1238" s="222"/>
      <c r="G1238" s="222"/>
      <c r="H1238" s="64">
        <f>SUM(H1234:H1237)</f>
        <v>0</v>
      </c>
      <c r="I1238" s="74">
        <f>H1238*I$6*I$5</f>
        <v>0</v>
      </c>
    </row>
    <row r="1240" spans="1:16" ht="15.6" customHeight="1" x14ac:dyDescent="0.25">
      <c r="A1240" s="363">
        <f>A1234+1</f>
        <v>45720</v>
      </c>
      <c r="B1240" s="366" t="s">
        <v>3</v>
      </c>
      <c r="C1240" s="57" t="s">
        <v>72</v>
      </c>
      <c r="D1240" s="7"/>
      <c r="E1240" s="49"/>
      <c r="F1240" s="48">
        <v>1</v>
      </c>
      <c r="G1240" s="227"/>
      <c r="H1240" s="49">
        <f>F1240*D1240*G1240</f>
        <v>0</v>
      </c>
      <c r="I1240" s="55"/>
      <c r="K1240" s="369" t="s">
        <v>23</v>
      </c>
      <c r="L1240" s="370"/>
      <c r="M1240" s="370"/>
      <c r="N1240" s="370"/>
      <c r="O1240" s="371"/>
    </row>
    <row r="1241" spans="1:16" x14ac:dyDescent="0.25">
      <c r="A1241" s="364"/>
      <c r="B1241" s="367"/>
      <c r="C1241" s="21" t="s">
        <v>73</v>
      </c>
      <c r="E1241" s="17"/>
      <c r="F1241" s="16">
        <v>1</v>
      </c>
      <c r="G1241" s="228"/>
      <c r="H1241" s="17">
        <f>F1241*D1241*G1241</f>
        <v>0</v>
      </c>
      <c r="I1241" s="72"/>
      <c r="K1241" s="47" t="s">
        <v>27</v>
      </c>
      <c r="L1241" s="47" t="s">
        <v>12</v>
      </c>
      <c r="M1241" s="47" t="s">
        <v>87</v>
      </c>
      <c r="N1241" s="47" t="s">
        <v>28</v>
      </c>
      <c r="O1241" s="28" t="s">
        <v>86</v>
      </c>
      <c r="P1241" s="17"/>
    </row>
    <row r="1242" spans="1:16" x14ac:dyDescent="0.25">
      <c r="A1242" s="364"/>
      <c r="B1242" s="367"/>
      <c r="E1242" s="17"/>
      <c r="F1242" s="16">
        <v>1</v>
      </c>
      <c r="G1242" s="228"/>
      <c r="H1242" s="17">
        <f>F1242*D1242</f>
        <v>0</v>
      </c>
      <c r="I1242" s="72"/>
      <c r="K1242" s="3"/>
      <c r="L1242" s="3"/>
      <c r="M1242" s="3"/>
      <c r="N1242" s="3"/>
      <c r="O1242" s="3"/>
      <c r="P1242" s="50" t="s">
        <v>50</v>
      </c>
    </row>
    <row r="1243" spans="1:16" ht="16.5" thickBot="1" x14ac:dyDescent="0.3">
      <c r="A1243" s="364"/>
      <c r="B1243" s="367"/>
      <c r="C1243" s="225" t="s">
        <v>47</v>
      </c>
      <c r="D1243" s="223"/>
      <c r="E1243" s="85"/>
      <c r="F1243" s="224">
        <v>1</v>
      </c>
      <c r="G1243" s="224"/>
      <c r="H1243" s="85">
        <f>F1243*D1243</f>
        <v>0</v>
      </c>
      <c r="I1243" s="86"/>
      <c r="K1243" s="214" t="e">
        <f>K1242/SUM(K1242:O1242)*I1244</f>
        <v>#DIV/0!</v>
      </c>
      <c r="L1243" s="214" t="e">
        <f>L1242/SUM(K1242:O1242)*$I1244</f>
        <v>#DIV/0!</v>
      </c>
      <c r="M1243" s="214" t="e">
        <f>M1242/SUM(K1242:O1242)*$I1244</f>
        <v>#DIV/0!</v>
      </c>
      <c r="N1243" s="214" t="e">
        <f>N1242/SUM(K1242:O1242)*$I1244</f>
        <v>#DIV/0!</v>
      </c>
      <c r="O1243" s="214" t="e">
        <f>O1242/SUM(K1242:O1242)*$I1244</f>
        <v>#DIV/0!</v>
      </c>
      <c r="P1243" s="50" t="s">
        <v>90</v>
      </c>
    </row>
    <row r="1244" spans="1:16" ht="16.5" thickTop="1" x14ac:dyDescent="0.25">
      <c r="A1244" s="365"/>
      <c r="B1244" s="368"/>
      <c r="C1244" s="9"/>
      <c r="D1244" s="9"/>
      <c r="E1244" s="64"/>
      <c r="F1244" s="222"/>
      <c r="G1244" s="222"/>
      <c r="H1244" s="64">
        <f>SUM(H1240:H1243)</f>
        <v>0</v>
      </c>
      <c r="I1244" s="74">
        <f>H1244*I$6*I$5</f>
        <v>0</v>
      </c>
    </row>
    <row r="1246" spans="1:16" ht="15.6" customHeight="1" x14ac:dyDescent="0.25">
      <c r="A1246" s="363">
        <f>A1240+1</f>
        <v>45721</v>
      </c>
      <c r="B1246" s="366" t="s">
        <v>24</v>
      </c>
      <c r="C1246" s="57" t="s">
        <v>72</v>
      </c>
      <c r="D1246" s="7"/>
      <c r="E1246" s="49"/>
      <c r="F1246" s="48">
        <v>1</v>
      </c>
      <c r="G1246" s="227"/>
      <c r="H1246" s="49">
        <f>F1246*D1246*G1246</f>
        <v>0</v>
      </c>
      <c r="I1246" s="55"/>
      <c r="K1246" s="369" t="s">
        <v>23</v>
      </c>
      <c r="L1246" s="370"/>
      <c r="M1246" s="370"/>
      <c r="N1246" s="370"/>
      <c r="O1246" s="371"/>
    </row>
    <row r="1247" spans="1:16" x14ac:dyDescent="0.25">
      <c r="A1247" s="364"/>
      <c r="B1247" s="367"/>
      <c r="C1247" s="21" t="s">
        <v>73</v>
      </c>
      <c r="E1247" s="17"/>
      <c r="F1247" s="16">
        <v>1</v>
      </c>
      <c r="G1247" s="228"/>
      <c r="H1247" s="17">
        <f>F1247*D1247*G1247</f>
        <v>0</v>
      </c>
      <c r="I1247" s="72"/>
      <c r="K1247" s="47" t="s">
        <v>27</v>
      </c>
      <c r="L1247" s="47" t="s">
        <v>12</v>
      </c>
      <c r="M1247" s="47" t="s">
        <v>87</v>
      </c>
      <c r="N1247" s="47" t="s">
        <v>28</v>
      </c>
      <c r="O1247" s="28" t="s">
        <v>86</v>
      </c>
      <c r="P1247" s="17"/>
    </row>
    <row r="1248" spans="1:16" x14ac:dyDescent="0.25">
      <c r="A1248" s="364"/>
      <c r="B1248" s="367"/>
      <c r="E1248" s="17"/>
      <c r="F1248" s="16">
        <v>1</v>
      </c>
      <c r="G1248" s="228"/>
      <c r="H1248" s="17">
        <f>F1248*D1248</f>
        <v>0</v>
      </c>
      <c r="I1248" s="72"/>
      <c r="K1248" s="3"/>
      <c r="L1248" s="3"/>
      <c r="M1248" s="3"/>
      <c r="N1248" s="3"/>
      <c r="O1248" s="3"/>
      <c r="P1248" s="50" t="s">
        <v>50</v>
      </c>
    </row>
    <row r="1249" spans="1:16" ht="16.5" thickBot="1" x14ac:dyDescent="0.3">
      <c r="A1249" s="364"/>
      <c r="B1249" s="367"/>
      <c r="C1249" s="225" t="s">
        <v>47</v>
      </c>
      <c r="D1249" s="223"/>
      <c r="E1249" s="85"/>
      <c r="F1249" s="224">
        <v>1</v>
      </c>
      <c r="G1249" s="224"/>
      <c r="H1249" s="85">
        <f>F1249*D1249</f>
        <v>0</v>
      </c>
      <c r="I1249" s="86"/>
      <c r="K1249" s="214" t="e">
        <f>K1248/SUM(K1248:O1248)*I1250</f>
        <v>#DIV/0!</v>
      </c>
      <c r="L1249" s="214" t="e">
        <f>L1248/SUM(K1248:O1248)*$I1250</f>
        <v>#DIV/0!</v>
      </c>
      <c r="M1249" s="214" t="e">
        <f>M1248/SUM(K1248:O1248)*$I1250</f>
        <v>#DIV/0!</v>
      </c>
      <c r="N1249" s="214" t="e">
        <f>N1248/SUM(K1248:O1248)*$I1250</f>
        <v>#DIV/0!</v>
      </c>
      <c r="O1249" s="214" t="e">
        <f>O1248/SUM(K1248:O1248)*$I1250</f>
        <v>#DIV/0!</v>
      </c>
      <c r="P1249" s="50" t="s">
        <v>90</v>
      </c>
    </row>
    <row r="1250" spans="1:16" ht="16.5" thickTop="1" x14ac:dyDescent="0.25">
      <c r="A1250" s="365"/>
      <c r="B1250" s="368"/>
      <c r="C1250" s="9"/>
      <c r="D1250" s="9"/>
      <c r="E1250" s="64"/>
      <c r="F1250" s="222"/>
      <c r="G1250" s="222"/>
      <c r="H1250" s="64">
        <f>SUM(H1246:H1249)</f>
        <v>0</v>
      </c>
      <c r="I1250" s="74">
        <f>H1250*I$6*I$5</f>
        <v>0</v>
      </c>
    </row>
    <row r="1252" spans="1:16" ht="15.6" customHeight="1" x14ac:dyDescent="0.25">
      <c r="A1252" s="363">
        <f>A1246+1</f>
        <v>45722</v>
      </c>
      <c r="B1252" s="366" t="s">
        <v>5</v>
      </c>
      <c r="C1252" s="57" t="s">
        <v>72</v>
      </c>
      <c r="D1252" s="7"/>
      <c r="E1252" s="49"/>
      <c r="F1252" s="48">
        <v>1</v>
      </c>
      <c r="G1252" s="227"/>
      <c r="H1252" s="49">
        <f>F1252*D1252*G1252</f>
        <v>0</v>
      </c>
      <c r="I1252" s="55"/>
      <c r="K1252" s="369" t="s">
        <v>23</v>
      </c>
      <c r="L1252" s="370"/>
      <c r="M1252" s="370"/>
      <c r="N1252" s="370"/>
      <c r="O1252" s="371"/>
    </row>
    <row r="1253" spans="1:16" x14ac:dyDescent="0.25">
      <c r="A1253" s="364"/>
      <c r="B1253" s="367"/>
      <c r="C1253" s="21" t="s">
        <v>73</v>
      </c>
      <c r="E1253" s="17"/>
      <c r="F1253" s="16">
        <v>1</v>
      </c>
      <c r="G1253" s="228"/>
      <c r="H1253" s="17">
        <f>F1253*D1253*G1253</f>
        <v>0</v>
      </c>
      <c r="I1253" s="72"/>
      <c r="K1253" s="47" t="s">
        <v>27</v>
      </c>
      <c r="L1253" s="47" t="s">
        <v>12</v>
      </c>
      <c r="M1253" s="47" t="s">
        <v>87</v>
      </c>
      <c r="N1253" s="47" t="s">
        <v>28</v>
      </c>
      <c r="O1253" s="28" t="s">
        <v>86</v>
      </c>
      <c r="P1253" s="17"/>
    </row>
    <row r="1254" spans="1:16" x14ac:dyDescent="0.25">
      <c r="A1254" s="364"/>
      <c r="B1254" s="367"/>
      <c r="E1254" s="17"/>
      <c r="F1254" s="16">
        <v>1</v>
      </c>
      <c r="G1254" s="228"/>
      <c r="H1254" s="17">
        <f>F1254*D1254</f>
        <v>0</v>
      </c>
      <c r="I1254" s="72"/>
      <c r="K1254" s="3"/>
      <c r="L1254" s="3"/>
      <c r="M1254" s="3"/>
      <c r="N1254" s="3"/>
      <c r="O1254" s="3"/>
      <c r="P1254" s="50" t="s">
        <v>50</v>
      </c>
    </row>
    <row r="1255" spans="1:16" ht="16.5" thickBot="1" x14ac:dyDescent="0.3">
      <c r="A1255" s="364"/>
      <c r="B1255" s="367"/>
      <c r="C1255" s="225" t="s">
        <v>47</v>
      </c>
      <c r="D1255" s="223"/>
      <c r="E1255" s="85"/>
      <c r="F1255" s="224"/>
      <c r="G1255" s="224"/>
      <c r="H1255" s="85">
        <f>F1255*D1255</f>
        <v>0</v>
      </c>
      <c r="I1255" s="86"/>
      <c r="K1255" s="214" t="e">
        <f>K1254/SUM(K1254:O1254)*I1256</f>
        <v>#DIV/0!</v>
      </c>
      <c r="L1255" s="214" t="e">
        <f>L1254/SUM(K1254:O1254)*$I1256</f>
        <v>#DIV/0!</v>
      </c>
      <c r="M1255" s="214" t="e">
        <f>M1254/SUM(K1254:O1254)*$I1256</f>
        <v>#DIV/0!</v>
      </c>
      <c r="N1255" s="214" t="e">
        <f>N1254/SUM(K1254:O1254)*$I1256</f>
        <v>#DIV/0!</v>
      </c>
      <c r="O1255" s="214" t="e">
        <f>O1254/SUM(K1254:O1254)*$I1256</f>
        <v>#DIV/0!</v>
      </c>
      <c r="P1255" s="50" t="s">
        <v>90</v>
      </c>
    </row>
    <row r="1256" spans="1:16" ht="16.5" thickTop="1" x14ac:dyDescent="0.25">
      <c r="A1256" s="365"/>
      <c r="B1256" s="368"/>
      <c r="C1256" s="9"/>
      <c r="D1256" s="9"/>
      <c r="E1256" s="64"/>
      <c r="F1256" s="222"/>
      <c r="G1256" s="222"/>
      <c r="H1256" s="64">
        <f>SUM(H1252:H1255)</f>
        <v>0</v>
      </c>
      <c r="I1256" s="74">
        <f>H1256*I$6*I$5</f>
        <v>0</v>
      </c>
    </row>
    <row r="1258" spans="1:16" ht="15.6" customHeight="1" x14ac:dyDescent="0.25">
      <c r="A1258" s="363">
        <f>A1252+1</f>
        <v>45723</v>
      </c>
      <c r="B1258" s="366" t="s">
        <v>6</v>
      </c>
      <c r="C1258" s="57" t="s">
        <v>72</v>
      </c>
      <c r="D1258" s="7"/>
      <c r="E1258" s="49"/>
      <c r="F1258" s="48">
        <v>1</v>
      </c>
      <c r="G1258" s="227"/>
      <c r="H1258" s="49">
        <f>F1258*D1258*G1258</f>
        <v>0</v>
      </c>
      <c r="I1258" s="55"/>
      <c r="K1258" s="369" t="s">
        <v>23</v>
      </c>
      <c r="L1258" s="370"/>
      <c r="M1258" s="370"/>
      <c r="N1258" s="370"/>
      <c r="O1258" s="371"/>
    </row>
    <row r="1259" spans="1:16" x14ac:dyDescent="0.25">
      <c r="A1259" s="364"/>
      <c r="B1259" s="367"/>
      <c r="C1259" s="21" t="s">
        <v>73</v>
      </c>
      <c r="E1259" s="17"/>
      <c r="F1259" s="16">
        <v>1</v>
      </c>
      <c r="G1259" s="228"/>
      <c r="H1259" s="17">
        <f>F1259*D1259*G1259</f>
        <v>0</v>
      </c>
      <c r="I1259" s="72"/>
      <c r="K1259" s="47" t="s">
        <v>27</v>
      </c>
      <c r="L1259" s="47" t="s">
        <v>12</v>
      </c>
      <c r="M1259" s="47" t="s">
        <v>87</v>
      </c>
      <c r="N1259" s="47" t="s">
        <v>28</v>
      </c>
      <c r="O1259" s="28" t="s">
        <v>86</v>
      </c>
      <c r="P1259" s="17"/>
    </row>
    <row r="1260" spans="1:16" x14ac:dyDescent="0.25">
      <c r="A1260" s="364"/>
      <c r="B1260" s="367"/>
      <c r="E1260" s="17"/>
      <c r="F1260" s="16">
        <v>1</v>
      </c>
      <c r="G1260" s="228"/>
      <c r="H1260" s="17">
        <f>F1260*D1260</f>
        <v>0</v>
      </c>
      <c r="I1260" s="72"/>
      <c r="K1260" s="3"/>
      <c r="L1260" s="3"/>
      <c r="M1260" s="3"/>
      <c r="N1260" s="3"/>
      <c r="O1260" s="3"/>
      <c r="P1260" s="50" t="s">
        <v>50</v>
      </c>
    </row>
    <row r="1261" spans="1:16" ht="16.5" thickBot="1" x14ac:dyDescent="0.3">
      <c r="A1261" s="364"/>
      <c r="B1261" s="367"/>
      <c r="C1261" s="225" t="s">
        <v>47</v>
      </c>
      <c r="D1261" s="223"/>
      <c r="E1261" s="85"/>
      <c r="F1261" s="224"/>
      <c r="G1261" s="224"/>
      <c r="H1261" s="85">
        <f>F1261*D1261</f>
        <v>0</v>
      </c>
      <c r="I1261" s="86"/>
      <c r="K1261" s="214" t="e">
        <f>K1260/SUM(K1260:O1260)*I1262</f>
        <v>#DIV/0!</v>
      </c>
      <c r="L1261" s="214" t="e">
        <f>L1260/SUM(K1260:O1260)*$I1262</f>
        <v>#DIV/0!</v>
      </c>
      <c r="M1261" s="214" t="e">
        <f>M1260/SUM(K1260:O1260)*$I1262</f>
        <v>#DIV/0!</v>
      </c>
      <c r="N1261" s="214" t="e">
        <f>N1260/SUM(K1260:O1260)*$I1262</f>
        <v>#DIV/0!</v>
      </c>
      <c r="O1261" s="214" t="e">
        <f>O1260/SUM(K1260:O1260)*$I1262</f>
        <v>#DIV/0!</v>
      </c>
      <c r="P1261" s="50" t="s">
        <v>90</v>
      </c>
    </row>
    <row r="1262" spans="1:16" ht="16.5" thickTop="1" x14ac:dyDescent="0.25">
      <c r="A1262" s="365"/>
      <c r="B1262" s="368"/>
      <c r="C1262" s="9"/>
      <c r="D1262" s="9"/>
      <c r="E1262" s="64"/>
      <c r="F1262" s="222"/>
      <c r="G1262" s="222"/>
      <c r="H1262" s="64">
        <f>SUM(H1258:H1261)</f>
        <v>0</v>
      </c>
      <c r="I1262" s="74">
        <f>H1262*I$6*I$5</f>
        <v>0</v>
      </c>
    </row>
    <row r="1264" spans="1:16" ht="15.6" customHeight="1" x14ac:dyDescent="0.25">
      <c r="A1264" s="363">
        <f>A1258+1</f>
        <v>45724</v>
      </c>
      <c r="B1264" s="366" t="s">
        <v>0</v>
      </c>
      <c r="C1264" s="57" t="s">
        <v>72</v>
      </c>
      <c r="D1264" s="7"/>
      <c r="E1264" s="49"/>
      <c r="F1264" s="48">
        <v>1</v>
      </c>
      <c r="G1264" s="227">
        <v>1</v>
      </c>
      <c r="H1264" s="49">
        <f>F1264*D1264*G1264</f>
        <v>0</v>
      </c>
      <c r="I1264" s="55"/>
      <c r="K1264" s="369" t="s">
        <v>23</v>
      </c>
      <c r="L1264" s="370"/>
      <c r="M1264" s="370"/>
      <c r="N1264" s="370"/>
      <c r="O1264" s="371"/>
    </row>
    <row r="1265" spans="1:16" x14ac:dyDescent="0.25">
      <c r="A1265" s="364"/>
      <c r="B1265" s="367"/>
      <c r="C1265" s="21" t="s">
        <v>73</v>
      </c>
      <c r="E1265" s="17"/>
      <c r="F1265" s="16">
        <v>1</v>
      </c>
      <c r="G1265" s="228">
        <v>1</v>
      </c>
      <c r="H1265" s="17">
        <f>F1265*D1265*G1265</f>
        <v>0</v>
      </c>
      <c r="I1265" s="72"/>
      <c r="K1265" s="47" t="s">
        <v>27</v>
      </c>
      <c r="L1265" s="47" t="s">
        <v>12</v>
      </c>
      <c r="M1265" s="47" t="s">
        <v>87</v>
      </c>
      <c r="N1265" s="47" t="s">
        <v>28</v>
      </c>
      <c r="O1265" s="28" t="s">
        <v>86</v>
      </c>
      <c r="P1265" s="17"/>
    </row>
    <row r="1266" spans="1:16" x14ac:dyDescent="0.25">
      <c r="A1266" s="364"/>
      <c r="B1266" s="367"/>
      <c r="E1266" s="17"/>
      <c r="F1266" s="16">
        <v>1</v>
      </c>
      <c r="G1266" s="228"/>
      <c r="H1266" s="17">
        <f>F1266*D1266</f>
        <v>0</v>
      </c>
      <c r="I1266" s="72"/>
      <c r="K1266" s="3"/>
      <c r="L1266" s="3"/>
      <c r="M1266" s="3"/>
      <c r="N1266" s="3"/>
      <c r="O1266" s="3"/>
      <c r="P1266" s="50" t="s">
        <v>50</v>
      </c>
    </row>
    <row r="1267" spans="1:16" ht="16.5" thickBot="1" x14ac:dyDescent="0.3">
      <c r="A1267" s="364"/>
      <c r="B1267" s="367"/>
      <c r="C1267" s="225" t="s">
        <v>47</v>
      </c>
      <c r="D1267" s="223"/>
      <c r="E1267" s="85"/>
      <c r="F1267" s="224"/>
      <c r="G1267" s="224"/>
      <c r="H1267" s="85">
        <f>F1267*D1267</f>
        <v>0</v>
      </c>
      <c r="I1267" s="86"/>
      <c r="K1267" s="214" t="e">
        <f>K1266/SUM(K1266:O1266)*I1268</f>
        <v>#DIV/0!</v>
      </c>
      <c r="L1267" s="214" t="e">
        <f>L1266/SUM(K1266:O1266)*$I1268</f>
        <v>#DIV/0!</v>
      </c>
      <c r="M1267" s="214" t="e">
        <f>M1266/SUM(K1266:O1266)*$I1268</f>
        <v>#DIV/0!</v>
      </c>
      <c r="N1267" s="214" t="e">
        <f>N1266/SUM(K1266:O1266)*$I1268</f>
        <v>#DIV/0!</v>
      </c>
      <c r="O1267" s="214" t="e">
        <f>O1266/SUM(K1266:O1266)*$I1268</f>
        <v>#DIV/0!</v>
      </c>
      <c r="P1267" s="50" t="s">
        <v>90</v>
      </c>
    </row>
    <row r="1268" spans="1:16" ht="16.5" thickTop="1" x14ac:dyDescent="0.25">
      <c r="A1268" s="365"/>
      <c r="B1268" s="368"/>
      <c r="C1268" s="9"/>
      <c r="D1268" s="9"/>
      <c r="E1268" s="64"/>
      <c r="F1268" s="222"/>
      <c r="G1268" s="222"/>
      <c r="H1268" s="64">
        <f>SUM(H1264:H1267)</f>
        <v>0</v>
      </c>
      <c r="I1268" s="74">
        <f>H1268*I$6*I$5</f>
        <v>0</v>
      </c>
    </row>
    <row r="1270" spans="1:16" ht="15.6" customHeight="1" x14ac:dyDescent="0.25">
      <c r="A1270" s="363">
        <f>A1264+1</f>
        <v>45725</v>
      </c>
      <c r="B1270" s="366" t="s">
        <v>1</v>
      </c>
      <c r="C1270" s="57" t="s">
        <v>72</v>
      </c>
      <c r="D1270" s="7"/>
      <c r="E1270" s="49"/>
      <c r="F1270" s="48">
        <v>1</v>
      </c>
      <c r="G1270" s="227"/>
      <c r="H1270" s="49">
        <f>F1270*D1270*G1270</f>
        <v>0</v>
      </c>
      <c r="I1270" s="55"/>
      <c r="K1270" s="369" t="s">
        <v>23</v>
      </c>
      <c r="L1270" s="370"/>
      <c r="M1270" s="370"/>
      <c r="N1270" s="370"/>
      <c r="O1270" s="371"/>
    </row>
    <row r="1271" spans="1:16" x14ac:dyDescent="0.25">
      <c r="A1271" s="364"/>
      <c r="B1271" s="367"/>
      <c r="C1271" s="21" t="s">
        <v>73</v>
      </c>
      <c r="E1271" s="17"/>
      <c r="F1271" s="16">
        <v>1</v>
      </c>
      <c r="G1271" s="228"/>
      <c r="H1271" s="17">
        <f>F1271*D1271*G1271</f>
        <v>0</v>
      </c>
      <c r="I1271" s="72"/>
      <c r="K1271" s="47" t="s">
        <v>27</v>
      </c>
      <c r="L1271" s="47" t="s">
        <v>12</v>
      </c>
      <c r="M1271" s="47" t="s">
        <v>87</v>
      </c>
      <c r="N1271" s="47" t="s">
        <v>28</v>
      </c>
      <c r="O1271" s="28" t="s">
        <v>86</v>
      </c>
      <c r="P1271" s="17"/>
    </row>
    <row r="1272" spans="1:16" x14ac:dyDescent="0.25">
      <c r="A1272" s="364"/>
      <c r="B1272" s="367"/>
      <c r="E1272" s="17"/>
      <c r="F1272" s="16">
        <v>1</v>
      </c>
      <c r="G1272" s="228"/>
      <c r="H1272" s="17">
        <f>F1272*D1272</f>
        <v>0</v>
      </c>
      <c r="I1272" s="72"/>
      <c r="K1272" s="3"/>
      <c r="L1272" s="3"/>
      <c r="M1272" s="3"/>
      <c r="N1272" s="3"/>
      <c r="O1272" s="3"/>
      <c r="P1272" s="50" t="s">
        <v>50</v>
      </c>
    </row>
    <row r="1273" spans="1:16" ht="16.5" thickBot="1" x14ac:dyDescent="0.3">
      <c r="A1273" s="364"/>
      <c r="B1273" s="367"/>
      <c r="C1273" s="225" t="s">
        <v>47</v>
      </c>
      <c r="D1273" s="223"/>
      <c r="E1273" s="85"/>
      <c r="F1273" s="224"/>
      <c r="G1273" s="224"/>
      <c r="H1273" s="85">
        <f>F1273*D1273</f>
        <v>0</v>
      </c>
      <c r="I1273" s="86"/>
      <c r="K1273" s="214" t="e">
        <f>K1272/SUM(K1272:O1272)*I1274</f>
        <v>#DIV/0!</v>
      </c>
      <c r="L1273" s="214" t="e">
        <f>L1272/SUM(K1272:O1272)*$I1274</f>
        <v>#DIV/0!</v>
      </c>
      <c r="M1273" s="214" t="e">
        <f>M1272/SUM(K1272:O1272)*$I1274</f>
        <v>#DIV/0!</v>
      </c>
      <c r="N1273" s="214" t="e">
        <f>N1272/SUM(K1272:O1272)*$I1274</f>
        <v>#DIV/0!</v>
      </c>
      <c r="O1273" s="214" t="e">
        <f>O1272/SUM(K1272:O1272)*$I1274</f>
        <v>#DIV/0!</v>
      </c>
      <c r="P1273" s="50" t="s">
        <v>90</v>
      </c>
    </row>
    <row r="1274" spans="1:16" ht="16.5" thickTop="1" x14ac:dyDescent="0.25">
      <c r="A1274" s="365"/>
      <c r="B1274" s="368"/>
      <c r="C1274" s="9"/>
      <c r="D1274" s="9"/>
      <c r="E1274" s="64"/>
      <c r="F1274" s="222"/>
      <c r="G1274" s="222"/>
      <c r="H1274" s="64">
        <f>SUM(H1270:H1273)</f>
        <v>0</v>
      </c>
      <c r="I1274" s="74">
        <f>H1274*I$6*I$5</f>
        <v>0</v>
      </c>
    </row>
    <row r="1275" spans="1:16" x14ac:dyDescent="0.25">
      <c r="B1275" s="9"/>
    </row>
    <row r="1276" spans="1:16" ht="15.6" customHeight="1" x14ac:dyDescent="0.25">
      <c r="A1276" s="363">
        <f>A1270+1</f>
        <v>45726</v>
      </c>
      <c r="B1276" s="366" t="s">
        <v>25</v>
      </c>
      <c r="C1276" s="57" t="s">
        <v>72</v>
      </c>
      <c r="D1276" s="7"/>
      <c r="E1276" s="49"/>
      <c r="F1276" s="48">
        <v>1</v>
      </c>
      <c r="G1276" s="227"/>
      <c r="H1276" s="49">
        <f>F1276*D1276*G1276</f>
        <v>0</v>
      </c>
      <c r="I1276" s="55"/>
      <c r="K1276" s="369" t="s">
        <v>23</v>
      </c>
      <c r="L1276" s="370"/>
      <c r="M1276" s="370"/>
      <c r="N1276" s="370"/>
      <c r="O1276" s="371"/>
    </row>
    <row r="1277" spans="1:16" x14ac:dyDescent="0.25">
      <c r="A1277" s="364"/>
      <c r="B1277" s="367"/>
      <c r="C1277" s="21" t="s">
        <v>73</v>
      </c>
      <c r="E1277" s="17"/>
      <c r="F1277" s="16">
        <v>1</v>
      </c>
      <c r="G1277" s="228"/>
      <c r="H1277" s="17">
        <f>F1277*D1277*G1277</f>
        <v>0</v>
      </c>
      <c r="I1277" s="72"/>
      <c r="K1277" s="47" t="s">
        <v>27</v>
      </c>
      <c r="L1277" s="47" t="s">
        <v>12</v>
      </c>
      <c r="M1277" s="47" t="s">
        <v>87</v>
      </c>
      <c r="N1277" s="47" t="s">
        <v>28</v>
      </c>
      <c r="O1277" s="28" t="s">
        <v>86</v>
      </c>
      <c r="P1277" s="17"/>
    </row>
    <row r="1278" spans="1:16" x14ac:dyDescent="0.25">
      <c r="A1278" s="364"/>
      <c r="B1278" s="367"/>
      <c r="E1278" s="17"/>
      <c r="F1278" s="16">
        <v>1</v>
      </c>
      <c r="G1278" s="228"/>
      <c r="H1278" s="17">
        <f>F1278*D1278</f>
        <v>0</v>
      </c>
      <c r="I1278" s="72"/>
      <c r="K1278" s="3"/>
      <c r="L1278" s="3"/>
      <c r="M1278" s="3"/>
      <c r="N1278" s="3"/>
      <c r="O1278" s="3"/>
      <c r="P1278" s="50" t="s">
        <v>50</v>
      </c>
    </row>
    <row r="1279" spans="1:16" ht="16.5" thickBot="1" x14ac:dyDescent="0.3">
      <c r="A1279" s="364"/>
      <c r="B1279" s="367"/>
      <c r="C1279" s="225" t="s">
        <v>47</v>
      </c>
      <c r="D1279" s="223"/>
      <c r="E1279" s="85"/>
      <c r="F1279" s="224">
        <v>1</v>
      </c>
      <c r="G1279" s="224"/>
      <c r="H1279" s="85">
        <f>F1279*D1279</f>
        <v>0</v>
      </c>
      <c r="I1279" s="86"/>
      <c r="K1279" s="214" t="e">
        <f>K1278/SUM(K1278:O1278)*I1280</f>
        <v>#DIV/0!</v>
      </c>
      <c r="L1279" s="214" t="e">
        <f>L1278/SUM(K1278:O1278)*$I1280</f>
        <v>#DIV/0!</v>
      </c>
      <c r="M1279" s="214" t="e">
        <f>M1278/SUM(K1278:O1278)*$I1280</f>
        <v>#DIV/0!</v>
      </c>
      <c r="N1279" s="214" t="e">
        <f>N1278/SUM(K1278:O1278)*$I1280</f>
        <v>#DIV/0!</v>
      </c>
      <c r="O1279" s="214" t="e">
        <f>O1278/SUM(K1278:O1278)*$I1280</f>
        <v>#DIV/0!</v>
      </c>
      <c r="P1279" s="50" t="s">
        <v>90</v>
      </c>
    </row>
    <row r="1280" spans="1:16" ht="16.5" thickTop="1" x14ac:dyDescent="0.25">
      <c r="A1280" s="365"/>
      <c r="B1280" s="368"/>
      <c r="C1280" s="9"/>
      <c r="D1280" s="9"/>
      <c r="E1280" s="64"/>
      <c r="F1280" s="222"/>
      <c r="G1280" s="222"/>
      <c r="H1280" s="64">
        <f>SUM(H1276:H1279)</f>
        <v>0</v>
      </c>
      <c r="I1280" s="74">
        <f>H1280*I$6*I$5</f>
        <v>0</v>
      </c>
    </row>
    <row r="1282" spans="1:16" ht="15.6" customHeight="1" x14ac:dyDescent="0.25">
      <c r="A1282" s="363">
        <f>A1276+1</f>
        <v>45727</v>
      </c>
      <c r="B1282" s="366" t="s">
        <v>3</v>
      </c>
      <c r="C1282" s="57" t="s">
        <v>72</v>
      </c>
      <c r="D1282" s="7"/>
      <c r="E1282" s="49"/>
      <c r="F1282" s="48">
        <v>1</v>
      </c>
      <c r="G1282" s="227"/>
      <c r="H1282" s="49">
        <f>F1282*D1282*G1282</f>
        <v>0</v>
      </c>
      <c r="I1282" s="55"/>
      <c r="K1282" s="369" t="s">
        <v>23</v>
      </c>
      <c r="L1282" s="370"/>
      <c r="M1282" s="370"/>
      <c r="N1282" s="370"/>
      <c r="O1282" s="371"/>
    </row>
    <row r="1283" spans="1:16" x14ac:dyDescent="0.25">
      <c r="A1283" s="364"/>
      <c r="B1283" s="367"/>
      <c r="C1283" s="21" t="s">
        <v>73</v>
      </c>
      <c r="E1283" s="17"/>
      <c r="F1283" s="16">
        <v>1</v>
      </c>
      <c r="G1283" s="228"/>
      <c r="H1283" s="17">
        <f>F1283*D1283*G1283</f>
        <v>0</v>
      </c>
      <c r="I1283" s="72"/>
      <c r="K1283" s="47" t="s">
        <v>27</v>
      </c>
      <c r="L1283" s="47" t="s">
        <v>12</v>
      </c>
      <c r="M1283" s="47" t="s">
        <v>87</v>
      </c>
      <c r="N1283" s="47" t="s">
        <v>28</v>
      </c>
      <c r="O1283" s="28" t="s">
        <v>86</v>
      </c>
      <c r="P1283" s="17"/>
    </row>
    <row r="1284" spans="1:16" x14ac:dyDescent="0.25">
      <c r="A1284" s="364"/>
      <c r="B1284" s="367"/>
      <c r="E1284" s="17"/>
      <c r="F1284" s="16">
        <v>1</v>
      </c>
      <c r="G1284" s="228"/>
      <c r="H1284" s="17">
        <f>F1284*D1284</f>
        <v>0</v>
      </c>
      <c r="I1284" s="72"/>
      <c r="K1284" s="3"/>
      <c r="L1284" s="3"/>
      <c r="M1284" s="3"/>
      <c r="N1284" s="3"/>
      <c r="O1284" s="3"/>
      <c r="P1284" s="50" t="s">
        <v>50</v>
      </c>
    </row>
    <row r="1285" spans="1:16" ht="16.5" thickBot="1" x14ac:dyDescent="0.3">
      <c r="A1285" s="364"/>
      <c r="B1285" s="367"/>
      <c r="C1285" s="225" t="s">
        <v>47</v>
      </c>
      <c r="D1285" s="223"/>
      <c r="E1285" s="85"/>
      <c r="F1285" s="224">
        <v>1</v>
      </c>
      <c r="G1285" s="224"/>
      <c r="H1285" s="85">
        <f>F1285*D1285</f>
        <v>0</v>
      </c>
      <c r="I1285" s="86"/>
      <c r="K1285" s="214" t="e">
        <f>K1284/SUM(K1284:O1284)*I1286</f>
        <v>#DIV/0!</v>
      </c>
      <c r="L1285" s="214" t="e">
        <f>L1284/SUM(K1284:O1284)*$I1286</f>
        <v>#DIV/0!</v>
      </c>
      <c r="M1285" s="214" t="e">
        <f>M1284/SUM(K1284:O1284)*$I1286</f>
        <v>#DIV/0!</v>
      </c>
      <c r="N1285" s="214" t="e">
        <f>N1284/SUM(K1284:O1284)*$I1286</f>
        <v>#DIV/0!</v>
      </c>
      <c r="O1285" s="214" t="e">
        <f>O1284/SUM(K1284:O1284)*$I1286</f>
        <v>#DIV/0!</v>
      </c>
      <c r="P1285" s="50" t="s">
        <v>90</v>
      </c>
    </row>
    <row r="1286" spans="1:16" ht="16.5" thickTop="1" x14ac:dyDescent="0.25">
      <c r="A1286" s="365"/>
      <c r="B1286" s="368"/>
      <c r="C1286" s="9"/>
      <c r="D1286" s="9"/>
      <c r="E1286" s="64"/>
      <c r="F1286" s="222"/>
      <c r="G1286" s="222"/>
      <c r="H1286" s="64">
        <f>SUM(H1282:H1285)</f>
        <v>0</v>
      </c>
      <c r="I1286" s="74">
        <f>H1286*I$6*I$5</f>
        <v>0</v>
      </c>
    </row>
    <row r="1288" spans="1:16" ht="15.6" customHeight="1" x14ac:dyDescent="0.25">
      <c r="A1288" s="363">
        <f>A1282+1</f>
        <v>45728</v>
      </c>
      <c r="B1288" s="366" t="s">
        <v>24</v>
      </c>
      <c r="C1288" s="57" t="s">
        <v>72</v>
      </c>
      <c r="D1288" s="7"/>
      <c r="E1288" s="49"/>
      <c r="F1288" s="48">
        <v>1</v>
      </c>
      <c r="G1288" s="227">
        <v>0</v>
      </c>
      <c r="H1288" s="49">
        <f>F1288*D1288*G1288</f>
        <v>0</v>
      </c>
      <c r="I1288" s="55"/>
      <c r="K1288" s="369" t="s">
        <v>23</v>
      </c>
      <c r="L1288" s="370"/>
      <c r="M1288" s="370"/>
      <c r="N1288" s="370"/>
      <c r="O1288" s="371"/>
    </row>
    <row r="1289" spans="1:16" x14ac:dyDescent="0.25">
      <c r="A1289" s="364"/>
      <c r="B1289" s="367"/>
      <c r="C1289" s="21" t="s">
        <v>73</v>
      </c>
      <c r="E1289" s="17"/>
      <c r="F1289" s="16">
        <v>1</v>
      </c>
      <c r="G1289" s="228">
        <v>0</v>
      </c>
      <c r="H1289" s="17">
        <f>F1289*D1289*G1289</f>
        <v>0</v>
      </c>
      <c r="I1289" s="72"/>
      <c r="K1289" s="47" t="s">
        <v>27</v>
      </c>
      <c r="L1289" s="47" t="s">
        <v>12</v>
      </c>
      <c r="M1289" s="47" t="s">
        <v>87</v>
      </c>
      <c r="N1289" s="47" t="s">
        <v>28</v>
      </c>
      <c r="O1289" s="28" t="s">
        <v>86</v>
      </c>
      <c r="P1289" s="17"/>
    </row>
    <row r="1290" spans="1:16" x14ac:dyDescent="0.25">
      <c r="A1290" s="364"/>
      <c r="B1290" s="367"/>
      <c r="E1290" s="17"/>
      <c r="F1290" s="16">
        <v>1</v>
      </c>
      <c r="G1290" s="228"/>
      <c r="H1290" s="17">
        <f>F1290*D1290</f>
        <v>0</v>
      </c>
      <c r="I1290" s="72"/>
      <c r="K1290" s="3"/>
      <c r="L1290" s="3"/>
      <c r="M1290" s="3"/>
      <c r="N1290" s="3"/>
      <c r="O1290" s="3"/>
      <c r="P1290" s="50" t="s">
        <v>50</v>
      </c>
    </row>
    <row r="1291" spans="1:16" ht="16.5" thickBot="1" x14ac:dyDescent="0.3">
      <c r="A1291" s="364"/>
      <c r="B1291" s="367"/>
      <c r="C1291" s="225" t="s">
        <v>47</v>
      </c>
      <c r="D1291" s="223"/>
      <c r="E1291" s="85"/>
      <c r="F1291" s="224"/>
      <c r="G1291" s="224"/>
      <c r="H1291" s="85"/>
      <c r="I1291" s="86"/>
      <c r="K1291" s="214" t="e">
        <f>K1290/SUM(K1290:O1290)*I1292</f>
        <v>#DIV/0!</v>
      </c>
      <c r="L1291" s="214" t="e">
        <f>L1290/SUM(K1290:O1290)*$I1292</f>
        <v>#DIV/0!</v>
      </c>
      <c r="M1291" s="214" t="e">
        <f>M1290/SUM(K1290:O1290)*$I1292</f>
        <v>#DIV/0!</v>
      </c>
      <c r="N1291" s="214" t="e">
        <f>N1290/SUM(K1290:O1290)*$I1292</f>
        <v>#DIV/0!</v>
      </c>
      <c r="O1291" s="214" t="e">
        <f>O1290/SUM(K1290:O1290)*$I1292</f>
        <v>#DIV/0!</v>
      </c>
      <c r="P1291" s="50" t="s">
        <v>90</v>
      </c>
    </row>
    <row r="1292" spans="1:16" ht="16.5" thickTop="1" x14ac:dyDescent="0.25">
      <c r="A1292" s="365"/>
      <c r="B1292" s="368"/>
      <c r="C1292" s="9"/>
      <c r="D1292" s="9"/>
      <c r="E1292" s="64"/>
      <c r="F1292" s="222"/>
      <c r="G1292" s="222"/>
      <c r="H1292" s="64">
        <f>SUM(H1288:H1291)</f>
        <v>0</v>
      </c>
      <c r="I1292" s="74">
        <f>H1292*I$6*I$5</f>
        <v>0</v>
      </c>
    </row>
    <row r="1294" spans="1:16" ht="15.6" customHeight="1" x14ac:dyDescent="0.25">
      <c r="A1294" s="363">
        <f>A1288+1</f>
        <v>45729</v>
      </c>
      <c r="B1294" s="366" t="s">
        <v>5</v>
      </c>
      <c r="C1294" s="57" t="s">
        <v>72</v>
      </c>
      <c r="D1294" s="7"/>
      <c r="E1294" s="49"/>
      <c r="F1294" s="48">
        <v>1</v>
      </c>
      <c r="G1294" s="227">
        <v>0</v>
      </c>
      <c r="H1294" s="49">
        <f>F1294*D1294*G1294</f>
        <v>0</v>
      </c>
      <c r="I1294" s="55"/>
      <c r="K1294" s="369" t="s">
        <v>23</v>
      </c>
      <c r="L1294" s="370"/>
      <c r="M1294" s="370"/>
      <c r="N1294" s="370"/>
      <c r="O1294" s="371"/>
    </row>
    <row r="1295" spans="1:16" x14ac:dyDescent="0.25">
      <c r="A1295" s="364"/>
      <c r="B1295" s="367"/>
      <c r="C1295" s="21" t="s">
        <v>73</v>
      </c>
      <c r="E1295" s="17"/>
      <c r="F1295" s="16">
        <v>1</v>
      </c>
      <c r="G1295" s="228">
        <v>0</v>
      </c>
      <c r="H1295" s="17">
        <f>F1295*D1295*G1295</f>
        <v>0</v>
      </c>
      <c r="I1295" s="72"/>
      <c r="K1295" s="47" t="s">
        <v>27</v>
      </c>
      <c r="L1295" s="47" t="s">
        <v>12</v>
      </c>
      <c r="M1295" s="47" t="s">
        <v>87</v>
      </c>
      <c r="N1295" s="47" t="s">
        <v>28</v>
      </c>
      <c r="O1295" s="28" t="s">
        <v>86</v>
      </c>
      <c r="P1295" s="17"/>
    </row>
    <row r="1296" spans="1:16" x14ac:dyDescent="0.25">
      <c r="A1296" s="364"/>
      <c r="B1296" s="367"/>
      <c r="E1296" s="17"/>
      <c r="F1296" s="16">
        <v>1</v>
      </c>
      <c r="G1296" s="228"/>
      <c r="H1296" s="17">
        <f>F1296*D1296</f>
        <v>0</v>
      </c>
      <c r="I1296" s="72"/>
      <c r="K1296" s="3"/>
      <c r="L1296" s="3"/>
      <c r="M1296" s="3"/>
      <c r="N1296" s="3"/>
      <c r="O1296" s="3"/>
      <c r="P1296" s="50" t="s">
        <v>50</v>
      </c>
    </row>
    <row r="1297" spans="1:16" ht="16.5" thickBot="1" x14ac:dyDescent="0.3">
      <c r="A1297" s="364"/>
      <c r="B1297" s="367"/>
      <c r="C1297" s="225" t="s">
        <v>47</v>
      </c>
      <c r="D1297" s="223"/>
      <c r="E1297" s="85"/>
      <c r="F1297" s="224">
        <v>1</v>
      </c>
      <c r="G1297" s="224"/>
      <c r="H1297" s="85"/>
      <c r="I1297" s="86"/>
      <c r="K1297" s="214" t="e">
        <f>K1296/SUM(K1296:O1296)*I1298</f>
        <v>#DIV/0!</v>
      </c>
      <c r="L1297" s="214" t="e">
        <f>L1296/SUM(K1296:O1296)*$I1298</f>
        <v>#DIV/0!</v>
      </c>
      <c r="M1297" s="214" t="e">
        <f>M1296/SUM(K1296:O1296)*$I1298</f>
        <v>#DIV/0!</v>
      </c>
      <c r="N1297" s="214" t="e">
        <f>N1296/SUM(K1296:O1296)*$I1298</f>
        <v>#DIV/0!</v>
      </c>
      <c r="O1297" s="214" t="e">
        <f>O1296/SUM(K1296:O1296)*$I1298</f>
        <v>#DIV/0!</v>
      </c>
      <c r="P1297" s="50" t="s">
        <v>90</v>
      </c>
    </row>
    <row r="1298" spans="1:16" ht="16.5" thickTop="1" x14ac:dyDescent="0.25">
      <c r="A1298" s="365"/>
      <c r="B1298" s="368"/>
      <c r="C1298" s="9"/>
      <c r="D1298" s="9"/>
      <c r="E1298" s="64"/>
      <c r="F1298" s="222"/>
      <c r="G1298" s="222"/>
      <c r="H1298" s="64">
        <f>SUM(H1294:H1297)</f>
        <v>0</v>
      </c>
      <c r="I1298" s="74">
        <f>H1298*I$6*I$5</f>
        <v>0</v>
      </c>
    </row>
    <row r="1300" spans="1:16" ht="15.6" customHeight="1" x14ac:dyDescent="0.25">
      <c r="A1300" s="363">
        <f>A1294+1</f>
        <v>45730</v>
      </c>
      <c r="B1300" s="366" t="s">
        <v>6</v>
      </c>
      <c r="C1300" s="57" t="s">
        <v>72</v>
      </c>
      <c r="D1300" s="7"/>
      <c r="E1300" s="49"/>
      <c r="F1300" s="48">
        <v>1</v>
      </c>
      <c r="G1300" s="227"/>
      <c r="H1300" s="49">
        <f>F1300*D1300*G1300</f>
        <v>0</v>
      </c>
      <c r="I1300" s="55"/>
      <c r="K1300" s="369" t="s">
        <v>23</v>
      </c>
      <c r="L1300" s="370"/>
      <c r="M1300" s="370"/>
      <c r="N1300" s="370"/>
      <c r="O1300" s="371"/>
    </row>
    <row r="1301" spans="1:16" x14ac:dyDescent="0.25">
      <c r="A1301" s="364"/>
      <c r="B1301" s="367"/>
      <c r="C1301" s="21" t="s">
        <v>73</v>
      </c>
      <c r="E1301" s="17"/>
      <c r="F1301" s="16">
        <v>1</v>
      </c>
      <c r="G1301" s="228"/>
      <c r="H1301" s="17">
        <f>F1301*D1301*G1301</f>
        <v>0</v>
      </c>
      <c r="I1301" s="72"/>
      <c r="K1301" s="47" t="s">
        <v>27</v>
      </c>
      <c r="L1301" s="47" t="s">
        <v>12</v>
      </c>
      <c r="M1301" s="47" t="s">
        <v>87</v>
      </c>
      <c r="N1301" s="47" t="s">
        <v>28</v>
      </c>
      <c r="O1301" s="28" t="s">
        <v>86</v>
      </c>
      <c r="P1301" s="17"/>
    </row>
    <row r="1302" spans="1:16" x14ac:dyDescent="0.25">
      <c r="A1302" s="364"/>
      <c r="B1302" s="367"/>
      <c r="E1302" s="17"/>
      <c r="F1302" s="16">
        <v>1</v>
      </c>
      <c r="G1302" s="228"/>
      <c r="H1302" s="17">
        <f>F1302*D1302</f>
        <v>0</v>
      </c>
      <c r="I1302" s="72"/>
      <c r="K1302" s="3"/>
      <c r="L1302" s="3"/>
      <c r="M1302" s="3"/>
      <c r="N1302" s="3"/>
      <c r="O1302" s="3"/>
      <c r="P1302" s="50" t="s">
        <v>50</v>
      </c>
    </row>
    <row r="1303" spans="1:16" ht="16.5" thickBot="1" x14ac:dyDescent="0.3">
      <c r="A1303" s="364"/>
      <c r="B1303" s="367"/>
      <c r="C1303" s="225" t="s">
        <v>47</v>
      </c>
      <c r="D1303" s="223"/>
      <c r="E1303" s="85"/>
      <c r="F1303" s="224">
        <v>1</v>
      </c>
      <c r="G1303" s="224"/>
      <c r="H1303" s="85">
        <f>F1303*D1303</f>
        <v>0</v>
      </c>
      <c r="I1303" s="86"/>
      <c r="K1303" s="214" t="e">
        <f>K1302/SUM(K1302:O1302)*I1304</f>
        <v>#DIV/0!</v>
      </c>
      <c r="L1303" s="214" t="e">
        <f>L1302/SUM(K1302:O1302)*$I1304</f>
        <v>#DIV/0!</v>
      </c>
      <c r="M1303" s="214" t="e">
        <f>M1302/SUM(K1302:O1302)*$I1304</f>
        <v>#DIV/0!</v>
      </c>
      <c r="N1303" s="214" t="e">
        <f>N1302/SUM(K1302:O1302)*$I1304</f>
        <v>#DIV/0!</v>
      </c>
      <c r="O1303" s="214" t="e">
        <f>O1302/SUM(K1302:O1302)*$I1304</f>
        <v>#DIV/0!</v>
      </c>
      <c r="P1303" s="50" t="s">
        <v>90</v>
      </c>
    </row>
    <row r="1304" spans="1:16" ht="16.5" thickTop="1" x14ac:dyDescent="0.25">
      <c r="A1304" s="365"/>
      <c r="B1304" s="368"/>
      <c r="C1304" s="9"/>
      <c r="D1304" s="9"/>
      <c r="E1304" s="64"/>
      <c r="F1304" s="222"/>
      <c r="G1304" s="222"/>
      <c r="H1304" s="64">
        <f>SUM(H1300:H1303)</f>
        <v>0</v>
      </c>
      <c r="I1304" s="74">
        <f>H1304*I$6*I$5</f>
        <v>0</v>
      </c>
    </row>
    <row r="1306" spans="1:16" ht="15.6" customHeight="1" x14ac:dyDescent="0.25">
      <c r="A1306" s="363">
        <f>A1300+1</f>
        <v>45731</v>
      </c>
      <c r="B1306" s="366" t="s">
        <v>0</v>
      </c>
      <c r="C1306" s="57" t="s">
        <v>72</v>
      </c>
      <c r="D1306" s="7"/>
      <c r="E1306" s="49"/>
      <c r="F1306" s="48">
        <v>1</v>
      </c>
      <c r="G1306" s="227"/>
      <c r="H1306" s="49">
        <f>F1306*D1306*G1306</f>
        <v>0</v>
      </c>
      <c r="I1306" s="55"/>
      <c r="K1306" s="369" t="s">
        <v>23</v>
      </c>
      <c r="L1306" s="370"/>
      <c r="M1306" s="370"/>
      <c r="N1306" s="370"/>
      <c r="O1306" s="371"/>
    </row>
    <row r="1307" spans="1:16" x14ac:dyDescent="0.25">
      <c r="A1307" s="364"/>
      <c r="B1307" s="367"/>
      <c r="C1307" s="21" t="s">
        <v>73</v>
      </c>
      <c r="E1307" s="17"/>
      <c r="F1307" s="16">
        <v>1</v>
      </c>
      <c r="G1307" s="228"/>
      <c r="H1307" s="17">
        <f>F1307*D1307*G1307</f>
        <v>0</v>
      </c>
      <c r="I1307" s="72"/>
      <c r="K1307" s="47" t="s">
        <v>27</v>
      </c>
      <c r="L1307" s="47" t="s">
        <v>12</v>
      </c>
      <c r="M1307" s="47" t="s">
        <v>87</v>
      </c>
      <c r="N1307" s="47" t="s">
        <v>28</v>
      </c>
      <c r="O1307" s="28" t="s">
        <v>86</v>
      </c>
      <c r="P1307" s="17"/>
    </row>
    <row r="1308" spans="1:16" x14ac:dyDescent="0.25">
      <c r="A1308" s="364"/>
      <c r="B1308" s="367"/>
      <c r="E1308" s="17"/>
      <c r="F1308" s="16">
        <v>1</v>
      </c>
      <c r="G1308" s="228"/>
      <c r="H1308" s="17">
        <f>F1308*D1308</f>
        <v>0</v>
      </c>
      <c r="I1308" s="72"/>
      <c r="K1308" s="3"/>
      <c r="L1308" s="3"/>
      <c r="M1308" s="3"/>
      <c r="N1308" s="3"/>
      <c r="O1308" s="3"/>
      <c r="P1308" s="50" t="s">
        <v>50</v>
      </c>
    </row>
    <row r="1309" spans="1:16" ht="16.5" thickBot="1" x14ac:dyDescent="0.3">
      <c r="A1309" s="364"/>
      <c r="B1309" s="367"/>
      <c r="C1309" s="225" t="s">
        <v>47</v>
      </c>
      <c r="D1309" s="223"/>
      <c r="E1309" s="85"/>
      <c r="F1309" s="224"/>
      <c r="G1309" s="224"/>
      <c r="H1309" s="85"/>
      <c r="I1309" s="86"/>
      <c r="K1309" s="214" t="e">
        <f>K1308/SUM(K1308:O1308)*I1310</f>
        <v>#DIV/0!</v>
      </c>
      <c r="L1309" s="214" t="e">
        <f>L1308/SUM(K1308:O1308)*$I1310</f>
        <v>#DIV/0!</v>
      </c>
      <c r="M1309" s="214" t="e">
        <f>M1308/SUM(K1308:O1308)*$I1310</f>
        <v>#DIV/0!</v>
      </c>
      <c r="N1309" s="214" t="e">
        <f>N1308/SUM(K1308:O1308)*$I1310</f>
        <v>#DIV/0!</v>
      </c>
      <c r="O1309" s="214" t="e">
        <f>O1308/SUM(K1308:O1308)*$I1310</f>
        <v>#DIV/0!</v>
      </c>
      <c r="P1309" s="50" t="s">
        <v>90</v>
      </c>
    </row>
    <row r="1310" spans="1:16" ht="16.5" thickTop="1" x14ac:dyDescent="0.25">
      <c r="A1310" s="365"/>
      <c r="B1310" s="368"/>
      <c r="C1310" s="9"/>
      <c r="D1310" s="9"/>
      <c r="E1310" s="64"/>
      <c r="F1310" s="222"/>
      <c r="G1310" s="222"/>
      <c r="H1310" s="64">
        <f>SUM(H1306:H1309)</f>
        <v>0</v>
      </c>
      <c r="I1310" s="74">
        <f>H1310*I$6*I$5</f>
        <v>0</v>
      </c>
    </row>
    <row r="1312" spans="1:16" ht="15.6" customHeight="1" x14ac:dyDescent="0.25">
      <c r="A1312" s="363">
        <f>A1306+1</f>
        <v>45732</v>
      </c>
      <c r="B1312" s="366" t="s">
        <v>1</v>
      </c>
      <c r="C1312" s="57" t="s">
        <v>72</v>
      </c>
      <c r="D1312" s="7"/>
      <c r="E1312" s="49"/>
      <c r="F1312" s="48">
        <v>1</v>
      </c>
      <c r="G1312" s="227"/>
      <c r="H1312" s="49">
        <f>F1312*D1312*G1312</f>
        <v>0</v>
      </c>
      <c r="I1312" s="55"/>
      <c r="K1312" s="369" t="s">
        <v>23</v>
      </c>
      <c r="L1312" s="370"/>
      <c r="M1312" s="370"/>
      <c r="N1312" s="370"/>
      <c r="O1312" s="371"/>
    </row>
    <row r="1313" spans="1:16" x14ac:dyDescent="0.25">
      <c r="A1313" s="364"/>
      <c r="B1313" s="367"/>
      <c r="C1313" s="21" t="s">
        <v>73</v>
      </c>
      <c r="E1313" s="17"/>
      <c r="F1313" s="16">
        <v>1</v>
      </c>
      <c r="G1313" s="228"/>
      <c r="H1313" s="17">
        <f>F1313*D1313*G1313</f>
        <v>0</v>
      </c>
      <c r="I1313" s="72"/>
      <c r="K1313" s="47" t="s">
        <v>27</v>
      </c>
      <c r="L1313" s="47" t="s">
        <v>12</v>
      </c>
      <c r="M1313" s="47" t="s">
        <v>87</v>
      </c>
      <c r="N1313" s="47" t="s">
        <v>28</v>
      </c>
      <c r="O1313" s="28" t="s">
        <v>86</v>
      </c>
      <c r="P1313" s="17"/>
    </row>
    <row r="1314" spans="1:16" x14ac:dyDescent="0.25">
      <c r="A1314" s="364"/>
      <c r="B1314" s="367"/>
      <c r="E1314" s="17"/>
      <c r="F1314" s="16">
        <v>1</v>
      </c>
      <c r="G1314" s="228"/>
      <c r="H1314" s="17">
        <f>F1314*D1314</f>
        <v>0</v>
      </c>
      <c r="I1314" s="72"/>
      <c r="K1314" s="3"/>
      <c r="L1314" s="3"/>
      <c r="M1314" s="3"/>
      <c r="N1314" s="3"/>
      <c r="O1314" s="3"/>
      <c r="P1314" s="50" t="s">
        <v>50</v>
      </c>
    </row>
    <row r="1315" spans="1:16" ht="16.5" thickBot="1" x14ac:dyDescent="0.3">
      <c r="A1315" s="364"/>
      <c r="B1315" s="367"/>
      <c r="C1315" s="225" t="s">
        <v>47</v>
      </c>
      <c r="D1315" s="223"/>
      <c r="E1315" s="85"/>
      <c r="F1315" s="224"/>
      <c r="G1315" s="224"/>
      <c r="H1315" s="85">
        <f>F1315*D1315</f>
        <v>0</v>
      </c>
      <c r="I1315" s="86"/>
      <c r="K1315" s="214" t="e">
        <f>K1314/SUM(K1314:O1314)*I1316</f>
        <v>#DIV/0!</v>
      </c>
      <c r="L1315" s="214" t="e">
        <f>L1314/SUM(K1314:O1314)*$I1316</f>
        <v>#DIV/0!</v>
      </c>
      <c r="M1315" s="214" t="e">
        <f>M1314/SUM(K1314:O1314)*$I1316</f>
        <v>#DIV/0!</v>
      </c>
      <c r="N1315" s="214" t="e">
        <f>N1314/SUM(K1314:O1314)*$I1316</f>
        <v>#DIV/0!</v>
      </c>
      <c r="O1315" s="214" t="e">
        <f>O1314/SUM(K1314:O1314)*$I1316</f>
        <v>#DIV/0!</v>
      </c>
      <c r="P1315" s="50" t="s">
        <v>90</v>
      </c>
    </row>
    <row r="1316" spans="1:16" ht="16.5" thickTop="1" x14ac:dyDescent="0.25">
      <c r="A1316" s="365"/>
      <c r="B1316" s="368"/>
      <c r="C1316" s="9"/>
      <c r="D1316" s="9"/>
      <c r="E1316" s="64"/>
      <c r="F1316" s="222"/>
      <c r="G1316" s="222"/>
      <c r="H1316" s="64">
        <f>SUM(H1312:H1315)</f>
        <v>0</v>
      </c>
      <c r="I1316" s="74">
        <f>H1316*I$6*I$5</f>
        <v>0</v>
      </c>
    </row>
    <row r="1317" spans="1:16" x14ac:dyDescent="0.25">
      <c r="B1317" s="9"/>
    </row>
    <row r="1318" spans="1:16" ht="15.6" customHeight="1" x14ac:dyDescent="0.25">
      <c r="A1318" s="363">
        <f>A1312+1</f>
        <v>45733</v>
      </c>
      <c r="B1318" s="366" t="s">
        <v>25</v>
      </c>
      <c r="C1318" s="57" t="s">
        <v>72</v>
      </c>
      <c r="D1318" s="7"/>
      <c r="E1318" s="49"/>
      <c r="F1318" s="48">
        <v>1</v>
      </c>
      <c r="G1318" s="227"/>
      <c r="H1318" s="49">
        <f>F1318*D1318*G1318</f>
        <v>0</v>
      </c>
      <c r="I1318" s="55"/>
      <c r="K1318" s="369" t="s">
        <v>23</v>
      </c>
      <c r="L1318" s="370"/>
      <c r="M1318" s="370"/>
      <c r="N1318" s="370"/>
      <c r="O1318" s="371"/>
    </row>
    <row r="1319" spans="1:16" x14ac:dyDescent="0.25">
      <c r="A1319" s="364"/>
      <c r="B1319" s="367"/>
      <c r="C1319" s="21" t="s">
        <v>73</v>
      </c>
      <c r="E1319" s="17"/>
      <c r="F1319" s="16">
        <v>1</v>
      </c>
      <c r="G1319" s="228"/>
      <c r="H1319" s="17">
        <f>F1319*D1319*G1319</f>
        <v>0</v>
      </c>
      <c r="I1319" s="72"/>
      <c r="K1319" s="47" t="s">
        <v>27</v>
      </c>
      <c r="L1319" s="47" t="s">
        <v>12</v>
      </c>
      <c r="M1319" s="47" t="s">
        <v>87</v>
      </c>
      <c r="N1319" s="47" t="s">
        <v>28</v>
      </c>
      <c r="O1319" s="28" t="s">
        <v>86</v>
      </c>
      <c r="P1319" s="17"/>
    </row>
    <row r="1320" spans="1:16" x14ac:dyDescent="0.25">
      <c r="A1320" s="364"/>
      <c r="B1320" s="367"/>
      <c r="E1320" s="17"/>
      <c r="F1320" s="16">
        <v>1</v>
      </c>
      <c r="G1320" s="228"/>
      <c r="H1320" s="17">
        <f>F1320*D1320</f>
        <v>0</v>
      </c>
      <c r="I1320" s="72"/>
      <c r="K1320" s="3"/>
      <c r="L1320" s="3"/>
      <c r="M1320" s="3"/>
      <c r="N1320" s="3"/>
      <c r="O1320" s="3"/>
      <c r="P1320" s="50" t="s">
        <v>50</v>
      </c>
    </row>
    <row r="1321" spans="1:16" ht="16.5" thickBot="1" x14ac:dyDescent="0.3">
      <c r="A1321" s="364"/>
      <c r="B1321" s="367"/>
      <c r="C1321" s="225" t="s">
        <v>47</v>
      </c>
      <c r="D1321" s="223"/>
      <c r="E1321" s="85"/>
      <c r="F1321" s="224">
        <v>1</v>
      </c>
      <c r="G1321" s="224"/>
      <c r="H1321" s="85">
        <f>F1321*D1321</f>
        <v>0</v>
      </c>
      <c r="I1321" s="86"/>
      <c r="K1321" s="214" t="e">
        <f>K1320/SUM(K1320:O1320)*I1322</f>
        <v>#DIV/0!</v>
      </c>
      <c r="L1321" s="214" t="e">
        <f>L1320/SUM(K1320:O1320)*$I1322</f>
        <v>#DIV/0!</v>
      </c>
      <c r="M1321" s="214" t="e">
        <f>M1320/SUM(K1320:O1320)*$I1322</f>
        <v>#DIV/0!</v>
      </c>
      <c r="N1321" s="214" t="e">
        <f>N1320/SUM(K1320:O1320)*$I1322</f>
        <v>#DIV/0!</v>
      </c>
      <c r="O1321" s="214" t="e">
        <f>O1320/SUM(K1320:O1320)*$I1322</f>
        <v>#DIV/0!</v>
      </c>
      <c r="P1321" s="50" t="s">
        <v>90</v>
      </c>
    </row>
    <row r="1322" spans="1:16" ht="16.5" thickTop="1" x14ac:dyDescent="0.25">
      <c r="A1322" s="365"/>
      <c r="B1322" s="368"/>
      <c r="C1322" s="9"/>
      <c r="D1322" s="9"/>
      <c r="E1322" s="64"/>
      <c r="F1322" s="222"/>
      <c r="G1322" s="222"/>
      <c r="H1322" s="64">
        <f>SUM(H1318:H1321)</f>
        <v>0</v>
      </c>
      <c r="I1322" s="74">
        <f>H1322*I$6*I$5</f>
        <v>0</v>
      </c>
    </row>
    <row r="1324" spans="1:16" ht="15.6" customHeight="1" x14ac:dyDescent="0.25">
      <c r="A1324" s="363">
        <f>A1318+1</f>
        <v>45734</v>
      </c>
      <c r="B1324" s="366" t="s">
        <v>3</v>
      </c>
      <c r="C1324" s="57" t="s">
        <v>72</v>
      </c>
      <c r="D1324" s="7"/>
      <c r="E1324" s="49"/>
      <c r="F1324" s="48">
        <v>1</v>
      </c>
      <c r="G1324" s="227"/>
      <c r="H1324" s="49">
        <f>F1324*D1324*G1324</f>
        <v>0</v>
      </c>
      <c r="I1324" s="55"/>
      <c r="K1324" s="369" t="s">
        <v>23</v>
      </c>
      <c r="L1324" s="370"/>
      <c r="M1324" s="370"/>
      <c r="N1324" s="370"/>
      <c r="O1324" s="371"/>
    </row>
    <row r="1325" spans="1:16" x14ac:dyDescent="0.25">
      <c r="A1325" s="364"/>
      <c r="B1325" s="367"/>
      <c r="C1325" s="21" t="s">
        <v>73</v>
      </c>
      <c r="E1325" s="17"/>
      <c r="F1325" s="16">
        <v>1</v>
      </c>
      <c r="G1325" s="228"/>
      <c r="H1325" s="17">
        <f>F1325*D1325*G1325</f>
        <v>0</v>
      </c>
      <c r="I1325" s="72"/>
      <c r="K1325" s="47" t="s">
        <v>27</v>
      </c>
      <c r="L1325" s="47" t="s">
        <v>12</v>
      </c>
      <c r="M1325" s="47" t="s">
        <v>87</v>
      </c>
      <c r="N1325" s="47" t="s">
        <v>28</v>
      </c>
      <c r="O1325" s="28" t="s">
        <v>86</v>
      </c>
      <c r="P1325" s="17"/>
    </row>
    <row r="1326" spans="1:16" x14ac:dyDescent="0.25">
      <c r="A1326" s="364"/>
      <c r="B1326" s="367"/>
      <c r="E1326" s="17"/>
      <c r="F1326" s="16">
        <v>1</v>
      </c>
      <c r="G1326" s="228"/>
      <c r="H1326" s="17">
        <f>F1326*D1326</f>
        <v>0</v>
      </c>
      <c r="I1326" s="72"/>
      <c r="K1326" s="3"/>
      <c r="L1326" s="3"/>
      <c r="M1326" s="3"/>
      <c r="N1326" s="3"/>
      <c r="O1326" s="3"/>
      <c r="P1326" s="50" t="s">
        <v>50</v>
      </c>
    </row>
    <row r="1327" spans="1:16" ht="16.5" thickBot="1" x14ac:dyDescent="0.3">
      <c r="A1327" s="364"/>
      <c r="B1327" s="367"/>
      <c r="C1327" s="225" t="s">
        <v>47</v>
      </c>
      <c r="D1327" s="223"/>
      <c r="E1327" s="85"/>
      <c r="F1327" s="224"/>
      <c r="G1327" s="224"/>
      <c r="H1327" s="85">
        <f>F1327*D1327</f>
        <v>0</v>
      </c>
      <c r="I1327" s="86"/>
      <c r="K1327" s="214" t="e">
        <f>K1326/SUM(K1326:O1326)*I1328</f>
        <v>#DIV/0!</v>
      </c>
      <c r="L1327" s="214" t="e">
        <f>L1326/SUM(K1326:O1326)*$I1328</f>
        <v>#DIV/0!</v>
      </c>
      <c r="M1327" s="214" t="e">
        <f>M1326/SUM(K1326:O1326)*$I1328</f>
        <v>#DIV/0!</v>
      </c>
      <c r="N1327" s="214" t="e">
        <f>N1326/SUM(K1326:O1326)*$I1328</f>
        <v>#DIV/0!</v>
      </c>
      <c r="O1327" s="214" t="e">
        <f>O1326/SUM(K1326:O1326)*$I1328</f>
        <v>#DIV/0!</v>
      </c>
      <c r="P1327" s="50" t="s">
        <v>90</v>
      </c>
    </row>
    <row r="1328" spans="1:16" ht="16.5" thickTop="1" x14ac:dyDescent="0.25">
      <c r="A1328" s="365"/>
      <c r="B1328" s="368"/>
      <c r="C1328" s="9"/>
      <c r="D1328" s="9"/>
      <c r="E1328" s="64"/>
      <c r="F1328" s="222"/>
      <c r="G1328" s="222"/>
      <c r="H1328" s="64">
        <f>SUM(H1324:H1327)</f>
        <v>0</v>
      </c>
      <c r="I1328" s="74">
        <f>H1328*I$6*I$5</f>
        <v>0</v>
      </c>
    </row>
    <row r="1330" spans="1:16" ht="15.6" customHeight="1" x14ac:dyDescent="0.25">
      <c r="A1330" s="363">
        <f>A1324+1</f>
        <v>45735</v>
      </c>
      <c r="B1330" s="366" t="s">
        <v>24</v>
      </c>
      <c r="C1330" s="57" t="s">
        <v>72</v>
      </c>
      <c r="D1330" s="7"/>
      <c r="E1330" s="49"/>
      <c r="F1330" s="48">
        <v>1</v>
      </c>
      <c r="G1330" s="227"/>
      <c r="H1330" s="49">
        <f>F1330*D1330*G1330</f>
        <v>0</v>
      </c>
      <c r="I1330" s="55"/>
      <c r="K1330" s="369" t="s">
        <v>23</v>
      </c>
      <c r="L1330" s="370"/>
      <c r="M1330" s="370"/>
      <c r="N1330" s="370"/>
      <c r="O1330" s="371"/>
    </row>
    <row r="1331" spans="1:16" x14ac:dyDescent="0.25">
      <c r="A1331" s="364"/>
      <c r="B1331" s="367"/>
      <c r="C1331" s="21" t="s">
        <v>73</v>
      </c>
      <c r="E1331" s="17"/>
      <c r="F1331" s="16">
        <v>1</v>
      </c>
      <c r="G1331" s="228"/>
      <c r="H1331" s="17">
        <f>F1331*D1331*G1331</f>
        <v>0</v>
      </c>
      <c r="I1331" s="72"/>
      <c r="K1331" s="47" t="s">
        <v>27</v>
      </c>
      <c r="L1331" s="47" t="s">
        <v>12</v>
      </c>
      <c r="M1331" s="47" t="s">
        <v>87</v>
      </c>
      <c r="N1331" s="47" t="s">
        <v>28</v>
      </c>
      <c r="O1331" s="28" t="s">
        <v>86</v>
      </c>
      <c r="P1331" s="17"/>
    </row>
    <row r="1332" spans="1:16" x14ac:dyDescent="0.25">
      <c r="A1332" s="364"/>
      <c r="B1332" s="367"/>
      <c r="E1332" s="17"/>
      <c r="F1332" s="16">
        <v>1</v>
      </c>
      <c r="G1332" s="228"/>
      <c r="H1332" s="17">
        <f>F1332*D1332</f>
        <v>0</v>
      </c>
      <c r="I1332" s="72"/>
      <c r="K1332" s="3"/>
      <c r="L1332" s="3"/>
      <c r="M1332" s="3"/>
      <c r="N1332" s="3"/>
      <c r="O1332" s="3"/>
      <c r="P1332" s="50" t="s">
        <v>50</v>
      </c>
    </row>
    <row r="1333" spans="1:16" ht="16.5" thickBot="1" x14ac:dyDescent="0.3">
      <c r="A1333" s="364"/>
      <c r="B1333" s="367"/>
      <c r="C1333" s="225" t="s">
        <v>47</v>
      </c>
      <c r="D1333" s="223"/>
      <c r="E1333" s="85"/>
      <c r="F1333" s="224">
        <v>1</v>
      </c>
      <c r="G1333" s="224"/>
      <c r="H1333" s="85">
        <f>F1333*D1333</f>
        <v>0</v>
      </c>
      <c r="I1333" s="86"/>
      <c r="K1333" s="214" t="e">
        <f>K1332/SUM(K1332:O1332)*I1334</f>
        <v>#DIV/0!</v>
      </c>
      <c r="L1333" s="214" t="e">
        <f>L1332/SUM(K1332:O1332)*$I1334</f>
        <v>#DIV/0!</v>
      </c>
      <c r="M1333" s="214" t="e">
        <f>M1332/SUM(K1332:O1332)*$I1334</f>
        <v>#DIV/0!</v>
      </c>
      <c r="N1333" s="214" t="e">
        <f>N1332/SUM(K1332:O1332)*$I1334</f>
        <v>#DIV/0!</v>
      </c>
      <c r="O1333" s="214" t="e">
        <f>O1332/SUM(K1332:O1332)*$I1334</f>
        <v>#DIV/0!</v>
      </c>
      <c r="P1333" s="50" t="s">
        <v>90</v>
      </c>
    </row>
    <row r="1334" spans="1:16" ht="16.5" thickTop="1" x14ac:dyDescent="0.25">
      <c r="A1334" s="365"/>
      <c r="B1334" s="368"/>
      <c r="C1334" s="9"/>
      <c r="D1334" s="9"/>
      <c r="E1334" s="64"/>
      <c r="F1334" s="222"/>
      <c r="G1334" s="222"/>
      <c r="H1334" s="64">
        <f>SUM(H1330:H1333)</f>
        <v>0</v>
      </c>
      <c r="I1334" s="74">
        <f>H1334*I$6*I$5</f>
        <v>0</v>
      </c>
    </row>
    <row r="1336" spans="1:16" ht="15.6" customHeight="1" x14ac:dyDescent="0.25">
      <c r="A1336" s="363">
        <f>A1330+1</f>
        <v>45736</v>
      </c>
      <c r="B1336" s="366" t="s">
        <v>5</v>
      </c>
      <c r="C1336" s="57" t="s">
        <v>72</v>
      </c>
      <c r="D1336" s="7"/>
      <c r="E1336" s="49"/>
      <c r="F1336" s="48">
        <v>1</v>
      </c>
      <c r="G1336" s="227"/>
      <c r="H1336" s="49">
        <f>F1336*D1336*G1336</f>
        <v>0</v>
      </c>
      <c r="I1336" s="55"/>
      <c r="K1336" s="369" t="s">
        <v>23</v>
      </c>
      <c r="L1336" s="370"/>
      <c r="M1336" s="370"/>
      <c r="N1336" s="370"/>
      <c r="O1336" s="371"/>
    </row>
    <row r="1337" spans="1:16" x14ac:dyDescent="0.25">
      <c r="A1337" s="364"/>
      <c r="B1337" s="367"/>
      <c r="C1337" s="21" t="s">
        <v>73</v>
      </c>
      <c r="E1337" s="17"/>
      <c r="F1337" s="16">
        <v>1</v>
      </c>
      <c r="G1337" s="228"/>
      <c r="H1337" s="17">
        <f>F1337*D1337*G1337</f>
        <v>0</v>
      </c>
      <c r="I1337" s="72"/>
      <c r="K1337" s="47" t="s">
        <v>27</v>
      </c>
      <c r="L1337" s="47" t="s">
        <v>12</v>
      </c>
      <c r="M1337" s="47" t="s">
        <v>87</v>
      </c>
      <c r="N1337" s="47" t="s">
        <v>28</v>
      </c>
      <c r="O1337" s="28" t="s">
        <v>86</v>
      </c>
      <c r="P1337" s="17"/>
    </row>
    <row r="1338" spans="1:16" x14ac:dyDescent="0.25">
      <c r="A1338" s="364"/>
      <c r="B1338" s="367"/>
      <c r="E1338" s="17"/>
      <c r="F1338" s="16">
        <v>1</v>
      </c>
      <c r="G1338" s="228"/>
      <c r="H1338" s="17">
        <f>F1338*D1338</f>
        <v>0</v>
      </c>
      <c r="I1338" s="72"/>
      <c r="K1338" s="3"/>
      <c r="L1338" s="3"/>
      <c r="M1338" s="3"/>
      <c r="N1338" s="3"/>
      <c r="O1338" s="3"/>
      <c r="P1338" s="50" t="s">
        <v>50</v>
      </c>
    </row>
    <row r="1339" spans="1:16" ht="16.5" thickBot="1" x14ac:dyDescent="0.3">
      <c r="A1339" s="364"/>
      <c r="B1339" s="367"/>
      <c r="C1339" s="225" t="s">
        <v>47</v>
      </c>
      <c r="D1339" s="223"/>
      <c r="E1339" s="85"/>
      <c r="F1339" s="224">
        <v>1</v>
      </c>
      <c r="G1339" s="224"/>
      <c r="H1339" s="85">
        <f>F1339*D1339</f>
        <v>0</v>
      </c>
      <c r="I1339" s="86"/>
      <c r="K1339" s="214" t="e">
        <f>K1338/SUM(K1338:O1338)*I1340</f>
        <v>#DIV/0!</v>
      </c>
      <c r="L1339" s="214" t="e">
        <f>L1338/SUM(K1338:O1338)*$I1340</f>
        <v>#DIV/0!</v>
      </c>
      <c r="M1339" s="214" t="e">
        <f>M1338/SUM(K1338:O1338)*$I1340</f>
        <v>#DIV/0!</v>
      </c>
      <c r="N1339" s="214" t="e">
        <f>N1338/SUM(K1338:O1338)*$I1340</f>
        <v>#DIV/0!</v>
      </c>
      <c r="O1339" s="214" t="e">
        <f>O1338/SUM(K1338:O1338)*$I1340</f>
        <v>#DIV/0!</v>
      </c>
      <c r="P1339" s="50" t="s">
        <v>90</v>
      </c>
    </row>
    <row r="1340" spans="1:16" ht="16.5" thickTop="1" x14ac:dyDescent="0.25">
      <c r="A1340" s="365"/>
      <c r="B1340" s="368"/>
      <c r="C1340" s="9"/>
      <c r="D1340" s="9"/>
      <c r="E1340" s="64"/>
      <c r="F1340" s="222"/>
      <c r="G1340" s="222"/>
      <c r="H1340" s="64">
        <f>SUM(H1336:H1339)</f>
        <v>0</v>
      </c>
      <c r="I1340" s="74">
        <f>H1340*I$6*I$5</f>
        <v>0</v>
      </c>
    </row>
    <row r="1342" spans="1:16" ht="15.6" customHeight="1" x14ac:dyDescent="0.25">
      <c r="A1342" s="363">
        <f>A1336+1</f>
        <v>45737</v>
      </c>
      <c r="B1342" s="366" t="s">
        <v>6</v>
      </c>
      <c r="C1342" s="57" t="s">
        <v>72</v>
      </c>
      <c r="D1342" s="7"/>
      <c r="E1342" s="49"/>
      <c r="F1342" s="48">
        <v>1</v>
      </c>
      <c r="G1342" s="227"/>
      <c r="H1342" s="49">
        <f>F1342*D1342*G1342</f>
        <v>0</v>
      </c>
      <c r="I1342" s="55"/>
      <c r="K1342" s="369" t="s">
        <v>23</v>
      </c>
      <c r="L1342" s="370"/>
      <c r="M1342" s="370"/>
      <c r="N1342" s="370"/>
      <c r="O1342" s="371"/>
    </row>
    <row r="1343" spans="1:16" x14ac:dyDescent="0.25">
      <c r="A1343" s="364"/>
      <c r="B1343" s="367"/>
      <c r="C1343" s="21" t="s">
        <v>73</v>
      </c>
      <c r="E1343" s="17"/>
      <c r="F1343" s="16">
        <v>1</v>
      </c>
      <c r="G1343" s="228"/>
      <c r="H1343" s="17">
        <f>F1343*D1343*G1343</f>
        <v>0</v>
      </c>
      <c r="I1343" s="72"/>
      <c r="K1343" s="47" t="s">
        <v>27</v>
      </c>
      <c r="L1343" s="47" t="s">
        <v>12</v>
      </c>
      <c r="M1343" s="47" t="s">
        <v>87</v>
      </c>
      <c r="N1343" s="47" t="s">
        <v>28</v>
      </c>
      <c r="O1343" s="28" t="s">
        <v>86</v>
      </c>
      <c r="P1343" s="17"/>
    </row>
    <row r="1344" spans="1:16" x14ac:dyDescent="0.25">
      <c r="A1344" s="364"/>
      <c r="B1344" s="367"/>
      <c r="E1344" s="17"/>
      <c r="F1344" s="16">
        <v>1</v>
      </c>
      <c r="G1344" s="228"/>
      <c r="H1344" s="17">
        <f>F1344*D1344</f>
        <v>0</v>
      </c>
      <c r="I1344" s="72"/>
      <c r="K1344" s="3"/>
      <c r="L1344" s="3"/>
      <c r="M1344" s="3"/>
      <c r="N1344" s="3"/>
      <c r="O1344" s="3"/>
      <c r="P1344" s="50" t="s">
        <v>50</v>
      </c>
    </row>
    <row r="1345" spans="1:16" ht="16.5" thickBot="1" x14ac:dyDescent="0.3">
      <c r="A1345" s="364"/>
      <c r="B1345" s="367"/>
      <c r="C1345" s="225" t="s">
        <v>47</v>
      </c>
      <c r="D1345" s="223"/>
      <c r="E1345" s="85"/>
      <c r="F1345" s="224"/>
      <c r="G1345" s="224"/>
      <c r="H1345" s="85">
        <f>F1345*D1345</f>
        <v>0</v>
      </c>
      <c r="I1345" s="86"/>
      <c r="K1345" s="214" t="e">
        <f>K1344/SUM(K1344:O1344)*I1346</f>
        <v>#DIV/0!</v>
      </c>
      <c r="L1345" s="214" t="e">
        <f>L1344/SUM(K1344:O1344)*$I1346</f>
        <v>#DIV/0!</v>
      </c>
      <c r="M1345" s="214" t="e">
        <f>M1344/SUM(K1344:O1344)*$I1346</f>
        <v>#DIV/0!</v>
      </c>
      <c r="N1345" s="214" t="e">
        <f>N1344/SUM(K1344:O1344)*$I1346</f>
        <v>#DIV/0!</v>
      </c>
      <c r="O1345" s="214" t="e">
        <f>O1344/SUM(K1344:O1344)*$I1346</f>
        <v>#DIV/0!</v>
      </c>
      <c r="P1345" s="50" t="s">
        <v>90</v>
      </c>
    </row>
    <row r="1346" spans="1:16" ht="16.5" thickTop="1" x14ac:dyDescent="0.25">
      <c r="A1346" s="365"/>
      <c r="B1346" s="368"/>
      <c r="C1346" s="9"/>
      <c r="D1346" s="9"/>
      <c r="E1346" s="64"/>
      <c r="F1346" s="222"/>
      <c r="G1346" s="222"/>
      <c r="H1346" s="64">
        <f>SUM(H1342:H1345)</f>
        <v>0</v>
      </c>
      <c r="I1346" s="74">
        <f>H1346*I$6*I$5</f>
        <v>0</v>
      </c>
    </row>
    <row r="1348" spans="1:16" ht="15.6" customHeight="1" x14ac:dyDescent="0.25">
      <c r="A1348" s="363">
        <f>A1342+1</f>
        <v>45738</v>
      </c>
      <c r="B1348" s="366" t="s">
        <v>0</v>
      </c>
      <c r="C1348" s="57" t="s">
        <v>72</v>
      </c>
      <c r="D1348" s="7"/>
      <c r="E1348" s="49"/>
      <c r="F1348" s="48">
        <v>1</v>
      </c>
      <c r="G1348" s="227"/>
      <c r="H1348" s="49">
        <f>F1348*D1348*G1348</f>
        <v>0</v>
      </c>
      <c r="I1348" s="55"/>
      <c r="K1348" s="369" t="s">
        <v>23</v>
      </c>
      <c r="L1348" s="370"/>
      <c r="M1348" s="370"/>
      <c r="N1348" s="370"/>
      <c r="O1348" s="371"/>
    </row>
    <row r="1349" spans="1:16" x14ac:dyDescent="0.25">
      <c r="A1349" s="364"/>
      <c r="B1349" s="367"/>
      <c r="C1349" s="21" t="s">
        <v>73</v>
      </c>
      <c r="E1349" s="17"/>
      <c r="F1349" s="16">
        <v>1</v>
      </c>
      <c r="G1349" s="228"/>
      <c r="H1349" s="17">
        <f>F1349*D1349*G1349</f>
        <v>0</v>
      </c>
      <c r="I1349" s="72"/>
      <c r="K1349" s="47" t="s">
        <v>27</v>
      </c>
      <c r="L1349" s="47" t="s">
        <v>12</v>
      </c>
      <c r="M1349" s="47" t="s">
        <v>87</v>
      </c>
      <c r="N1349" s="47" t="s">
        <v>28</v>
      </c>
      <c r="O1349" s="28" t="s">
        <v>86</v>
      </c>
      <c r="P1349" s="17"/>
    </row>
    <row r="1350" spans="1:16" x14ac:dyDescent="0.25">
      <c r="A1350" s="364"/>
      <c r="B1350" s="367"/>
      <c r="E1350" s="17"/>
      <c r="F1350" s="16">
        <v>1</v>
      </c>
      <c r="G1350" s="228"/>
      <c r="H1350" s="17">
        <f>F1350*D1350</f>
        <v>0</v>
      </c>
      <c r="I1350" s="72"/>
      <c r="K1350" s="3"/>
      <c r="L1350" s="3"/>
      <c r="M1350" s="3"/>
      <c r="N1350" s="3">
        <v>1</v>
      </c>
      <c r="O1350" s="3"/>
      <c r="P1350" s="50" t="s">
        <v>50</v>
      </c>
    </row>
    <row r="1351" spans="1:16" ht="16.5" thickBot="1" x14ac:dyDescent="0.3">
      <c r="A1351" s="364"/>
      <c r="B1351" s="367"/>
      <c r="C1351" s="225" t="s">
        <v>47</v>
      </c>
      <c r="D1351" s="223"/>
      <c r="E1351" s="85"/>
      <c r="F1351" s="224">
        <v>1</v>
      </c>
      <c r="G1351" s="224"/>
      <c r="H1351" s="85">
        <f>F1351*D1351</f>
        <v>0</v>
      </c>
      <c r="I1351" s="86"/>
      <c r="K1351" s="214">
        <f>K1350/SUM(K1350:O1350)*I1352</f>
        <v>0</v>
      </c>
      <c r="L1351" s="214">
        <f>L1350/SUM(K1350:O1350)*$I1352</f>
        <v>0</v>
      </c>
      <c r="M1351" s="214">
        <f>M1350/SUM(K1350:O1350)*$I1352</f>
        <v>0</v>
      </c>
      <c r="N1351" s="214">
        <f>N1350/SUM(K1350:O1350)*$I1352</f>
        <v>0</v>
      </c>
      <c r="O1351" s="214">
        <f>O1350/SUM(K1350:O1350)*$I1352</f>
        <v>0</v>
      </c>
      <c r="P1351" s="50" t="s">
        <v>90</v>
      </c>
    </row>
    <row r="1352" spans="1:16" ht="16.5" thickTop="1" x14ac:dyDescent="0.25">
      <c r="A1352" s="365"/>
      <c r="B1352" s="368"/>
      <c r="C1352" s="9"/>
      <c r="D1352" s="9"/>
      <c r="E1352" s="64"/>
      <c r="F1352" s="222"/>
      <c r="G1352" s="222"/>
      <c r="H1352" s="64">
        <f>SUM(H1348:H1351)</f>
        <v>0</v>
      </c>
      <c r="I1352" s="74">
        <f>H1352*I$6*I$5</f>
        <v>0</v>
      </c>
    </row>
    <row r="1354" spans="1:16" ht="15.6" customHeight="1" x14ac:dyDescent="0.25">
      <c r="A1354" s="363">
        <f>A1348+1</f>
        <v>45739</v>
      </c>
      <c r="B1354" s="366" t="s">
        <v>1</v>
      </c>
      <c r="C1354" s="57" t="s">
        <v>72</v>
      </c>
      <c r="D1354" s="7"/>
      <c r="E1354" s="49"/>
      <c r="F1354" s="48">
        <v>1</v>
      </c>
      <c r="G1354" s="227"/>
      <c r="H1354" s="49">
        <f>F1354*D1354*G1354</f>
        <v>0</v>
      </c>
      <c r="I1354" s="55"/>
      <c r="K1354" s="369" t="s">
        <v>23</v>
      </c>
      <c r="L1354" s="370"/>
      <c r="M1354" s="370"/>
      <c r="N1354" s="370"/>
      <c r="O1354" s="371"/>
    </row>
    <row r="1355" spans="1:16" x14ac:dyDescent="0.25">
      <c r="A1355" s="364"/>
      <c r="B1355" s="367"/>
      <c r="C1355" s="21" t="s">
        <v>73</v>
      </c>
      <c r="E1355" s="17"/>
      <c r="F1355" s="16">
        <v>1</v>
      </c>
      <c r="G1355" s="228"/>
      <c r="H1355" s="17">
        <f>F1355*D1355*G1355</f>
        <v>0</v>
      </c>
      <c r="I1355" s="72"/>
      <c r="K1355" s="47" t="s">
        <v>27</v>
      </c>
      <c r="L1355" s="47" t="s">
        <v>12</v>
      </c>
      <c r="M1355" s="47" t="s">
        <v>87</v>
      </c>
      <c r="N1355" s="47" t="s">
        <v>28</v>
      </c>
      <c r="O1355" s="28" t="s">
        <v>86</v>
      </c>
      <c r="P1355" s="17"/>
    </row>
    <row r="1356" spans="1:16" x14ac:dyDescent="0.25">
      <c r="A1356" s="364"/>
      <c r="B1356" s="367"/>
      <c r="E1356" s="17"/>
      <c r="F1356" s="16">
        <v>1</v>
      </c>
      <c r="G1356" s="228"/>
      <c r="H1356" s="17">
        <f>F1356*D1356</f>
        <v>0</v>
      </c>
      <c r="I1356" s="72"/>
      <c r="K1356" s="3"/>
      <c r="L1356" s="3"/>
      <c r="M1356" s="3"/>
      <c r="N1356" s="3"/>
      <c r="O1356" s="3"/>
      <c r="P1356" s="50" t="s">
        <v>50</v>
      </c>
    </row>
    <row r="1357" spans="1:16" ht="16.5" thickBot="1" x14ac:dyDescent="0.3">
      <c r="A1357" s="364"/>
      <c r="B1357" s="367"/>
      <c r="C1357" s="225" t="s">
        <v>47</v>
      </c>
      <c r="D1357" s="223"/>
      <c r="E1357" s="85"/>
      <c r="F1357" s="224">
        <v>1</v>
      </c>
      <c r="G1357" s="224"/>
      <c r="H1357" s="85">
        <f>F1357*D1357</f>
        <v>0</v>
      </c>
      <c r="I1357" s="86"/>
      <c r="K1357" s="214" t="e">
        <f>K1356/SUM(K1356:O1356)*I1358</f>
        <v>#DIV/0!</v>
      </c>
      <c r="L1357" s="214" t="e">
        <f>L1356/SUM(K1356:O1356)*$I1358</f>
        <v>#DIV/0!</v>
      </c>
      <c r="M1357" s="214" t="e">
        <f>M1356/SUM(K1356:O1356)*$I1358</f>
        <v>#DIV/0!</v>
      </c>
      <c r="N1357" s="214" t="e">
        <f>N1356/SUM(K1356:O1356)*$I1358</f>
        <v>#DIV/0!</v>
      </c>
      <c r="O1357" s="214" t="e">
        <f>O1356/SUM(K1356:O1356)*$I1358</f>
        <v>#DIV/0!</v>
      </c>
      <c r="P1357" s="50" t="s">
        <v>90</v>
      </c>
    </row>
    <row r="1358" spans="1:16" ht="16.5" thickTop="1" x14ac:dyDescent="0.25">
      <c r="A1358" s="365"/>
      <c r="B1358" s="368"/>
      <c r="C1358" s="9"/>
      <c r="D1358" s="9"/>
      <c r="E1358" s="64"/>
      <c r="F1358" s="222"/>
      <c r="G1358" s="222"/>
      <c r="H1358" s="64">
        <f>SUM(H1354:H1357)</f>
        <v>0</v>
      </c>
      <c r="I1358" s="74">
        <f>H1358*I$6*I$5</f>
        <v>0</v>
      </c>
    </row>
    <row r="1359" spans="1:16" x14ac:dyDescent="0.25">
      <c r="B1359" s="9"/>
    </row>
    <row r="1360" spans="1:16" ht="15.6" customHeight="1" x14ac:dyDescent="0.25">
      <c r="A1360" s="363">
        <f>A1354+1</f>
        <v>45740</v>
      </c>
      <c r="B1360" s="366" t="s">
        <v>25</v>
      </c>
      <c r="C1360" s="57" t="s">
        <v>72</v>
      </c>
      <c r="D1360" s="7"/>
      <c r="E1360" s="49"/>
      <c r="F1360" s="48">
        <v>1</v>
      </c>
      <c r="G1360" s="227"/>
      <c r="H1360" s="49">
        <f>F1360*D1360*G1360</f>
        <v>0</v>
      </c>
      <c r="I1360" s="55"/>
      <c r="K1360" s="369" t="s">
        <v>23</v>
      </c>
      <c r="L1360" s="370"/>
      <c r="M1360" s="370"/>
      <c r="N1360" s="370"/>
      <c r="O1360" s="371"/>
    </row>
    <row r="1361" spans="1:16" x14ac:dyDescent="0.25">
      <c r="A1361" s="364"/>
      <c r="B1361" s="367"/>
      <c r="C1361" s="21" t="s">
        <v>73</v>
      </c>
      <c r="E1361" s="17"/>
      <c r="F1361" s="16">
        <v>1</v>
      </c>
      <c r="G1361" s="228"/>
      <c r="H1361" s="17">
        <f>F1361*D1361*G1361</f>
        <v>0</v>
      </c>
      <c r="I1361" s="72"/>
      <c r="K1361" s="47" t="s">
        <v>27</v>
      </c>
      <c r="L1361" s="47" t="s">
        <v>12</v>
      </c>
      <c r="M1361" s="47" t="s">
        <v>87</v>
      </c>
      <c r="N1361" s="47" t="s">
        <v>28</v>
      </c>
      <c r="O1361" s="28" t="s">
        <v>86</v>
      </c>
      <c r="P1361" s="17"/>
    </row>
    <row r="1362" spans="1:16" x14ac:dyDescent="0.25">
      <c r="A1362" s="364"/>
      <c r="B1362" s="367"/>
      <c r="E1362" s="17"/>
      <c r="F1362" s="16">
        <v>1</v>
      </c>
      <c r="G1362" s="228"/>
      <c r="H1362" s="17">
        <f>F1362*D1362</f>
        <v>0</v>
      </c>
      <c r="I1362" s="72"/>
      <c r="K1362" s="3"/>
      <c r="L1362" s="3"/>
      <c r="M1362" s="3"/>
      <c r="N1362" s="3"/>
      <c r="O1362" s="3"/>
      <c r="P1362" s="50" t="s">
        <v>50</v>
      </c>
    </row>
    <row r="1363" spans="1:16" ht="16.5" thickBot="1" x14ac:dyDescent="0.3">
      <c r="A1363" s="364"/>
      <c r="B1363" s="367"/>
      <c r="C1363" s="225" t="s">
        <v>47</v>
      </c>
      <c r="D1363" s="223"/>
      <c r="E1363" s="85"/>
      <c r="F1363" s="224"/>
      <c r="G1363" s="224"/>
      <c r="H1363" s="85">
        <f>F1363*D1363</f>
        <v>0</v>
      </c>
      <c r="I1363" s="86"/>
      <c r="K1363" s="214" t="e">
        <f>K1362/SUM(K1362:O1362)*I1364</f>
        <v>#DIV/0!</v>
      </c>
      <c r="L1363" s="214" t="e">
        <f>L1362/SUM(K1362:O1362)*$I1364</f>
        <v>#DIV/0!</v>
      </c>
      <c r="M1363" s="214" t="e">
        <f>M1362/SUM(K1362:O1362)*$I1364</f>
        <v>#DIV/0!</v>
      </c>
      <c r="N1363" s="214" t="e">
        <f>N1362/SUM(K1362:O1362)*$I1364</f>
        <v>#DIV/0!</v>
      </c>
      <c r="O1363" s="214" t="e">
        <f>O1362/SUM(K1362:O1362)*$I1364</f>
        <v>#DIV/0!</v>
      </c>
      <c r="P1363" s="50" t="s">
        <v>90</v>
      </c>
    </row>
    <row r="1364" spans="1:16" ht="16.5" thickTop="1" x14ac:dyDescent="0.25">
      <c r="A1364" s="365"/>
      <c r="B1364" s="368"/>
      <c r="C1364" s="9"/>
      <c r="D1364" s="9"/>
      <c r="E1364" s="64"/>
      <c r="F1364" s="222"/>
      <c r="G1364" s="222"/>
      <c r="H1364" s="64">
        <f>SUM(H1360:H1363)</f>
        <v>0</v>
      </c>
      <c r="I1364" s="74">
        <f>H1364*I$6*I$5</f>
        <v>0</v>
      </c>
    </row>
    <row r="1366" spans="1:16" ht="15.6" customHeight="1" x14ac:dyDescent="0.25">
      <c r="A1366" s="363">
        <f>A1360+1</f>
        <v>45741</v>
      </c>
      <c r="B1366" s="366" t="s">
        <v>3</v>
      </c>
      <c r="C1366" s="57" t="s">
        <v>72</v>
      </c>
      <c r="D1366" s="7"/>
      <c r="E1366" s="49"/>
      <c r="F1366" s="48">
        <v>1</v>
      </c>
      <c r="G1366" s="227"/>
      <c r="H1366" s="49">
        <f>F1366*D1366*G1366</f>
        <v>0</v>
      </c>
      <c r="I1366" s="55"/>
      <c r="K1366" s="369" t="s">
        <v>23</v>
      </c>
      <c r="L1366" s="370"/>
      <c r="M1366" s="370"/>
      <c r="N1366" s="370"/>
      <c r="O1366" s="371"/>
    </row>
    <row r="1367" spans="1:16" x14ac:dyDescent="0.25">
      <c r="A1367" s="364"/>
      <c r="B1367" s="367"/>
      <c r="C1367" s="21" t="s">
        <v>73</v>
      </c>
      <c r="E1367" s="17"/>
      <c r="F1367" s="16">
        <v>1</v>
      </c>
      <c r="G1367" s="228"/>
      <c r="H1367" s="17">
        <f>F1367*D1367*G1367</f>
        <v>0</v>
      </c>
      <c r="I1367" s="72"/>
      <c r="K1367" s="47" t="s">
        <v>27</v>
      </c>
      <c r="L1367" s="47" t="s">
        <v>12</v>
      </c>
      <c r="M1367" s="47" t="s">
        <v>87</v>
      </c>
      <c r="N1367" s="47" t="s">
        <v>28</v>
      </c>
      <c r="O1367" s="28" t="s">
        <v>86</v>
      </c>
      <c r="P1367" s="17"/>
    </row>
    <row r="1368" spans="1:16" x14ac:dyDescent="0.25">
      <c r="A1368" s="364"/>
      <c r="B1368" s="367"/>
      <c r="E1368" s="17"/>
      <c r="F1368" s="16">
        <v>1</v>
      </c>
      <c r="G1368" s="228"/>
      <c r="H1368" s="17">
        <f>F1368*D1368</f>
        <v>0</v>
      </c>
      <c r="I1368" s="72"/>
      <c r="K1368" s="3"/>
      <c r="L1368" s="3"/>
      <c r="M1368" s="3"/>
      <c r="N1368" s="3"/>
      <c r="O1368" s="3"/>
      <c r="P1368" s="50" t="s">
        <v>50</v>
      </c>
    </row>
    <row r="1369" spans="1:16" ht="16.5" thickBot="1" x14ac:dyDescent="0.3">
      <c r="A1369" s="364"/>
      <c r="B1369" s="367"/>
      <c r="C1369" s="225" t="s">
        <v>47</v>
      </c>
      <c r="D1369" s="223"/>
      <c r="E1369" s="85"/>
      <c r="F1369" s="224">
        <v>1</v>
      </c>
      <c r="G1369" s="224"/>
      <c r="H1369" s="85">
        <f>F1369*D1369</f>
        <v>0</v>
      </c>
      <c r="I1369" s="86"/>
      <c r="K1369" s="214" t="e">
        <f>K1368/SUM(K1368:O1368)*I1370</f>
        <v>#DIV/0!</v>
      </c>
      <c r="L1369" s="214" t="e">
        <f>L1368/SUM(K1368:O1368)*$I1370</f>
        <v>#DIV/0!</v>
      </c>
      <c r="M1369" s="214" t="e">
        <f>M1368/SUM(K1368:O1368)*$I1370</f>
        <v>#DIV/0!</v>
      </c>
      <c r="N1369" s="214" t="e">
        <f>N1368/SUM(K1368:O1368)*$I1370</f>
        <v>#DIV/0!</v>
      </c>
      <c r="O1369" s="214" t="e">
        <f>O1368/SUM(K1368:O1368)*$I1370</f>
        <v>#DIV/0!</v>
      </c>
      <c r="P1369" s="50" t="s">
        <v>90</v>
      </c>
    </row>
    <row r="1370" spans="1:16" ht="16.5" thickTop="1" x14ac:dyDescent="0.25">
      <c r="A1370" s="365"/>
      <c r="B1370" s="368"/>
      <c r="C1370" s="9"/>
      <c r="D1370" s="9"/>
      <c r="E1370" s="64"/>
      <c r="F1370" s="222"/>
      <c r="G1370" s="222"/>
      <c r="H1370" s="64">
        <f>SUM(H1366:H1369)</f>
        <v>0</v>
      </c>
      <c r="I1370" s="74">
        <f>H1370*I$6*I$5</f>
        <v>0</v>
      </c>
    </row>
    <row r="1372" spans="1:16" ht="15.6" customHeight="1" x14ac:dyDescent="0.25">
      <c r="A1372" s="363">
        <f>A1366+1</f>
        <v>45742</v>
      </c>
      <c r="B1372" s="366" t="s">
        <v>24</v>
      </c>
      <c r="C1372" s="57" t="s">
        <v>72</v>
      </c>
      <c r="D1372" s="7"/>
      <c r="E1372" s="49"/>
      <c r="F1372" s="48">
        <v>1</v>
      </c>
      <c r="G1372" s="227"/>
      <c r="H1372" s="49">
        <f>F1372*D1372*G1372</f>
        <v>0</v>
      </c>
      <c r="I1372" s="55"/>
      <c r="K1372" s="369" t="s">
        <v>23</v>
      </c>
      <c r="L1372" s="370"/>
      <c r="M1372" s="370"/>
      <c r="N1372" s="370"/>
      <c r="O1372" s="371"/>
    </row>
    <row r="1373" spans="1:16" x14ac:dyDescent="0.25">
      <c r="A1373" s="364"/>
      <c r="B1373" s="367"/>
      <c r="C1373" s="21" t="s">
        <v>73</v>
      </c>
      <c r="E1373" s="17"/>
      <c r="F1373" s="16">
        <v>1</v>
      </c>
      <c r="G1373" s="228"/>
      <c r="H1373" s="17">
        <f>F1373*D1373*G1373</f>
        <v>0</v>
      </c>
      <c r="I1373" s="72"/>
      <c r="K1373" s="47" t="s">
        <v>27</v>
      </c>
      <c r="L1373" s="47" t="s">
        <v>12</v>
      </c>
      <c r="M1373" s="47" t="s">
        <v>87</v>
      </c>
      <c r="N1373" s="47" t="s">
        <v>28</v>
      </c>
      <c r="O1373" s="28" t="s">
        <v>86</v>
      </c>
      <c r="P1373" s="17"/>
    </row>
    <row r="1374" spans="1:16" x14ac:dyDescent="0.25">
      <c r="A1374" s="364"/>
      <c r="B1374" s="367"/>
      <c r="E1374" s="17"/>
      <c r="F1374" s="16">
        <v>1</v>
      </c>
      <c r="G1374" s="228"/>
      <c r="H1374" s="17">
        <f>F1374*D1374</f>
        <v>0</v>
      </c>
      <c r="I1374" s="72"/>
      <c r="K1374" s="3"/>
      <c r="L1374" s="3"/>
      <c r="M1374" s="3"/>
      <c r="N1374" s="3"/>
      <c r="O1374" s="3"/>
      <c r="P1374" s="50" t="s">
        <v>50</v>
      </c>
    </row>
    <row r="1375" spans="1:16" ht="16.5" thickBot="1" x14ac:dyDescent="0.3">
      <c r="A1375" s="364"/>
      <c r="B1375" s="367"/>
      <c r="C1375" s="225" t="s">
        <v>47</v>
      </c>
      <c r="D1375" s="223"/>
      <c r="E1375" s="85"/>
      <c r="F1375" s="224">
        <v>1</v>
      </c>
      <c r="G1375" s="224"/>
      <c r="H1375" s="85">
        <f>F1375*D1375</f>
        <v>0</v>
      </c>
      <c r="I1375" s="86"/>
      <c r="K1375" s="214" t="e">
        <f>K1374/SUM(K1374:O1374)*I1376</f>
        <v>#DIV/0!</v>
      </c>
      <c r="L1375" s="214" t="e">
        <f>L1374/SUM(K1374:O1374)*$I1376</f>
        <v>#DIV/0!</v>
      </c>
      <c r="M1375" s="214" t="e">
        <f>M1374/SUM(K1374:O1374)*$I1376</f>
        <v>#DIV/0!</v>
      </c>
      <c r="N1375" s="214" t="e">
        <f>N1374/SUM(K1374:O1374)*$I1376</f>
        <v>#DIV/0!</v>
      </c>
      <c r="O1375" s="214" t="e">
        <f>O1374/SUM(K1374:O1374)*$I1376</f>
        <v>#DIV/0!</v>
      </c>
      <c r="P1375" s="50" t="s">
        <v>90</v>
      </c>
    </row>
    <row r="1376" spans="1:16" ht="16.5" thickTop="1" x14ac:dyDescent="0.25">
      <c r="A1376" s="365"/>
      <c r="B1376" s="368"/>
      <c r="C1376" s="9"/>
      <c r="D1376" s="9"/>
      <c r="E1376" s="64"/>
      <c r="F1376" s="222"/>
      <c r="G1376" s="222"/>
      <c r="H1376" s="64">
        <f>SUM(H1372:H1375)</f>
        <v>0</v>
      </c>
      <c r="I1376" s="74">
        <f>H1376*I$6*I$5</f>
        <v>0</v>
      </c>
    </row>
    <row r="1378" spans="1:16" ht="15.6" customHeight="1" x14ac:dyDescent="0.25">
      <c r="A1378" s="363">
        <f>A1372+1</f>
        <v>45743</v>
      </c>
      <c r="B1378" s="366" t="s">
        <v>5</v>
      </c>
      <c r="C1378" s="57" t="s">
        <v>72</v>
      </c>
      <c r="D1378" s="7"/>
      <c r="E1378" s="49"/>
      <c r="F1378" s="48">
        <v>1</v>
      </c>
      <c r="G1378" s="227"/>
      <c r="H1378" s="49">
        <f>F1378*D1378*G1378</f>
        <v>0</v>
      </c>
      <c r="I1378" s="55"/>
      <c r="K1378" s="369" t="s">
        <v>23</v>
      </c>
      <c r="L1378" s="370"/>
      <c r="M1378" s="370"/>
      <c r="N1378" s="370"/>
      <c r="O1378" s="371"/>
    </row>
    <row r="1379" spans="1:16" x14ac:dyDescent="0.25">
      <c r="A1379" s="364"/>
      <c r="B1379" s="367"/>
      <c r="C1379" s="21" t="s">
        <v>73</v>
      </c>
      <c r="E1379" s="17"/>
      <c r="F1379" s="16">
        <v>1</v>
      </c>
      <c r="G1379" s="228"/>
      <c r="H1379" s="17">
        <f>F1379*D1379*G1379</f>
        <v>0</v>
      </c>
      <c r="I1379" s="72"/>
      <c r="K1379" s="47" t="s">
        <v>27</v>
      </c>
      <c r="L1379" s="47" t="s">
        <v>12</v>
      </c>
      <c r="M1379" s="47" t="s">
        <v>87</v>
      </c>
      <c r="N1379" s="47" t="s">
        <v>28</v>
      </c>
      <c r="O1379" s="28" t="s">
        <v>86</v>
      </c>
      <c r="P1379" s="17"/>
    </row>
    <row r="1380" spans="1:16" x14ac:dyDescent="0.25">
      <c r="A1380" s="364"/>
      <c r="B1380" s="367"/>
      <c r="E1380" s="17"/>
      <c r="F1380" s="16">
        <v>1</v>
      </c>
      <c r="G1380" s="228"/>
      <c r="H1380" s="17">
        <f>F1380*D1380</f>
        <v>0</v>
      </c>
      <c r="I1380" s="72"/>
      <c r="K1380" s="3"/>
      <c r="L1380" s="3"/>
      <c r="M1380" s="3"/>
      <c r="N1380" s="3"/>
      <c r="O1380" s="3"/>
      <c r="P1380" s="50" t="s">
        <v>50</v>
      </c>
    </row>
    <row r="1381" spans="1:16" ht="16.5" thickBot="1" x14ac:dyDescent="0.3">
      <c r="A1381" s="364"/>
      <c r="B1381" s="367"/>
      <c r="C1381" s="225" t="s">
        <v>47</v>
      </c>
      <c r="D1381" s="223"/>
      <c r="E1381" s="85"/>
      <c r="F1381" s="224"/>
      <c r="G1381" s="224"/>
      <c r="H1381" s="85">
        <f>F1381*D1381</f>
        <v>0</v>
      </c>
      <c r="I1381" s="86"/>
      <c r="K1381" s="214" t="e">
        <f>K1380/SUM(K1380:O1380)*I1382</f>
        <v>#DIV/0!</v>
      </c>
      <c r="L1381" s="214" t="e">
        <f>L1380/SUM(K1380:O1380)*$I1382</f>
        <v>#DIV/0!</v>
      </c>
      <c r="M1381" s="214" t="e">
        <f>M1380/SUM(K1380:O1380)*$I1382</f>
        <v>#DIV/0!</v>
      </c>
      <c r="N1381" s="214" t="e">
        <f>N1380/SUM(K1380:O1380)*$I1382</f>
        <v>#DIV/0!</v>
      </c>
      <c r="O1381" s="214" t="e">
        <f>O1380/SUM(K1380:O1380)*$I1382</f>
        <v>#DIV/0!</v>
      </c>
      <c r="P1381" s="50" t="s">
        <v>90</v>
      </c>
    </row>
    <row r="1382" spans="1:16" ht="16.5" thickTop="1" x14ac:dyDescent="0.25">
      <c r="A1382" s="365"/>
      <c r="B1382" s="368"/>
      <c r="C1382" s="9"/>
      <c r="D1382" s="9"/>
      <c r="E1382" s="64"/>
      <c r="F1382" s="222"/>
      <c r="G1382" s="222"/>
      <c r="H1382" s="64">
        <f>SUM(H1378:H1381)</f>
        <v>0</v>
      </c>
      <c r="I1382" s="74">
        <f>H1382*I$6*I$5</f>
        <v>0</v>
      </c>
    </row>
    <row r="1384" spans="1:16" ht="15.6" customHeight="1" x14ac:dyDescent="0.25">
      <c r="A1384" s="363">
        <f>A1378+1</f>
        <v>45744</v>
      </c>
      <c r="B1384" s="366" t="s">
        <v>6</v>
      </c>
      <c r="C1384" s="57" t="s">
        <v>72</v>
      </c>
      <c r="D1384" s="7"/>
      <c r="E1384" s="49"/>
      <c r="F1384" s="48">
        <v>1</v>
      </c>
      <c r="G1384" s="227"/>
      <c r="H1384" s="49">
        <f>F1384*D1384*G1384</f>
        <v>0</v>
      </c>
      <c r="I1384" s="55"/>
      <c r="K1384" s="369" t="s">
        <v>23</v>
      </c>
      <c r="L1384" s="370"/>
      <c r="M1384" s="370"/>
      <c r="N1384" s="370"/>
      <c r="O1384" s="371"/>
    </row>
    <row r="1385" spans="1:16" x14ac:dyDescent="0.25">
      <c r="A1385" s="364"/>
      <c r="B1385" s="367"/>
      <c r="C1385" s="21" t="s">
        <v>73</v>
      </c>
      <c r="E1385" s="17"/>
      <c r="F1385" s="16">
        <v>1</v>
      </c>
      <c r="G1385" s="228"/>
      <c r="H1385" s="17">
        <f>F1385*D1385*G1385</f>
        <v>0</v>
      </c>
      <c r="I1385" s="72"/>
      <c r="K1385" s="47" t="s">
        <v>27</v>
      </c>
      <c r="L1385" s="47" t="s">
        <v>12</v>
      </c>
      <c r="M1385" s="47" t="s">
        <v>87</v>
      </c>
      <c r="N1385" s="47" t="s">
        <v>28</v>
      </c>
      <c r="O1385" s="28" t="s">
        <v>86</v>
      </c>
      <c r="P1385" s="17"/>
    </row>
    <row r="1386" spans="1:16" x14ac:dyDescent="0.25">
      <c r="A1386" s="364"/>
      <c r="B1386" s="367"/>
      <c r="E1386" s="17"/>
      <c r="F1386" s="16">
        <v>1</v>
      </c>
      <c r="G1386" s="228"/>
      <c r="H1386" s="17">
        <f>F1386*D1386</f>
        <v>0</v>
      </c>
      <c r="I1386" s="72"/>
      <c r="K1386" s="3"/>
      <c r="L1386" s="3"/>
      <c r="M1386" s="3"/>
      <c r="N1386" s="3"/>
      <c r="O1386" s="3"/>
      <c r="P1386" s="50" t="s">
        <v>50</v>
      </c>
    </row>
    <row r="1387" spans="1:16" ht="16.5" thickBot="1" x14ac:dyDescent="0.3">
      <c r="A1387" s="364"/>
      <c r="B1387" s="367"/>
      <c r="C1387" s="225" t="s">
        <v>47</v>
      </c>
      <c r="D1387" s="223"/>
      <c r="E1387" s="85"/>
      <c r="F1387" s="224"/>
      <c r="G1387" s="224"/>
      <c r="H1387" s="85">
        <f>F1387*D1387</f>
        <v>0</v>
      </c>
      <c r="I1387" s="86"/>
      <c r="K1387" s="214" t="e">
        <f>K1386/SUM(K1386:O1386)*I1388</f>
        <v>#DIV/0!</v>
      </c>
      <c r="L1387" s="214" t="e">
        <f>L1386/SUM(K1386:O1386)*$I1388</f>
        <v>#DIV/0!</v>
      </c>
      <c r="M1387" s="214" t="e">
        <f>M1386/SUM(K1386:O1386)*$I1388</f>
        <v>#DIV/0!</v>
      </c>
      <c r="N1387" s="214" t="e">
        <f>N1386/SUM(K1386:O1386)*$I1388</f>
        <v>#DIV/0!</v>
      </c>
      <c r="O1387" s="214" t="e">
        <f>O1386/SUM(K1386:O1386)*$I1388</f>
        <v>#DIV/0!</v>
      </c>
      <c r="P1387" s="50" t="s">
        <v>90</v>
      </c>
    </row>
    <row r="1388" spans="1:16" ht="16.5" thickTop="1" x14ac:dyDescent="0.25">
      <c r="A1388" s="365"/>
      <c r="B1388" s="368"/>
      <c r="C1388" s="9"/>
      <c r="D1388" s="9"/>
      <c r="E1388" s="64"/>
      <c r="F1388" s="222"/>
      <c r="G1388" s="222"/>
      <c r="H1388" s="64">
        <f>SUM(H1384:H1387)</f>
        <v>0</v>
      </c>
      <c r="I1388" s="74">
        <f>H1388*I$6*I$5</f>
        <v>0</v>
      </c>
    </row>
    <row r="1390" spans="1:16" ht="15.6" customHeight="1" x14ac:dyDescent="0.25">
      <c r="A1390" s="363">
        <f>A1384+1</f>
        <v>45745</v>
      </c>
      <c r="B1390" s="366" t="s">
        <v>0</v>
      </c>
      <c r="C1390" s="57" t="s">
        <v>72</v>
      </c>
      <c r="D1390" s="7"/>
      <c r="E1390" s="49"/>
      <c r="F1390" s="48">
        <v>1</v>
      </c>
      <c r="G1390" s="227"/>
      <c r="H1390" s="49">
        <f>F1390*D1390*G1390</f>
        <v>0</v>
      </c>
      <c r="I1390" s="55"/>
      <c r="K1390" s="369" t="s">
        <v>23</v>
      </c>
      <c r="L1390" s="370"/>
      <c r="M1390" s="370"/>
      <c r="N1390" s="370"/>
      <c r="O1390" s="371"/>
    </row>
    <row r="1391" spans="1:16" ht="15.6" customHeight="1" x14ac:dyDescent="0.25">
      <c r="A1391" s="364"/>
      <c r="B1391" s="367"/>
      <c r="C1391" s="21" t="s">
        <v>73</v>
      </c>
      <c r="E1391" s="17"/>
      <c r="F1391" s="16">
        <v>1</v>
      </c>
      <c r="G1391" s="228"/>
      <c r="H1391" s="17">
        <f>F1391*D1391*G1391</f>
        <v>0</v>
      </c>
      <c r="I1391" s="72"/>
      <c r="K1391" s="47" t="s">
        <v>27</v>
      </c>
      <c r="L1391" s="47" t="s">
        <v>12</v>
      </c>
      <c r="M1391" s="47" t="s">
        <v>87</v>
      </c>
      <c r="N1391" s="47" t="s">
        <v>28</v>
      </c>
      <c r="O1391" s="28" t="s">
        <v>86</v>
      </c>
      <c r="P1391" s="17"/>
    </row>
    <row r="1392" spans="1:16" x14ac:dyDescent="0.25">
      <c r="A1392" s="364"/>
      <c r="B1392" s="367"/>
      <c r="E1392" s="17"/>
      <c r="F1392" s="16">
        <v>1</v>
      </c>
      <c r="G1392" s="228"/>
      <c r="H1392" s="17">
        <f>F1392*D1392</f>
        <v>0</v>
      </c>
      <c r="I1392" s="72"/>
      <c r="K1392" s="3"/>
      <c r="L1392" s="3"/>
      <c r="M1392" s="3"/>
      <c r="N1392" s="3"/>
      <c r="O1392" s="3"/>
      <c r="P1392" s="50" t="s">
        <v>50</v>
      </c>
    </row>
    <row r="1393" spans="1:16" ht="16.5" thickBot="1" x14ac:dyDescent="0.3">
      <c r="A1393" s="364"/>
      <c r="B1393" s="367"/>
      <c r="C1393" s="225" t="s">
        <v>47</v>
      </c>
      <c r="D1393" s="223"/>
      <c r="E1393" s="85"/>
      <c r="F1393" s="224">
        <v>1</v>
      </c>
      <c r="G1393" s="224"/>
      <c r="H1393" s="85">
        <f>F1393*D1393</f>
        <v>0</v>
      </c>
      <c r="I1393" s="86"/>
      <c r="K1393" s="214" t="e">
        <f>K1392/SUM(K1392:O1392)*I1394</f>
        <v>#DIV/0!</v>
      </c>
      <c r="L1393" s="214" t="e">
        <f>L1392/SUM(K1392:O1392)*$I1394</f>
        <v>#DIV/0!</v>
      </c>
      <c r="M1393" s="214" t="e">
        <f>M1392/SUM(K1392:O1392)*$I1394</f>
        <v>#DIV/0!</v>
      </c>
      <c r="N1393" s="214" t="e">
        <f>N1392/SUM(K1392:O1392)*$I1394</f>
        <v>#DIV/0!</v>
      </c>
      <c r="O1393" s="214" t="e">
        <f>O1392/SUM(K1392:O1392)*$I1394</f>
        <v>#DIV/0!</v>
      </c>
      <c r="P1393" s="50" t="s">
        <v>90</v>
      </c>
    </row>
    <row r="1394" spans="1:16" ht="16.5" thickTop="1" x14ac:dyDescent="0.25">
      <c r="A1394" s="365"/>
      <c r="B1394" s="368"/>
      <c r="C1394" s="9"/>
      <c r="D1394" s="9"/>
      <c r="E1394" s="64"/>
      <c r="F1394" s="222"/>
      <c r="G1394" s="222"/>
      <c r="H1394" s="64">
        <f>SUM(H1390:H1393)</f>
        <v>0</v>
      </c>
      <c r="I1394" s="74">
        <f>H1394*I$6*I$5</f>
        <v>0</v>
      </c>
    </row>
    <row r="1396" spans="1:16" x14ac:dyDescent="0.25">
      <c r="A1396" s="363">
        <f>A1390+1</f>
        <v>45746</v>
      </c>
      <c r="B1396" s="366" t="s">
        <v>1</v>
      </c>
      <c r="C1396" s="57" t="s">
        <v>72</v>
      </c>
      <c r="D1396" s="7"/>
      <c r="E1396" s="49"/>
      <c r="F1396" s="48">
        <v>1</v>
      </c>
      <c r="G1396" s="227"/>
      <c r="H1396" s="49">
        <f>F1396*D1396*G1396</f>
        <v>0</v>
      </c>
      <c r="I1396" s="55"/>
      <c r="K1396" s="369" t="s">
        <v>23</v>
      </c>
      <c r="L1396" s="370"/>
      <c r="M1396" s="370"/>
      <c r="N1396" s="370"/>
      <c r="O1396" s="371"/>
    </row>
    <row r="1397" spans="1:16" x14ac:dyDescent="0.25">
      <c r="A1397" s="364"/>
      <c r="B1397" s="367"/>
      <c r="C1397" s="21" t="s">
        <v>73</v>
      </c>
      <c r="E1397" s="17"/>
      <c r="F1397" s="16">
        <v>1</v>
      </c>
      <c r="G1397" s="228"/>
      <c r="H1397" s="17">
        <f>F1397*D1397*G1397</f>
        <v>0</v>
      </c>
      <c r="I1397" s="72"/>
      <c r="K1397" s="47" t="s">
        <v>27</v>
      </c>
      <c r="L1397" s="47" t="s">
        <v>12</v>
      </c>
      <c r="M1397" s="47" t="s">
        <v>87</v>
      </c>
      <c r="N1397" s="47" t="s">
        <v>28</v>
      </c>
      <c r="O1397" s="28" t="s">
        <v>86</v>
      </c>
      <c r="P1397" s="17"/>
    </row>
    <row r="1398" spans="1:16" x14ac:dyDescent="0.25">
      <c r="A1398" s="364"/>
      <c r="B1398" s="367"/>
      <c r="E1398" s="17"/>
      <c r="F1398" s="16">
        <v>1</v>
      </c>
      <c r="G1398" s="228"/>
      <c r="H1398" s="17">
        <f>F1398*D1398</f>
        <v>0</v>
      </c>
      <c r="I1398" s="72"/>
      <c r="K1398" s="3"/>
      <c r="L1398" s="3"/>
      <c r="M1398" s="3"/>
      <c r="N1398" s="3"/>
      <c r="O1398" s="3"/>
      <c r="P1398" s="50" t="s">
        <v>50</v>
      </c>
    </row>
    <row r="1399" spans="1:16" ht="16.5" thickBot="1" x14ac:dyDescent="0.3">
      <c r="A1399" s="364"/>
      <c r="B1399" s="367"/>
      <c r="C1399" s="225" t="s">
        <v>47</v>
      </c>
      <c r="D1399" s="223"/>
      <c r="E1399" s="85"/>
      <c r="F1399" s="224">
        <v>1</v>
      </c>
      <c r="G1399" s="224"/>
      <c r="H1399" s="85">
        <f>F1399*D1399</f>
        <v>0</v>
      </c>
      <c r="I1399" s="86"/>
      <c r="K1399" s="214" t="e">
        <f>K1398/SUM(K1398:O1398)*I1400</f>
        <v>#DIV/0!</v>
      </c>
      <c r="L1399" s="214" t="e">
        <f>L1398/SUM(K1398:O1398)*$I1400</f>
        <v>#DIV/0!</v>
      </c>
      <c r="M1399" s="214" t="e">
        <f>M1398/SUM(K1398:O1398)*$I1400</f>
        <v>#DIV/0!</v>
      </c>
      <c r="N1399" s="214" t="e">
        <f>N1398/SUM(K1398:O1398)*$I1400</f>
        <v>#DIV/0!</v>
      </c>
      <c r="O1399" s="214" t="e">
        <f>O1398/SUM(K1398:O1398)*$I1400</f>
        <v>#DIV/0!</v>
      </c>
      <c r="P1399" s="50" t="s">
        <v>90</v>
      </c>
    </row>
    <row r="1400" spans="1:16" ht="16.5" thickTop="1" x14ac:dyDescent="0.25">
      <c r="A1400" s="365"/>
      <c r="B1400" s="368"/>
      <c r="C1400" s="9"/>
      <c r="D1400" s="9"/>
      <c r="E1400" s="64"/>
      <c r="F1400" s="222"/>
      <c r="G1400" s="222"/>
      <c r="H1400" s="64">
        <f>SUM(H1396:H1399)</f>
        <v>0</v>
      </c>
      <c r="I1400" s="74">
        <f>H1400*I$6*I$5</f>
        <v>0</v>
      </c>
    </row>
    <row r="1401" spans="1:16" x14ac:dyDescent="0.25">
      <c r="B1401" s="9"/>
    </row>
    <row r="1402" spans="1:16" x14ac:dyDescent="0.25">
      <c r="A1402" s="363">
        <f>A1396+1</f>
        <v>45747</v>
      </c>
      <c r="B1402" s="366" t="s">
        <v>25</v>
      </c>
      <c r="C1402" s="57" t="s">
        <v>72</v>
      </c>
      <c r="D1402" s="7"/>
      <c r="E1402" s="49"/>
      <c r="F1402" s="48">
        <v>1</v>
      </c>
      <c r="G1402" s="227"/>
      <c r="H1402" s="49">
        <f>F1402*D1402*G1402</f>
        <v>0</v>
      </c>
      <c r="I1402" s="55"/>
      <c r="K1402" s="369" t="s">
        <v>23</v>
      </c>
      <c r="L1402" s="370"/>
      <c r="M1402" s="370"/>
      <c r="N1402" s="370"/>
      <c r="O1402" s="371"/>
    </row>
    <row r="1403" spans="1:16" x14ac:dyDescent="0.25">
      <c r="A1403" s="364"/>
      <c r="B1403" s="367"/>
      <c r="C1403" s="21" t="s">
        <v>73</v>
      </c>
      <c r="E1403" s="17"/>
      <c r="F1403" s="16">
        <v>1</v>
      </c>
      <c r="G1403" s="228"/>
      <c r="H1403" s="17">
        <f>F1403*D1403*G1403</f>
        <v>0</v>
      </c>
      <c r="I1403" s="72"/>
      <c r="K1403" s="47" t="s">
        <v>27</v>
      </c>
      <c r="L1403" s="47" t="s">
        <v>12</v>
      </c>
      <c r="M1403" s="47" t="s">
        <v>87</v>
      </c>
      <c r="N1403" s="47" t="s">
        <v>28</v>
      </c>
      <c r="O1403" s="28" t="s">
        <v>86</v>
      </c>
      <c r="P1403" s="17"/>
    </row>
    <row r="1404" spans="1:16" x14ac:dyDescent="0.25">
      <c r="A1404" s="364"/>
      <c r="B1404" s="367"/>
      <c r="E1404" s="17"/>
      <c r="F1404" s="16">
        <v>1</v>
      </c>
      <c r="G1404" s="228"/>
      <c r="H1404" s="17">
        <f>F1404*D1404</f>
        <v>0</v>
      </c>
      <c r="I1404" s="72"/>
      <c r="K1404" s="3"/>
      <c r="L1404" s="3"/>
      <c r="M1404" s="3"/>
      <c r="N1404" s="3"/>
      <c r="O1404" s="3"/>
      <c r="P1404" s="50" t="s">
        <v>50</v>
      </c>
    </row>
    <row r="1405" spans="1:16" ht="16.5" thickBot="1" x14ac:dyDescent="0.3">
      <c r="A1405" s="364"/>
      <c r="B1405" s="367"/>
      <c r="C1405" s="225" t="s">
        <v>47</v>
      </c>
      <c r="D1405" s="223"/>
      <c r="E1405" s="85"/>
      <c r="F1405" s="224"/>
      <c r="G1405" s="224"/>
      <c r="H1405" s="85">
        <f>F1405*D1405</f>
        <v>0</v>
      </c>
      <c r="I1405" s="86"/>
      <c r="K1405" s="214" t="e">
        <f>K1404/SUM(K1404:O1404)*I1406</f>
        <v>#DIV/0!</v>
      </c>
      <c r="L1405" s="214" t="e">
        <f>L1404/SUM(K1404:O1404)*$I1406</f>
        <v>#DIV/0!</v>
      </c>
      <c r="M1405" s="214" t="e">
        <f>M1404/SUM(K1404:O1404)*$I1406</f>
        <v>#DIV/0!</v>
      </c>
      <c r="N1405" s="214" t="e">
        <f>N1404/SUM(K1404:O1404)*$I1406</f>
        <v>#DIV/0!</v>
      </c>
      <c r="O1405" s="214" t="e">
        <f>O1404/SUM(K1404:O1404)*$I1406</f>
        <v>#DIV/0!</v>
      </c>
      <c r="P1405" s="50" t="s">
        <v>90</v>
      </c>
    </row>
    <row r="1406" spans="1:16" ht="16.5" thickTop="1" x14ac:dyDescent="0.25">
      <c r="A1406" s="365"/>
      <c r="B1406" s="368"/>
      <c r="C1406" s="9"/>
      <c r="D1406" s="9"/>
      <c r="E1406" s="64"/>
      <c r="F1406" s="222"/>
      <c r="G1406" s="222"/>
      <c r="H1406" s="64">
        <f>SUM(H1402:H1405)</f>
        <v>0</v>
      </c>
      <c r="I1406" s="74">
        <f>H1406*I$6*I$5</f>
        <v>0</v>
      </c>
    </row>
    <row r="1408" spans="1:16" x14ac:dyDescent="0.25">
      <c r="A1408" s="363">
        <f>A1402+1</f>
        <v>45748</v>
      </c>
      <c r="B1408" s="366" t="s">
        <v>3</v>
      </c>
      <c r="C1408" s="57" t="s">
        <v>72</v>
      </c>
      <c r="D1408" s="7"/>
      <c r="E1408" s="49"/>
      <c r="F1408" s="48">
        <v>1</v>
      </c>
      <c r="G1408" s="227"/>
      <c r="H1408" s="49">
        <f>F1408*D1408*G1408</f>
        <v>0</v>
      </c>
      <c r="I1408" s="55"/>
      <c r="K1408" s="369" t="s">
        <v>23</v>
      </c>
      <c r="L1408" s="370"/>
      <c r="M1408" s="370"/>
      <c r="N1408" s="370"/>
      <c r="O1408" s="371"/>
    </row>
    <row r="1409" spans="1:16" x14ac:dyDescent="0.25">
      <c r="A1409" s="364"/>
      <c r="B1409" s="367"/>
      <c r="C1409" s="21" t="s">
        <v>73</v>
      </c>
      <c r="E1409" s="17"/>
      <c r="F1409" s="16">
        <v>1</v>
      </c>
      <c r="G1409" s="228"/>
      <c r="H1409" s="17">
        <f>F1409*D1409*G1409</f>
        <v>0</v>
      </c>
      <c r="I1409" s="72"/>
      <c r="K1409" s="47" t="s">
        <v>27</v>
      </c>
      <c r="L1409" s="47" t="s">
        <v>12</v>
      </c>
      <c r="M1409" s="47" t="s">
        <v>87</v>
      </c>
      <c r="N1409" s="47" t="s">
        <v>28</v>
      </c>
      <c r="O1409" s="28" t="s">
        <v>86</v>
      </c>
      <c r="P1409" s="17"/>
    </row>
    <row r="1410" spans="1:16" x14ac:dyDescent="0.25">
      <c r="A1410" s="364"/>
      <c r="B1410" s="367"/>
      <c r="E1410" s="17"/>
      <c r="F1410" s="16">
        <v>1</v>
      </c>
      <c r="G1410" s="228"/>
      <c r="H1410" s="17">
        <f>F1410*D1410</f>
        <v>0</v>
      </c>
      <c r="I1410" s="72"/>
      <c r="K1410" s="3"/>
      <c r="L1410" s="3"/>
      <c r="M1410" s="3"/>
      <c r="N1410" s="3"/>
      <c r="O1410" s="3"/>
      <c r="P1410" s="50" t="s">
        <v>50</v>
      </c>
    </row>
    <row r="1411" spans="1:16" ht="16.5" thickBot="1" x14ac:dyDescent="0.3">
      <c r="A1411" s="364"/>
      <c r="B1411" s="367"/>
      <c r="C1411" s="225" t="s">
        <v>47</v>
      </c>
      <c r="D1411" s="223"/>
      <c r="E1411" s="85"/>
      <c r="F1411" s="224">
        <v>1</v>
      </c>
      <c r="G1411" s="224"/>
      <c r="H1411" s="85">
        <f>F1411*D1411</f>
        <v>0</v>
      </c>
      <c r="I1411" s="86"/>
      <c r="K1411" s="214" t="e">
        <f>K1410/SUM(K1410:O1410)*I1412</f>
        <v>#DIV/0!</v>
      </c>
      <c r="L1411" s="214" t="e">
        <f>L1410/SUM(K1410:O1410)*$I1412</f>
        <v>#DIV/0!</v>
      </c>
      <c r="M1411" s="214" t="e">
        <f>M1410/SUM(K1410:O1410)*$I1412</f>
        <v>#DIV/0!</v>
      </c>
      <c r="N1411" s="214" t="e">
        <f>N1410/SUM(K1410:O1410)*$I1412</f>
        <v>#DIV/0!</v>
      </c>
      <c r="O1411" s="214" t="e">
        <f>O1410/SUM(K1410:O1410)*$I1412</f>
        <v>#DIV/0!</v>
      </c>
      <c r="P1411" s="50" t="s">
        <v>90</v>
      </c>
    </row>
    <row r="1412" spans="1:16" ht="16.5" thickTop="1" x14ac:dyDescent="0.25">
      <c r="A1412" s="365"/>
      <c r="B1412" s="368"/>
      <c r="C1412" s="9"/>
      <c r="D1412" s="9"/>
      <c r="E1412" s="64"/>
      <c r="F1412" s="222"/>
      <c r="G1412" s="222"/>
      <c r="H1412" s="64">
        <f>SUM(H1408:H1411)</f>
        <v>0</v>
      </c>
      <c r="I1412" s="74">
        <f>H1412*I$6*I$5</f>
        <v>0</v>
      </c>
    </row>
    <row r="1414" spans="1:16" x14ac:dyDescent="0.25">
      <c r="A1414" s="363">
        <f>A1408+1</f>
        <v>45749</v>
      </c>
      <c r="B1414" s="366" t="s">
        <v>24</v>
      </c>
      <c r="C1414" s="57" t="s">
        <v>72</v>
      </c>
      <c r="D1414" s="7"/>
      <c r="E1414" s="49"/>
      <c r="F1414" s="48">
        <v>1</v>
      </c>
      <c r="G1414" s="227"/>
      <c r="H1414" s="49">
        <f>F1414*D1414*G1414</f>
        <v>0</v>
      </c>
      <c r="I1414" s="55"/>
      <c r="K1414" s="369" t="s">
        <v>23</v>
      </c>
      <c r="L1414" s="370"/>
      <c r="M1414" s="370"/>
      <c r="N1414" s="370"/>
      <c r="O1414" s="371"/>
    </row>
    <row r="1415" spans="1:16" x14ac:dyDescent="0.25">
      <c r="A1415" s="364"/>
      <c r="B1415" s="367"/>
      <c r="C1415" s="21" t="s">
        <v>73</v>
      </c>
      <c r="E1415" s="17"/>
      <c r="F1415" s="16">
        <v>1</v>
      </c>
      <c r="G1415" s="228"/>
      <c r="H1415" s="17">
        <f>F1415*D1415*G1415</f>
        <v>0</v>
      </c>
      <c r="I1415" s="72"/>
      <c r="K1415" s="47" t="s">
        <v>27</v>
      </c>
      <c r="L1415" s="47" t="s">
        <v>12</v>
      </c>
      <c r="M1415" s="47" t="s">
        <v>87</v>
      </c>
      <c r="N1415" s="47" t="s">
        <v>28</v>
      </c>
      <c r="O1415" s="28" t="s">
        <v>86</v>
      </c>
      <c r="P1415" s="17"/>
    </row>
    <row r="1416" spans="1:16" x14ac:dyDescent="0.25">
      <c r="A1416" s="364"/>
      <c r="B1416" s="367"/>
      <c r="E1416" s="17"/>
      <c r="F1416" s="16">
        <v>1</v>
      </c>
      <c r="G1416" s="228"/>
      <c r="H1416" s="17">
        <f>F1416*D1416</f>
        <v>0</v>
      </c>
      <c r="I1416" s="72"/>
      <c r="K1416" s="3"/>
      <c r="L1416" s="3"/>
      <c r="M1416" s="3"/>
      <c r="N1416" s="3"/>
      <c r="O1416" s="3"/>
      <c r="P1416" s="50" t="s">
        <v>50</v>
      </c>
    </row>
    <row r="1417" spans="1:16" ht="16.5" thickBot="1" x14ac:dyDescent="0.3">
      <c r="A1417" s="364"/>
      <c r="B1417" s="367"/>
      <c r="C1417" s="225" t="s">
        <v>47</v>
      </c>
      <c r="D1417" s="223"/>
      <c r="E1417" s="85"/>
      <c r="F1417" s="224">
        <v>1</v>
      </c>
      <c r="G1417" s="224"/>
      <c r="H1417" s="85">
        <f>F1417*D1417</f>
        <v>0</v>
      </c>
      <c r="I1417" s="86"/>
      <c r="K1417" s="214" t="e">
        <f>K1416/SUM(K1416:O1416)*I1418</f>
        <v>#DIV/0!</v>
      </c>
      <c r="L1417" s="214" t="e">
        <f>L1416/SUM(K1416:O1416)*$I1418</f>
        <v>#DIV/0!</v>
      </c>
      <c r="M1417" s="214" t="e">
        <f>M1416/SUM(K1416:O1416)*$I1418</f>
        <v>#DIV/0!</v>
      </c>
      <c r="N1417" s="214" t="e">
        <f>N1416/SUM(K1416:O1416)*$I1418</f>
        <v>#DIV/0!</v>
      </c>
      <c r="O1417" s="214" t="e">
        <f>O1416/SUM(K1416:O1416)*$I1418</f>
        <v>#DIV/0!</v>
      </c>
      <c r="P1417" s="50" t="s">
        <v>90</v>
      </c>
    </row>
    <row r="1418" spans="1:16" ht="16.5" thickTop="1" x14ac:dyDescent="0.25">
      <c r="A1418" s="365"/>
      <c r="B1418" s="368"/>
      <c r="C1418" s="9"/>
      <c r="D1418" s="9"/>
      <c r="E1418" s="64"/>
      <c r="F1418" s="222"/>
      <c r="G1418" s="222"/>
      <c r="H1418" s="64">
        <f>SUM(H1414:H1417)</f>
        <v>0</v>
      </c>
      <c r="I1418" s="74">
        <f>H1418*I$6*I$5</f>
        <v>0</v>
      </c>
    </row>
    <row r="1420" spans="1:16" x14ac:dyDescent="0.25">
      <c r="A1420" s="363">
        <f>A1414+1</f>
        <v>45750</v>
      </c>
      <c r="B1420" s="366" t="s">
        <v>5</v>
      </c>
      <c r="C1420" s="57" t="s">
        <v>72</v>
      </c>
      <c r="D1420" s="7"/>
      <c r="E1420" s="49"/>
      <c r="F1420" s="48">
        <v>1</v>
      </c>
      <c r="G1420" s="227"/>
      <c r="H1420" s="49">
        <f>F1420*D1420*G1420</f>
        <v>0</v>
      </c>
      <c r="I1420" s="55"/>
      <c r="K1420" s="369" t="s">
        <v>23</v>
      </c>
      <c r="L1420" s="370"/>
      <c r="M1420" s="370"/>
      <c r="N1420" s="370"/>
      <c r="O1420" s="371"/>
    </row>
    <row r="1421" spans="1:16" x14ac:dyDescent="0.25">
      <c r="A1421" s="364"/>
      <c r="B1421" s="367"/>
      <c r="C1421" s="21" t="s">
        <v>73</v>
      </c>
      <c r="E1421" s="17"/>
      <c r="F1421" s="16">
        <v>1</v>
      </c>
      <c r="G1421" s="228"/>
      <c r="H1421" s="17">
        <f>F1421*D1421*G1421</f>
        <v>0</v>
      </c>
      <c r="I1421" s="72"/>
      <c r="K1421" s="47" t="s">
        <v>27</v>
      </c>
      <c r="L1421" s="47" t="s">
        <v>12</v>
      </c>
      <c r="M1421" s="47" t="s">
        <v>87</v>
      </c>
      <c r="N1421" s="47" t="s">
        <v>28</v>
      </c>
      <c r="O1421" s="28" t="s">
        <v>86</v>
      </c>
      <c r="P1421" s="17"/>
    </row>
    <row r="1422" spans="1:16" x14ac:dyDescent="0.25">
      <c r="A1422" s="364"/>
      <c r="B1422" s="367"/>
      <c r="E1422" s="17"/>
      <c r="F1422" s="16">
        <v>1</v>
      </c>
      <c r="G1422" s="228"/>
      <c r="H1422" s="17">
        <f>F1422*D1422</f>
        <v>0</v>
      </c>
      <c r="I1422" s="72"/>
      <c r="K1422" s="3"/>
      <c r="L1422" s="3"/>
      <c r="M1422" s="3"/>
      <c r="N1422" s="3"/>
      <c r="O1422" s="3"/>
      <c r="P1422" s="50" t="s">
        <v>50</v>
      </c>
    </row>
    <row r="1423" spans="1:16" ht="16.5" thickBot="1" x14ac:dyDescent="0.3">
      <c r="A1423" s="364"/>
      <c r="B1423" s="367"/>
      <c r="C1423" s="225" t="s">
        <v>47</v>
      </c>
      <c r="D1423" s="223"/>
      <c r="E1423" s="85"/>
      <c r="F1423" s="224"/>
      <c r="G1423" s="224"/>
      <c r="H1423" s="85">
        <f>F1423*D1423</f>
        <v>0</v>
      </c>
      <c r="I1423" s="86"/>
      <c r="K1423" s="214" t="e">
        <f>K1422/SUM(K1422:O1422)*I1424</f>
        <v>#DIV/0!</v>
      </c>
      <c r="L1423" s="214" t="e">
        <f>L1422/SUM(K1422:O1422)*$I1424</f>
        <v>#DIV/0!</v>
      </c>
      <c r="M1423" s="214" t="e">
        <f>M1422/SUM(K1422:O1422)*$I1424</f>
        <v>#DIV/0!</v>
      </c>
      <c r="N1423" s="214" t="e">
        <f>N1422/SUM(K1422:O1422)*$I1424</f>
        <v>#DIV/0!</v>
      </c>
      <c r="O1423" s="214" t="e">
        <f>O1422/SUM(K1422:O1422)*$I1424</f>
        <v>#DIV/0!</v>
      </c>
      <c r="P1423" s="50" t="s">
        <v>90</v>
      </c>
    </row>
    <row r="1424" spans="1:16" ht="16.5" thickTop="1" x14ac:dyDescent="0.25">
      <c r="A1424" s="365"/>
      <c r="B1424" s="368"/>
      <c r="C1424" s="9"/>
      <c r="D1424" s="9"/>
      <c r="E1424" s="64"/>
      <c r="F1424" s="222"/>
      <c r="G1424" s="222"/>
      <c r="H1424" s="64">
        <f>SUM(H1420:H1423)</f>
        <v>0</v>
      </c>
      <c r="I1424" s="74">
        <f>H1424*I$6*I$5</f>
        <v>0</v>
      </c>
    </row>
    <row r="1426" spans="1:16" x14ac:dyDescent="0.25">
      <c r="A1426" s="363">
        <f>A1420+1</f>
        <v>45751</v>
      </c>
      <c r="B1426" s="366" t="s">
        <v>6</v>
      </c>
      <c r="C1426" s="57" t="s">
        <v>72</v>
      </c>
      <c r="D1426" s="7"/>
      <c r="E1426" s="49"/>
      <c r="F1426" s="48">
        <v>1</v>
      </c>
      <c r="G1426" s="227"/>
      <c r="H1426" s="49">
        <f>F1426*D1426*G1426</f>
        <v>0</v>
      </c>
      <c r="I1426" s="55"/>
      <c r="K1426" s="369" t="s">
        <v>23</v>
      </c>
      <c r="L1426" s="370"/>
      <c r="M1426" s="370"/>
      <c r="N1426" s="370"/>
      <c r="O1426" s="371"/>
    </row>
    <row r="1427" spans="1:16" x14ac:dyDescent="0.25">
      <c r="A1427" s="364"/>
      <c r="B1427" s="367"/>
      <c r="C1427" s="21" t="s">
        <v>73</v>
      </c>
      <c r="E1427" s="17"/>
      <c r="F1427" s="16">
        <v>1</v>
      </c>
      <c r="G1427" s="228"/>
      <c r="H1427" s="17">
        <f>F1427*D1427*G1427</f>
        <v>0</v>
      </c>
      <c r="I1427" s="72"/>
      <c r="K1427" s="47" t="s">
        <v>27</v>
      </c>
      <c r="L1427" s="47" t="s">
        <v>12</v>
      </c>
      <c r="M1427" s="47" t="s">
        <v>87</v>
      </c>
      <c r="N1427" s="47" t="s">
        <v>28</v>
      </c>
      <c r="O1427" s="28" t="s">
        <v>86</v>
      </c>
      <c r="P1427" s="17"/>
    </row>
    <row r="1428" spans="1:16" x14ac:dyDescent="0.25">
      <c r="A1428" s="364"/>
      <c r="B1428" s="367"/>
      <c r="E1428" s="17"/>
      <c r="F1428" s="16">
        <v>1</v>
      </c>
      <c r="G1428" s="228"/>
      <c r="H1428" s="17">
        <f>F1428*D1428</f>
        <v>0</v>
      </c>
      <c r="I1428" s="72"/>
      <c r="K1428" s="3"/>
      <c r="L1428" s="3"/>
      <c r="M1428" s="3"/>
      <c r="N1428" s="3"/>
      <c r="O1428" s="3"/>
      <c r="P1428" s="50" t="s">
        <v>50</v>
      </c>
    </row>
    <row r="1429" spans="1:16" ht="16.5" thickBot="1" x14ac:dyDescent="0.3">
      <c r="A1429" s="364"/>
      <c r="B1429" s="367"/>
      <c r="C1429" s="225" t="s">
        <v>47</v>
      </c>
      <c r="D1429" s="223"/>
      <c r="E1429" s="85"/>
      <c r="F1429" s="224">
        <v>1</v>
      </c>
      <c r="G1429" s="224"/>
      <c r="H1429" s="85">
        <f>F1429*D1429</f>
        <v>0</v>
      </c>
      <c r="I1429" s="86"/>
      <c r="K1429" s="214" t="e">
        <f>K1428/SUM(K1428:O1428)*I1430</f>
        <v>#DIV/0!</v>
      </c>
      <c r="L1429" s="214" t="e">
        <f>L1428/SUM(K1428:O1428)*$I1430</f>
        <v>#DIV/0!</v>
      </c>
      <c r="M1429" s="214" t="e">
        <f>M1428/SUM(K1428:O1428)*$I1430</f>
        <v>#DIV/0!</v>
      </c>
      <c r="N1429" s="214" t="e">
        <f>N1428/SUM(K1428:O1428)*$I1430</f>
        <v>#DIV/0!</v>
      </c>
      <c r="O1429" s="214" t="e">
        <f>O1428/SUM(K1428:O1428)*$I1430</f>
        <v>#DIV/0!</v>
      </c>
      <c r="P1429" s="50" t="s">
        <v>90</v>
      </c>
    </row>
    <row r="1430" spans="1:16" ht="16.5" thickTop="1" x14ac:dyDescent="0.25">
      <c r="A1430" s="365"/>
      <c r="B1430" s="368"/>
      <c r="C1430" s="9"/>
      <c r="D1430" s="9"/>
      <c r="E1430" s="64"/>
      <c r="F1430" s="222"/>
      <c r="G1430" s="222"/>
      <c r="H1430" s="64">
        <f>SUM(H1426:H1429)</f>
        <v>0</v>
      </c>
      <c r="I1430" s="74">
        <f>H1430*I$6*I$5</f>
        <v>0</v>
      </c>
    </row>
    <row r="1432" spans="1:16" x14ac:dyDescent="0.25">
      <c r="A1432" s="363">
        <f>A1426+1</f>
        <v>45752</v>
      </c>
      <c r="B1432" s="366" t="s">
        <v>0</v>
      </c>
      <c r="C1432" s="57" t="s">
        <v>72</v>
      </c>
      <c r="D1432" s="7"/>
      <c r="E1432" s="49"/>
      <c r="F1432" s="48">
        <v>1</v>
      </c>
      <c r="G1432" s="227"/>
      <c r="H1432" s="49">
        <f>F1432*D1432*G1432</f>
        <v>0</v>
      </c>
      <c r="I1432" s="55"/>
      <c r="K1432" s="369" t="s">
        <v>23</v>
      </c>
      <c r="L1432" s="370"/>
      <c r="M1432" s="370"/>
      <c r="N1432" s="370"/>
      <c r="O1432" s="371"/>
    </row>
    <row r="1433" spans="1:16" x14ac:dyDescent="0.25">
      <c r="A1433" s="364"/>
      <c r="B1433" s="367"/>
      <c r="C1433" s="21" t="s">
        <v>73</v>
      </c>
      <c r="E1433" s="17"/>
      <c r="F1433" s="16">
        <v>1</v>
      </c>
      <c r="G1433" s="228"/>
      <c r="H1433" s="17">
        <f>F1433*D1433*G1433</f>
        <v>0</v>
      </c>
      <c r="I1433" s="72"/>
      <c r="K1433" s="47" t="s">
        <v>27</v>
      </c>
      <c r="L1433" s="47" t="s">
        <v>12</v>
      </c>
      <c r="M1433" s="47" t="s">
        <v>87</v>
      </c>
      <c r="N1433" s="47" t="s">
        <v>28</v>
      </c>
      <c r="O1433" s="28" t="s">
        <v>86</v>
      </c>
      <c r="P1433" s="17"/>
    </row>
    <row r="1434" spans="1:16" x14ac:dyDescent="0.25">
      <c r="A1434" s="364"/>
      <c r="B1434" s="367"/>
      <c r="E1434" s="17"/>
      <c r="F1434" s="16">
        <v>1</v>
      </c>
      <c r="G1434" s="228"/>
      <c r="H1434" s="17">
        <f>F1434*D1434</f>
        <v>0</v>
      </c>
      <c r="I1434" s="72"/>
      <c r="K1434" s="3"/>
      <c r="L1434" s="3"/>
      <c r="M1434" s="3"/>
      <c r="N1434" s="3"/>
      <c r="O1434" s="3"/>
      <c r="P1434" s="50" t="s">
        <v>50</v>
      </c>
    </row>
    <row r="1435" spans="1:16" ht="16.5" thickBot="1" x14ac:dyDescent="0.3">
      <c r="A1435" s="364"/>
      <c r="B1435" s="367"/>
      <c r="C1435" s="225" t="s">
        <v>47</v>
      </c>
      <c r="D1435" s="223"/>
      <c r="E1435" s="85"/>
      <c r="F1435" s="224">
        <v>1</v>
      </c>
      <c r="G1435" s="224"/>
      <c r="H1435" s="85">
        <f>F1435*D1435</f>
        <v>0</v>
      </c>
      <c r="I1435" s="86"/>
      <c r="K1435" s="214" t="e">
        <f>K1434/SUM(K1434:O1434)*I1436</f>
        <v>#DIV/0!</v>
      </c>
      <c r="L1435" s="214" t="e">
        <f>L1434/SUM(K1434:O1434)*$I1436</f>
        <v>#DIV/0!</v>
      </c>
      <c r="M1435" s="214" t="e">
        <f>M1434/SUM(K1434:O1434)*$I1436</f>
        <v>#DIV/0!</v>
      </c>
      <c r="N1435" s="214" t="e">
        <f>N1434/SUM(K1434:O1434)*$I1436</f>
        <v>#DIV/0!</v>
      </c>
      <c r="O1435" s="214" t="e">
        <f>O1434/SUM(K1434:O1434)*$I1436</f>
        <v>#DIV/0!</v>
      </c>
      <c r="P1435" s="50" t="s">
        <v>90</v>
      </c>
    </row>
    <row r="1436" spans="1:16" ht="16.5" thickTop="1" x14ac:dyDescent="0.25">
      <c r="A1436" s="365"/>
      <c r="B1436" s="368"/>
      <c r="C1436" s="9"/>
      <c r="D1436" s="9"/>
      <c r="E1436" s="64"/>
      <c r="F1436" s="222"/>
      <c r="G1436" s="222"/>
      <c r="H1436" s="64">
        <f>SUM(H1432:H1435)</f>
        <v>0</v>
      </c>
      <c r="I1436" s="74">
        <f>H1436*I$6*I$5</f>
        <v>0</v>
      </c>
    </row>
    <row r="1438" spans="1:16" x14ac:dyDescent="0.25">
      <c r="A1438" s="363">
        <f>A1432+1</f>
        <v>45753</v>
      </c>
      <c r="B1438" s="366" t="s">
        <v>1</v>
      </c>
      <c r="C1438" s="57" t="s">
        <v>72</v>
      </c>
      <c r="D1438" s="7"/>
      <c r="E1438" s="49"/>
      <c r="F1438" s="48">
        <v>1</v>
      </c>
      <c r="G1438" s="227"/>
      <c r="H1438" s="49">
        <f>F1438*D1438*G1438</f>
        <v>0</v>
      </c>
      <c r="I1438" s="55"/>
      <c r="K1438" s="369" t="s">
        <v>23</v>
      </c>
      <c r="L1438" s="370"/>
      <c r="M1438" s="370"/>
      <c r="N1438" s="370"/>
      <c r="O1438" s="371"/>
    </row>
    <row r="1439" spans="1:16" x14ac:dyDescent="0.25">
      <c r="A1439" s="364"/>
      <c r="B1439" s="367"/>
      <c r="C1439" s="21" t="s">
        <v>73</v>
      </c>
      <c r="E1439" s="17"/>
      <c r="F1439" s="16">
        <v>1</v>
      </c>
      <c r="G1439" s="228"/>
      <c r="H1439" s="17">
        <f>F1439*D1439*G1439</f>
        <v>0</v>
      </c>
      <c r="I1439" s="72"/>
      <c r="K1439" s="47" t="s">
        <v>27</v>
      </c>
      <c r="L1439" s="47" t="s">
        <v>12</v>
      </c>
      <c r="M1439" s="47" t="s">
        <v>87</v>
      </c>
      <c r="N1439" s="47" t="s">
        <v>28</v>
      </c>
      <c r="O1439" s="28" t="s">
        <v>86</v>
      </c>
      <c r="P1439" s="17"/>
    </row>
    <row r="1440" spans="1:16" x14ac:dyDescent="0.25">
      <c r="A1440" s="364"/>
      <c r="B1440" s="367"/>
      <c r="E1440" s="17"/>
      <c r="F1440" s="16">
        <v>1</v>
      </c>
      <c r="G1440" s="228"/>
      <c r="H1440" s="17">
        <f>F1440*D1440</f>
        <v>0</v>
      </c>
      <c r="I1440" s="72"/>
      <c r="K1440" s="3"/>
      <c r="L1440" s="3"/>
      <c r="M1440" s="3"/>
      <c r="N1440" s="3"/>
      <c r="O1440" s="3"/>
      <c r="P1440" s="50" t="s">
        <v>50</v>
      </c>
    </row>
    <row r="1441" spans="1:16" ht="16.5" thickBot="1" x14ac:dyDescent="0.3">
      <c r="A1441" s="364"/>
      <c r="B1441" s="367"/>
      <c r="C1441" s="225" t="s">
        <v>47</v>
      </c>
      <c r="D1441" s="223"/>
      <c r="E1441" s="85"/>
      <c r="F1441" s="224">
        <v>1</v>
      </c>
      <c r="G1441" s="224"/>
      <c r="H1441" s="85">
        <f>F1441*D1441</f>
        <v>0</v>
      </c>
      <c r="I1441" s="86"/>
      <c r="K1441" s="214" t="e">
        <f>K1440/SUM(K1440:O1440)*I1442</f>
        <v>#DIV/0!</v>
      </c>
      <c r="L1441" s="214" t="e">
        <f>L1440/SUM(K1440:O1440)*$I1442</f>
        <v>#DIV/0!</v>
      </c>
      <c r="M1441" s="214" t="e">
        <f>M1440/SUM(K1440:O1440)*$I1442</f>
        <v>#DIV/0!</v>
      </c>
      <c r="N1441" s="214" t="e">
        <f>N1440/SUM(K1440:O1440)*$I1442</f>
        <v>#DIV/0!</v>
      </c>
      <c r="O1441" s="214" t="e">
        <f>O1440/SUM(K1440:O1440)*$I1442</f>
        <v>#DIV/0!</v>
      </c>
      <c r="P1441" s="50" t="s">
        <v>90</v>
      </c>
    </row>
    <row r="1442" spans="1:16" ht="16.5" thickTop="1" x14ac:dyDescent="0.25">
      <c r="A1442" s="365"/>
      <c r="B1442" s="368"/>
      <c r="C1442" s="9"/>
      <c r="D1442" s="9"/>
      <c r="E1442" s="64"/>
      <c r="F1442" s="222"/>
      <c r="G1442" s="222"/>
      <c r="H1442" s="64">
        <f>SUM(H1438:H1441)</f>
        <v>0</v>
      </c>
      <c r="I1442" s="74">
        <f>H1442*I$6*I$5</f>
        <v>0</v>
      </c>
    </row>
    <row r="1443" spans="1:16" x14ac:dyDescent="0.25">
      <c r="B1443" s="9"/>
    </row>
    <row r="1444" spans="1:16" x14ac:dyDescent="0.25">
      <c r="A1444" s="363">
        <f>A1438+1</f>
        <v>45754</v>
      </c>
      <c r="B1444" s="366" t="s">
        <v>25</v>
      </c>
      <c r="C1444" s="57" t="s">
        <v>72</v>
      </c>
      <c r="D1444" s="7"/>
      <c r="E1444" s="49"/>
      <c r="F1444" s="48">
        <v>1</v>
      </c>
      <c r="G1444" s="227"/>
      <c r="H1444" s="49">
        <f>F1444*D1444*G1444</f>
        <v>0</v>
      </c>
      <c r="I1444" s="55"/>
      <c r="K1444" s="369" t="s">
        <v>23</v>
      </c>
      <c r="L1444" s="370"/>
      <c r="M1444" s="370"/>
      <c r="N1444" s="370"/>
      <c r="O1444" s="371"/>
    </row>
    <row r="1445" spans="1:16" x14ac:dyDescent="0.25">
      <c r="A1445" s="364"/>
      <c r="B1445" s="367"/>
      <c r="C1445" s="21" t="s">
        <v>73</v>
      </c>
      <c r="E1445" s="17"/>
      <c r="F1445" s="16">
        <v>1</v>
      </c>
      <c r="G1445" s="228"/>
      <c r="H1445" s="17">
        <f>F1445*D1445*G1445</f>
        <v>0</v>
      </c>
      <c r="I1445" s="72"/>
      <c r="K1445" s="47" t="s">
        <v>27</v>
      </c>
      <c r="L1445" s="47" t="s">
        <v>12</v>
      </c>
      <c r="M1445" s="47" t="s">
        <v>87</v>
      </c>
      <c r="N1445" s="47" t="s">
        <v>28</v>
      </c>
      <c r="O1445" s="28" t="s">
        <v>86</v>
      </c>
      <c r="P1445" s="17"/>
    </row>
    <row r="1446" spans="1:16" x14ac:dyDescent="0.25">
      <c r="A1446" s="364"/>
      <c r="B1446" s="367"/>
      <c r="E1446" s="17"/>
      <c r="F1446" s="16">
        <v>1</v>
      </c>
      <c r="G1446" s="228"/>
      <c r="H1446" s="17">
        <f>F1446*D1446</f>
        <v>0</v>
      </c>
      <c r="I1446" s="72"/>
      <c r="K1446" s="3"/>
      <c r="L1446" s="3">
        <v>2</v>
      </c>
      <c r="M1446" s="3"/>
      <c r="N1446" s="3"/>
      <c r="O1446" s="3"/>
      <c r="P1446" s="50" t="s">
        <v>50</v>
      </c>
    </row>
    <row r="1447" spans="1:16" ht="16.5" thickBot="1" x14ac:dyDescent="0.3">
      <c r="A1447" s="364"/>
      <c r="B1447" s="367"/>
      <c r="C1447" s="225" t="s">
        <v>47</v>
      </c>
      <c r="D1447" s="223"/>
      <c r="E1447" s="85"/>
      <c r="F1447" s="224"/>
      <c r="G1447" s="224"/>
      <c r="H1447" s="85">
        <f>F1447*D1447</f>
        <v>0</v>
      </c>
      <c r="I1447" s="86"/>
      <c r="K1447" s="214">
        <f>K1446/SUM(K1446:O1446)*I1448</f>
        <v>0</v>
      </c>
      <c r="L1447" s="214">
        <f>L1446/SUM(K1446:O1446)*$I1448</f>
        <v>0</v>
      </c>
      <c r="M1447" s="214">
        <f>M1446/SUM(K1446:O1446)*$I1448</f>
        <v>0</v>
      </c>
      <c r="N1447" s="214">
        <f>N1446/SUM(K1446:O1446)*$I1448</f>
        <v>0</v>
      </c>
      <c r="O1447" s="214">
        <f>O1446/SUM(K1446:O1446)*$I1448</f>
        <v>0</v>
      </c>
      <c r="P1447" s="50" t="s">
        <v>90</v>
      </c>
    </row>
    <row r="1448" spans="1:16" ht="16.5" thickTop="1" x14ac:dyDescent="0.25">
      <c r="A1448" s="365"/>
      <c r="B1448" s="368"/>
      <c r="C1448" s="9"/>
      <c r="D1448" s="9"/>
      <c r="E1448" s="64"/>
      <c r="F1448" s="222"/>
      <c r="G1448" s="222"/>
      <c r="H1448" s="64">
        <f>SUM(H1444:H1447)</f>
        <v>0</v>
      </c>
      <c r="I1448" s="74">
        <f>H1448*I$6*I$5</f>
        <v>0</v>
      </c>
    </row>
    <row r="1450" spans="1:16" x14ac:dyDescent="0.25">
      <c r="A1450" s="363">
        <f>A1444+1</f>
        <v>45755</v>
      </c>
      <c r="B1450" s="366" t="s">
        <v>3</v>
      </c>
      <c r="C1450" s="57" t="s">
        <v>72</v>
      </c>
      <c r="D1450" s="7"/>
      <c r="E1450" s="49"/>
      <c r="F1450" s="48">
        <v>1</v>
      </c>
      <c r="G1450" s="227"/>
      <c r="H1450" s="49">
        <f>F1450*D1450*G1450</f>
        <v>0</v>
      </c>
      <c r="I1450" s="55"/>
      <c r="K1450" s="369" t="s">
        <v>23</v>
      </c>
      <c r="L1450" s="370"/>
      <c r="M1450" s="370"/>
      <c r="N1450" s="370"/>
      <c r="O1450" s="371"/>
    </row>
    <row r="1451" spans="1:16" x14ac:dyDescent="0.25">
      <c r="A1451" s="364"/>
      <c r="B1451" s="367"/>
      <c r="C1451" s="21" t="s">
        <v>73</v>
      </c>
      <c r="E1451" s="17"/>
      <c r="F1451" s="16">
        <v>1</v>
      </c>
      <c r="G1451" s="228"/>
      <c r="H1451" s="17">
        <f>F1451*D1451*G1451</f>
        <v>0</v>
      </c>
      <c r="I1451" s="72"/>
      <c r="K1451" s="47" t="s">
        <v>27</v>
      </c>
      <c r="L1451" s="47" t="s">
        <v>12</v>
      </c>
      <c r="M1451" s="47" t="s">
        <v>87</v>
      </c>
      <c r="N1451" s="47" t="s">
        <v>28</v>
      </c>
      <c r="O1451" s="28" t="s">
        <v>86</v>
      </c>
      <c r="P1451" s="17"/>
    </row>
    <row r="1452" spans="1:16" x14ac:dyDescent="0.25">
      <c r="A1452" s="364"/>
      <c r="B1452" s="367"/>
      <c r="E1452" s="17"/>
      <c r="F1452" s="16">
        <v>1</v>
      </c>
      <c r="G1452" s="228"/>
      <c r="H1452" s="17">
        <f>F1452*D1452</f>
        <v>0</v>
      </c>
      <c r="I1452" s="72"/>
      <c r="K1452" s="3"/>
      <c r="L1452" s="3"/>
      <c r="M1452" s="3"/>
      <c r="N1452" s="3"/>
      <c r="O1452" s="3"/>
      <c r="P1452" s="50" t="s">
        <v>50</v>
      </c>
    </row>
    <row r="1453" spans="1:16" ht="16.5" thickBot="1" x14ac:dyDescent="0.3">
      <c r="A1453" s="364"/>
      <c r="B1453" s="367"/>
      <c r="C1453" s="225" t="s">
        <v>47</v>
      </c>
      <c r="D1453" s="223"/>
      <c r="E1453" s="85"/>
      <c r="F1453" s="224">
        <v>1</v>
      </c>
      <c r="G1453" s="224"/>
      <c r="H1453" s="85">
        <f>F1453*D1453</f>
        <v>0</v>
      </c>
      <c r="I1453" s="86"/>
      <c r="K1453" s="214" t="e">
        <f>K1452/SUM(K1452:O1452)*I1454</f>
        <v>#DIV/0!</v>
      </c>
      <c r="L1453" s="214" t="e">
        <f>L1452/SUM(K1452:O1452)*$I1454</f>
        <v>#DIV/0!</v>
      </c>
      <c r="M1453" s="214" t="e">
        <f>M1452/SUM(K1452:O1452)*$I1454</f>
        <v>#DIV/0!</v>
      </c>
      <c r="N1453" s="214" t="e">
        <f>N1452/SUM(K1452:O1452)*$I1454</f>
        <v>#DIV/0!</v>
      </c>
      <c r="O1453" s="214" t="e">
        <f>O1452/SUM(K1452:O1452)*$I1454</f>
        <v>#DIV/0!</v>
      </c>
      <c r="P1453" s="50" t="s">
        <v>90</v>
      </c>
    </row>
    <row r="1454" spans="1:16" ht="16.5" thickTop="1" x14ac:dyDescent="0.25">
      <c r="A1454" s="365"/>
      <c r="B1454" s="368"/>
      <c r="C1454" s="9"/>
      <c r="D1454" s="9"/>
      <c r="E1454" s="64"/>
      <c r="F1454" s="222"/>
      <c r="G1454" s="222"/>
      <c r="H1454" s="64">
        <f>SUM(H1450:H1453)</f>
        <v>0</v>
      </c>
      <c r="I1454" s="74">
        <f>H1454*I$6*I$5</f>
        <v>0</v>
      </c>
    </row>
    <row r="1456" spans="1:16" x14ac:dyDescent="0.25">
      <c r="A1456" s="363">
        <f>A1450+1</f>
        <v>45756</v>
      </c>
      <c r="B1456" s="366" t="s">
        <v>24</v>
      </c>
      <c r="C1456" s="57" t="s">
        <v>72</v>
      </c>
      <c r="D1456" s="7"/>
      <c r="E1456" s="49"/>
      <c r="F1456" s="48">
        <v>1</v>
      </c>
      <c r="G1456" s="227"/>
      <c r="H1456" s="49">
        <f>F1456*D1456*G1456</f>
        <v>0</v>
      </c>
      <c r="I1456" s="55"/>
      <c r="K1456" s="369" t="s">
        <v>23</v>
      </c>
      <c r="L1456" s="370"/>
      <c r="M1456" s="370"/>
      <c r="N1456" s="370"/>
      <c r="O1456" s="371"/>
    </row>
    <row r="1457" spans="1:16" x14ac:dyDescent="0.25">
      <c r="A1457" s="364"/>
      <c r="B1457" s="367"/>
      <c r="C1457" s="21" t="s">
        <v>73</v>
      </c>
      <c r="E1457" s="17"/>
      <c r="F1457" s="16">
        <v>1</v>
      </c>
      <c r="G1457" s="228"/>
      <c r="H1457" s="17">
        <f>F1457*D1457*G1457</f>
        <v>0</v>
      </c>
      <c r="I1457" s="72"/>
      <c r="K1457" s="47" t="s">
        <v>27</v>
      </c>
      <c r="L1457" s="47" t="s">
        <v>12</v>
      </c>
      <c r="M1457" s="47" t="s">
        <v>87</v>
      </c>
      <c r="N1457" s="47" t="s">
        <v>28</v>
      </c>
      <c r="O1457" s="28" t="s">
        <v>86</v>
      </c>
      <c r="P1457" s="17"/>
    </row>
    <row r="1458" spans="1:16" x14ac:dyDescent="0.25">
      <c r="A1458" s="364"/>
      <c r="B1458" s="367"/>
      <c r="E1458" s="17"/>
      <c r="F1458" s="16">
        <v>1</v>
      </c>
      <c r="G1458" s="228"/>
      <c r="H1458" s="17">
        <f>F1458*D1458</f>
        <v>0</v>
      </c>
      <c r="I1458" s="72"/>
      <c r="K1458" s="3"/>
      <c r="L1458" s="3"/>
      <c r="M1458" s="3"/>
      <c r="N1458" s="3"/>
      <c r="O1458" s="3"/>
      <c r="P1458" s="50" t="s">
        <v>50</v>
      </c>
    </row>
    <row r="1459" spans="1:16" ht="16.5" thickBot="1" x14ac:dyDescent="0.3">
      <c r="A1459" s="364"/>
      <c r="B1459" s="367"/>
      <c r="C1459" s="225" t="s">
        <v>47</v>
      </c>
      <c r="D1459" s="223"/>
      <c r="E1459" s="85"/>
      <c r="F1459" s="224">
        <v>1</v>
      </c>
      <c r="G1459" s="224"/>
      <c r="H1459" s="85">
        <f>F1459*D1459</f>
        <v>0</v>
      </c>
      <c r="I1459" s="86"/>
      <c r="K1459" s="214" t="e">
        <f>K1458/SUM(K1458:O1458)*I1460</f>
        <v>#DIV/0!</v>
      </c>
      <c r="L1459" s="214" t="e">
        <f>L1458/SUM(K1458:O1458)*$I1460</f>
        <v>#DIV/0!</v>
      </c>
      <c r="M1459" s="214" t="e">
        <f>M1458/SUM(K1458:O1458)*$I1460</f>
        <v>#DIV/0!</v>
      </c>
      <c r="N1459" s="214" t="e">
        <f>N1458/SUM(K1458:O1458)*$I1460</f>
        <v>#DIV/0!</v>
      </c>
      <c r="O1459" s="214" t="e">
        <f>O1458/SUM(K1458:O1458)*$I1460</f>
        <v>#DIV/0!</v>
      </c>
      <c r="P1459" s="50" t="s">
        <v>90</v>
      </c>
    </row>
    <row r="1460" spans="1:16" ht="16.5" thickTop="1" x14ac:dyDescent="0.25">
      <c r="A1460" s="365"/>
      <c r="B1460" s="368"/>
      <c r="C1460" s="9"/>
      <c r="D1460" s="9"/>
      <c r="E1460" s="64"/>
      <c r="F1460" s="222"/>
      <c r="G1460" s="222"/>
      <c r="H1460" s="64">
        <f>SUM(H1456:H1459)</f>
        <v>0</v>
      </c>
      <c r="I1460" s="74">
        <f>H1460*I$6*I$5</f>
        <v>0</v>
      </c>
    </row>
    <row r="1462" spans="1:16" x14ac:dyDescent="0.25">
      <c r="A1462" s="363">
        <f>A1456+1</f>
        <v>45757</v>
      </c>
      <c r="B1462" s="366" t="s">
        <v>5</v>
      </c>
      <c r="C1462" s="57" t="s">
        <v>72</v>
      </c>
      <c r="D1462" s="7"/>
      <c r="E1462" s="49"/>
      <c r="F1462" s="48">
        <v>1</v>
      </c>
      <c r="G1462" s="227"/>
      <c r="H1462" s="49">
        <f>F1462*D1462*G1462</f>
        <v>0</v>
      </c>
      <c r="I1462" s="55"/>
      <c r="K1462" s="369" t="s">
        <v>23</v>
      </c>
      <c r="L1462" s="370"/>
      <c r="M1462" s="370"/>
      <c r="N1462" s="370"/>
      <c r="O1462" s="371"/>
    </row>
    <row r="1463" spans="1:16" x14ac:dyDescent="0.25">
      <c r="A1463" s="364"/>
      <c r="B1463" s="367"/>
      <c r="C1463" s="21" t="s">
        <v>73</v>
      </c>
      <c r="E1463" s="17"/>
      <c r="F1463" s="16">
        <v>1</v>
      </c>
      <c r="G1463" s="228"/>
      <c r="H1463" s="17">
        <f>F1463*D1463*G1463</f>
        <v>0</v>
      </c>
      <c r="I1463" s="72"/>
      <c r="K1463" s="47" t="s">
        <v>27</v>
      </c>
      <c r="L1463" s="47" t="s">
        <v>12</v>
      </c>
      <c r="M1463" s="47" t="s">
        <v>87</v>
      </c>
      <c r="N1463" s="47" t="s">
        <v>28</v>
      </c>
      <c r="O1463" s="28" t="s">
        <v>86</v>
      </c>
      <c r="P1463" s="17"/>
    </row>
    <row r="1464" spans="1:16" x14ac:dyDescent="0.25">
      <c r="A1464" s="364"/>
      <c r="B1464" s="367"/>
      <c r="E1464" s="17"/>
      <c r="F1464" s="16">
        <v>1</v>
      </c>
      <c r="G1464" s="228"/>
      <c r="H1464" s="17">
        <f>F1464*D1464</f>
        <v>0</v>
      </c>
      <c r="I1464" s="72"/>
      <c r="K1464" s="3"/>
      <c r="L1464" s="3"/>
      <c r="M1464" s="3"/>
      <c r="N1464" s="3"/>
      <c r="O1464" s="3"/>
      <c r="P1464" s="50" t="s">
        <v>50</v>
      </c>
    </row>
    <row r="1465" spans="1:16" ht="16.5" thickBot="1" x14ac:dyDescent="0.3">
      <c r="A1465" s="364"/>
      <c r="B1465" s="367"/>
      <c r="C1465" s="225" t="s">
        <v>47</v>
      </c>
      <c r="D1465" s="223"/>
      <c r="E1465" s="85"/>
      <c r="F1465" s="224"/>
      <c r="G1465" s="224"/>
      <c r="H1465" s="85">
        <f>F1465*D1465</f>
        <v>0</v>
      </c>
      <c r="I1465" s="86"/>
      <c r="K1465" s="214" t="e">
        <f>K1464/SUM(K1464:O1464)*I1466</f>
        <v>#DIV/0!</v>
      </c>
      <c r="L1465" s="214" t="e">
        <f>L1464/SUM(K1464:O1464)*$I1466</f>
        <v>#DIV/0!</v>
      </c>
      <c r="M1465" s="214" t="e">
        <f>M1464/SUM(K1464:O1464)*$I1466</f>
        <v>#DIV/0!</v>
      </c>
      <c r="N1465" s="214" t="e">
        <f>N1464/SUM(K1464:O1464)*$I1466</f>
        <v>#DIV/0!</v>
      </c>
      <c r="O1465" s="214" t="e">
        <f>O1464/SUM(K1464:O1464)*$I1466</f>
        <v>#DIV/0!</v>
      </c>
      <c r="P1465" s="50" t="s">
        <v>90</v>
      </c>
    </row>
    <row r="1466" spans="1:16" ht="16.5" thickTop="1" x14ac:dyDescent="0.25">
      <c r="A1466" s="365"/>
      <c r="B1466" s="368"/>
      <c r="C1466" s="9"/>
      <c r="D1466" s="9"/>
      <c r="E1466" s="64"/>
      <c r="F1466" s="222"/>
      <c r="G1466" s="222"/>
      <c r="H1466" s="64">
        <f>SUM(H1462:H1465)</f>
        <v>0</v>
      </c>
      <c r="I1466" s="74">
        <f>H1466*I$6*I$5</f>
        <v>0</v>
      </c>
    </row>
  </sheetData>
  <mergeCells count="648">
    <mergeCell ref="A1456:A1460"/>
    <mergeCell ref="B1456:B1460"/>
    <mergeCell ref="K1456:O1456"/>
    <mergeCell ref="A1462:A1466"/>
    <mergeCell ref="B1462:B1466"/>
    <mergeCell ref="K1462:O1462"/>
    <mergeCell ref="A1438:A1442"/>
    <mergeCell ref="B1438:B1442"/>
    <mergeCell ref="K1438:O1438"/>
    <mergeCell ref="A1444:A1448"/>
    <mergeCell ref="B1444:B1448"/>
    <mergeCell ref="K1444:O1444"/>
    <mergeCell ref="A1450:A1454"/>
    <mergeCell ref="B1450:B1454"/>
    <mergeCell ref="K1450:O1450"/>
    <mergeCell ref="A1420:A1424"/>
    <mergeCell ref="B1420:B1424"/>
    <mergeCell ref="K1420:O1420"/>
    <mergeCell ref="A1426:A1430"/>
    <mergeCell ref="B1426:B1430"/>
    <mergeCell ref="K1426:O1426"/>
    <mergeCell ref="A1432:A1436"/>
    <mergeCell ref="B1432:B1436"/>
    <mergeCell ref="K1432:O1432"/>
    <mergeCell ref="A1402:A1406"/>
    <mergeCell ref="B1402:B1406"/>
    <mergeCell ref="K1402:O1402"/>
    <mergeCell ref="A1408:A1412"/>
    <mergeCell ref="B1408:B1412"/>
    <mergeCell ref="K1408:O1408"/>
    <mergeCell ref="A1414:A1418"/>
    <mergeCell ref="B1414:B1418"/>
    <mergeCell ref="K1414:O1414"/>
    <mergeCell ref="B1390:B1394"/>
    <mergeCell ref="A1390:A1394"/>
    <mergeCell ref="K1390:O1390"/>
    <mergeCell ref="A1396:A1400"/>
    <mergeCell ref="B1396:B1400"/>
    <mergeCell ref="K1396:O1396"/>
    <mergeCell ref="A802:A806"/>
    <mergeCell ref="B802:B806"/>
    <mergeCell ref="K802:O802"/>
    <mergeCell ref="A808:A812"/>
    <mergeCell ref="B808:B812"/>
    <mergeCell ref="K808:O808"/>
    <mergeCell ref="A814:A818"/>
    <mergeCell ref="B814:B818"/>
    <mergeCell ref="K814:O814"/>
    <mergeCell ref="A820:A824"/>
    <mergeCell ref="B820:B824"/>
    <mergeCell ref="K820:O820"/>
    <mergeCell ref="A826:A830"/>
    <mergeCell ref="B826:B830"/>
    <mergeCell ref="K826:O826"/>
    <mergeCell ref="A832:A836"/>
    <mergeCell ref="B832:B836"/>
    <mergeCell ref="K832:O832"/>
    <mergeCell ref="A784:A788"/>
    <mergeCell ref="B784:B788"/>
    <mergeCell ref="K784:O784"/>
    <mergeCell ref="A790:A794"/>
    <mergeCell ref="B790:B794"/>
    <mergeCell ref="K790:O790"/>
    <mergeCell ref="A796:A800"/>
    <mergeCell ref="B796:B800"/>
    <mergeCell ref="K796:O796"/>
    <mergeCell ref="A766:A770"/>
    <mergeCell ref="B766:B770"/>
    <mergeCell ref="K766:O766"/>
    <mergeCell ref="A772:A776"/>
    <mergeCell ref="B772:B776"/>
    <mergeCell ref="K772:O772"/>
    <mergeCell ref="A778:A782"/>
    <mergeCell ref="B778:B782"/>
    <mergeCell ref="K778:O778"/>
    <mergeCell ref="A748:A752"/>
    <mergeCell ref="B748:B752"/>
    <mergeCell ref="K748:O748"/>
    <mergeCell ref="A754:A758"/>
    <mergeCell ref="B754:B758"/>
    <mergeCell ref="K754:O754"/>
    <mergeCell ref="A760:A764"/>
    <mergeCell ref="B760:B764"/>
    <mergeCell ref="K760:O760"/>
    <mergeCell ref="A730:A734"/>
    <mergeCell ref="B730:B734"/>
    <mergeCell ref="K730:O730"/>
    <mergeCell ref="A736:A740"/>
    <mergeCell ref="B736:B740"/>
    <mergeCell ref="K736:O736"/>
    <mergeCell ref="A742:A746"/>
    <mergeCell ref="B742:B746"/>
    <mergeCell ref="K742:O742"/>
    <mergeCell ref="A712:A716"/>
    <mergeCell ref="B712:B716"/>
    <mergeCell ref="K712:O712"/>
    <mergeCell ref="A718:A722"/>
    <mergeCell ref="B718:B722"/>
    <mergeCell ref="K718:O718"/>
    <mergeCell ref="A724:A728"/>
    <mergeCell ref="B724:B728"/>
    <mergeCell ref="K724:O724"/>
    <mergeCell ref="A694:A698"/>
    <mergeCell ref="B694:B698"/>
    <mergeCell ref="K694:O694"/>
    <mergeCell ref="A700:A704"/>
    <mergeCell ref="B700:B704"/>
    <mergeCell ref="K700:O700"/>
    <mergeCell ref="A706:A710"/>
    <mergeCell ref="B706:B710"/>
    <mergeCell ref="K706:O706"/>
    <mergeCell ref="A676:A680"/>
    <mergeCell ref="B676:B680"/>
    <mergeCell ref="K676:O676"/>
    <mergeCell ref="A682:A686"/>
    <mergeCell ref="B682:B686"/>
    <mergeCell ref="K682:O682"/>
    <mergeCell ref="A688:A692"/>
    <mergeCell ref="B688:B692"/>
    <mergeCell ref="K688:O688"/>
    <mergeCell ref="A658:A662"/>
    <mergeCell ref="B658:B662"/>
    <mergeCell ref="K658:O658"/>
    <mergeCell ref="A664:A668"/>
    <mergeCell ref="B664:B668"/>
    <mergeCell ref="K664:O664"/>
    <mergeCell ref="A670:A674"/>
    <mergeCell ref="B670:B674"/>
    <mergeCell ref="K670:O670"/>
    <mergeCell ref="A640:A644"/>
    <mergeCell ref="B640:B644"/>
    <mergeCell ref="K640:O640"/>
    <mergeCell ref="A646:A650"/>
    <mergeCell ref="B646:B650"/>
    <mergeCell ref="K646:O646"/>
    <mergeCell ref="A652:A656"/>
    <mergeCell ref="B652:B656"/>
    <mergeCell ref="K652:O652"/>
    <mergeCell ref="A622:A626"/>
    <mergeCell ref="B622:B626"/>
    <mergeCell ref="K622:O622"/>
    <mergeCell ref="A628:A632"/>
    <mergeCell ref="B628:B632"/>
    <mergeCell ref="K628:O628"/>
    <mergeCell ref="A634:A638"/>
    <mergeCell ref="B634:B638"/>
    <mergeCell ref="K634:O634"/>
    <mergeCell ref="A604:A608"/>
    <mergeCell ref="B604:B608"/>
    <mergeCell ref="K604:O604"/>
    <mergeCell ref="A610:A614"/>
    <mergeCell ref="B610:B614"/>
    <mergeCell ref="K610:O610"/>
    <mergeCell ref="A616:A620"/>
    <mergeCell ref="B616:B620"/>
    <mergeCell ref="K616:O616"/>
    <mergeCell ref="A484:A488"/>
    <mergeCell ref="B484:B488"/>
    <mergeCell ref="K484:O484"/>
    <mergeCell ref="A490:A494"/>
    <mergeCell ref="B490:B494"/>
    <mergeCell ref="K490:O490"/>
    <mergeCell ref="B496:B500"/>
    <mergeCell ref="B502:B506"/>
    <mergeCell ref="B508:B512"/>
    <mergeCell ref="A496:A500"/>
    <mergeCell ref="K496:O496"/>
    <mergeCell ref="A502:A506"/>
    <mergeCell ref="K502:O502"/>
    <mergeCell ref="A508:A512"/>
    <mergeCell ref="K508:O508"/>
    <mergeCell ref="A466:A470"/>
    <mergeCell ref="B466:B470"/>
    <mergeCell ref="K466:O466"/>
    <mergeCell ref="A472:A476"/>
    <mergeCell ref="B472:B476"/>
    <mergeCell ref="K472:O472"/>
    <mergeCell ref="A478:A482"/>
    <mergeCell ref="B478:B482"/>
    <mergeCell ref="K478:O478"/>
    <mergeCell ref="A448:A452"/>
    <mergeCell ref="B448:B452"/>
    <mergeCell ref="K448:O448"/>
    <mergeCell ref="A454:A458"/>
    <mergeCell ref="B454:B458"/>
    <mergeCell ref="K454:O454"/>
    <mergeCell ref="A460:A464"/>
    <mergeCell ref="B460:B464"/>
    <mergeCell ref="K460:O460"/>
    <mergeCell ref="A430:A434"/>
    <mergeCell ref="B430:B434"/>
    <mergeCell ref="K430:O430"/>
    <mergeCell ref="A436:A440"/>
    <mergeCell ref="B436:B440"/>
    <mergeCell ref="K436:O436"/>
    <mergeCell ref="A442:A446"/>
    <mergeCell ref="B442:B446"/>
    <mergeCell ref="K442:O442"/>
    <mergeCell ref="K210:O210"/>
    <mergeCell ref="K216:O216"/>
    <mergeCell ref="K222:O222"/>
    <mergeCell ref="K228:O228"/>
    <mergeCell ref="K234:O234"/>
    <mergeCell ref="K240:O240"/>
    <mergeCell ref="K246:O246"/>
    <mergeCell ref="K252:O252"/>
    <mergeCell ref="K258:O258"/>
    <mergeCell ref="K156:O156"/>
    <mergeCell ref="K162:O162"/>
    <mergeCell ref="K168:O168"/>
    <mergeCell ref="K174:O174"/>
    <mergeCell ref="K180:O180"/>
    <mergeCell ref="K186:O186"/>
    <mergeCell ref="K192:O192"/>
    <mergeCell ref="K198:O198"/>
    <mergeCell ref="K204:O204"/>
    <mergeCell ref="K102:O102"/>
    <mergeCell ref="K108:O108"/>
    <mergeCell ref="K114:O114"/>
    <mergeCell ref="K120:O120"/>
    <mergeCell ref="K126:O126"/>
    <mergeCell ref="K132:O132"/>
    <mergeCell ref="K138:O138"/>
    <mergeCell ref="K144:O144"/>
    <mergeCell ref="K150:O150"/>
    <mergeCell ref="K48:O48"/>
    <mergeCell ref="K54:O54"/>
    <mergeCell ref="K60:O60"/>
    <mergeCell ref="K66:O66"/>
    <mergeCell ref="K72:O72"/>
    <mergeCell ref="K78:O78"/>
    <mergeCell ref="K84:O84"/>
    <mergeCell ref="K90:O90"/>
    <mergeCell ref="K96:O96"/>
    <mergeCell ref="I8:I9"/>
    <mergeCell ref="H8:H9"/>
    <mergeCell ref="K18:O18"/>
    <mergeCell ref="K24:O24"/>
    <mergeCell ref="K30:O30"/>
    <mergeCell ref="K36:O36"/>
    <mergeCell ref="K8:O8"/>
    <mergeCell ref="K12:O12"/>
    <mergeCell ref="K42:O42"/>
    <mergeCell ref="A274:A278"/>
    <mergeCell ref="B274:B278"/>
    <mergeCell ref="K274:O274"/>
    <mergeCell ref="A280:A284"/>
    <mergeCell ref="B280:B284"/>
    <mergeCell ref="K280:O280"/>
    <mergeCell ref="B262:B266"/>
    <mergeCell ref="A262:A266"/>
    <mergeCell ref="A268:A272"/>
    <mergeCell ref="B268:B272"/>
    <mergeCell ref="K268:O268"/>
    <mergeCell ref="K262:O262"/>
    <mergeCell ref="A298:A302"/>
    <mergeCell ref="B298:B302"/>
    <mergeCell ref="K298:O298"/>
    <mergeCell ref="A304:A308"/>
    <mergeCell ref="B304:B308"/>
    <mergeCell ref="K304:O304"/>
    <mergeCell ref="A286:A290"/>
    <mergeCell ref="B286:B290"/>
    <mergeCell ref="K286:O286"/>
    <mergeCell ref="A292:A296"/>
    <mergeCell ref="B292:B296"/>
    <mergeCell ref="K292:O292"/>
    <mergeCell ref="A322:A326"/>
    <mergeCell ref="B322:B326"/>
    <mergeCell ref="K322:O322"/>
    <mergeCell ref="A328:A332"/>
    <mergeCell ref="B328:B332"/>
    <mergeCell ref="K328:O328"/>
    <mergeCell ref="A310:A314"/>
    <mergeCell ref="B310:B314"/>
    <mergeCell ref="K310:O310"/>
    <mergeCell ref="A316:A320"/>
    <mergeCell ref="B316:B320"/>
    <mergeCell ref="K316:O316"/>
    <mergeCell ref="A346:A350"/>
    <mergeCell ref="B346:B350"/>
    <mergeCell ref="K346:O346"/>
    <mergeCell ref="A352:A356"/>
    <mergeCell ref="B352:B356"/>
    <mergeCell ref="K352:O352"/>
    <mergeCell ref="A334:A338"/>
    <mergeCell ref="B334:B338"/>
    <mergeCell ref="K334:O334"/>
    <mergeCell ref="A340:A344"/>
    <mergeCell ref="B340:B344"/>
    <mergeCell ref="K340:O340"/>
    <mergeCell ref="A370:A374"/>
    <mergeCell ref="B370:B374"/>
    <mergeCell ref="K370:O370"/>
    <mergeCell ref="A376:A380"/>
    <mergeCell ref="B376:B380"/>
    <mergeCell ref="K376:O376"/>
    <mergeCell ref="A358:A362"/>
    <mergeCell ref="B358:B362"/>
    <mergeCell ref="K358:O358"/>
    <mergeCell ref="A364:A368"/>
    <mergeCell ref="B364:B368"/>
    <mergeCell ref="K364:O364"/>
    <mergeCell ref="A394:A398"/>
    <mergeCell ref="B394:B398"/>
    <mergeCell ref="K394:O394"/>
    <mergeCell ref="A400:A404"/>
    <mergeCell ref="B400:B404"/>
    <mergeCell ref="K400:O400"/>
    <mergeCell ref="A382:A386"/>
    <mergeCell ref="B382:B386"/>
    <mergeCell ref="K382:O382"/>
    <mergeCell ref="A388:A392"/>
    <mergeCell ref="B388:B392"/>
    <mergeCell ref="K388:O388"/>
    <mergeCell ref="A418:A422"/>
    <mergeCell ref="B418:B422"/>
    <mergeCell ref="K418:O418"/>
    <mergeCell ref="A424:A428"/>
    <mergeCell ref="B424:B428"/>
    <mergeCell ref="K424:O424"/>
    <mergeCell ref="A406:A410"/>
    <mergeCell ref="B406:B410"/>
    <mergeCell ref="K406:O406"/>
    <mergeCell ref="A412:A416"/>
    <mergeCell ref="B412:B416"/>
    <mergeCell ref="K412:O412"/>
    <mergeCell ref="A514:A518"/>
    <mergeCell ref="B514:B518"/>
    <mergeCell ref="K514:O514"/>
    <mergeCell ref="A520:A524"/>
    <mergeCell ref="B520:B524"/>
    <mergeCell ref="K520:O520"/>
    <mergeCell ref="A526:A530"/>
    <mergeCell ref="B526:B530"/>
    <mergeCell ref="K526:O526"/>
    <mergeCell ref="A532:A536"/>
    <mergeCell ref="B532:B536"/>
    <mergeCell ref="K532:O532"/>
    <mergeCell ref="A538:A542"/>
    <mergeCell ref="B538:B542"/>
    <mergeCell ref="K538:O538"/>
    <mergeCell ref="A544:A548"/>
    <mergeCell ref="B544:B548"/>
    <mergeCell ref="K544:O544"/>
    <mergeCell ref="A550:A554"/>
    <mergeCell ref="B550:B554"/>
    <mergeCell ref="K550:O550"/>
    <mergeCell ref="A556:A560"/>
    <mergeCell ref="B556:B560"/>
    <mergeCell ref="K556:O556"/>
    <mergeCell ref="A562:A566"/>
    <mergeCell ref="B562:B566"/>
    <mergeCell ref="K562:O562"/>
    <mergeCell ref="A568:A572"/>
    <mergeCell ref="B568:B572"/>
    <mergeCell ref="K568:O568"/>
    <mergeCell ref="A574:A578"/>
    <mergeCell ref="B574:B578"/>
    <mergeCell ref="K574:O574"/>
    <mergeCell ref="A580:A584"/>
    <mergeCell ref="B580:B584"/>
    <mergeCell ref="K580:O580"/>
    <mergeCell ref="A586:A590"/>
    <mergeCell ref="B586:B590"/>
    <mergeCell ref="K586:O586"/>
    <mergeCell ref="A592:A596"/>
    <mergeCell ref="B592:B596"/>
    <mergeCell ref="K592:O592"/>
    <mergeCell ref="A598:A602"/>
    <mergeCell ref="B598:B602"/>
    <mergeCell ref="K598:O598"/>
    <mergeCell ref="A838:A842"/>
    <mergeCell ref="B838:B842"/>
    <mergeCell ref="K838:O838"/>
    <mergeCell ref="A844:A848"/>
    <mergeCell ref="B844:B848"/>
    <mergeCell ref="K844:O844"/>
    <mergeCell ref="A850:A854"/>
    <mergeCell ref="B850:B854"/>
    <mergeCell ref="K850:O850"/>
    <mergeCell ref="A856:A860"/>
    <mergeCell ref="B856:B860"/>
    <mergeCell ref="K856:O856"/>
    <mergeCell ref="A862:A866"/>
    <mergeCell ref="B862:B866"/>
    <mergeCell ref="K862:O862"/>
    <mergeCell ref="A868:A872"/>
    <mergeCell ref="B868:B872"/>
    <mergeCell ref="K868:O868"/>
    <mergeCell ref="A874:A878"/>
    <mergeCell ref="B874:B878"/>
    <mergeCell ref="K874:O874"/>
    <mergeCell ref="A880:A884"/>
    <mergeCell ref="B880:B884"/>
    <mergeCell ref="K880:O880"/>
    <mergeCell ref="A886:A890"/>
    <mergeCell ref="B886:B890"/>
    <mergeCell ref="K886:O886"/>
    <mergeCell ref="A892:A896"/>
    <mergeCell ref="B892:B896"/>
    <mergeCell ref="K892:O892"/>
    <mergeCell ref="A898:A902"/>
    <mergeCell ref="B898:B902"/>
    <mergeCell ref="K898:O898"/>
    <mergeCell ref="A904:A908"/>
    <mergeCell ref="B904:B908"/>
    <mergeCell ref="K904:O904"/>
    <mergeCell ref="A910:A914"/>
    <mergeCell ref="B910:B914"/>
    <mergeCell ref="K910:O910"/>
    <mergeCell ref="A916:A920"/>
    <mergeCell ref="B916:B920"/>
    <mergeCell ref="K916:O916"/>
    <mergeCell ref="A922:A926"/>
    <mergeCell ref="B922:B926"/>
    <mergeCell ref="K922:O922"/>
    <mergeCell ref="A928:A932"/>
    <mergeCell ref="B928:B932"/>
    <mergeCell ref="K928:O928"/>
    <mergeCell ref="A934:A938"/>
    <mergeCell ref="B934:B938"/>
    <mergeCell ref="K934:O934"/>
    <mergeCell ref="A940:A944"/>
    <mergeCell ref="B940:B944"/>
    <mergeCell ref="K940:O940"/>
    <mergeCell ref="A946:A950"/>
    <mergeCell ref="B946:B950"/>
    <mergeCell ref="K946:O946"/>
    <mergeCell ref="A970:A974"/>
    <mergeCell ref="B970:B974"/>
    <mergeCell ref="K970:O970"/>
    <mergeCell ref="A952:A956"/>
    <mergeCell ref="B952:B956"/>
    <mergeCell ref="K952:O952"/>
    <mergeCell ref="A958:A962"/>
    <mergeCell ref="B958:B962"/>
    <mergeCell ref="K958:O958"/>
    <mergeCell ref="A964:A968"/>
    <mergeCell ref="B964:B968"/>
    <mergeCell ref="K964:O964"/>
    <mergeCell ref="A976:A980"/>
    <mergeCell ref="B976:B980"/>
    <mergeCell ref="K976:O976"/>
    <mergeCell ref="A982:A986"/>
    <mergeCell ref="B982:B986"/>
    <mergeCell ref="K982:O982"/>
    <mergeCell ref="A988:A992"/>
    <mergeCell ref="B988:B992"/>
    <mergeCell ref="K988:O988"/>
    <mergeCell ref="A994:A998"/>
    <mergeCell ref="B994:B998"/>
    <mergeCell ref="K994:O994"/>
    <mergeCell ref="A1000:A1004"/>
    <mergeCell ref="B1000:B1004"/>
    <mergeCell ref="K1000:O1000"/>
    <mergeCell ref="A1006:A1010"/>
    <mergeCell ref="B1006:B1010"/>
    <mergeCell ref="K1006:O1006"/>
    <mergeCell ref="A1012:A1016"/>
    <mergeCell ref="B1012:B1016"/>
    <mergeCell ref="K1012:O1012"/>
    <mergeCell ref="A1018:A1022"/>
    <mergeCell ref="B1018:B1022"/>
    <mergeCell ref="K1018:O1018"/>
    <mergeCell ref="A1024:A1028"/>
    <mergeCell ref="B1024:B1028"/>
    <mergeCell ref="K1024:O1024"/>
    <mergeCell ref="A1030:A1034"/>
    <mergeCell ref="B1030:B1034"/>
    <mergeCell ref="K1030:O1030"/>
    <mergeCell ref="A1036:A1040"/>
    <mergeCell ref="B1036:B1040"/>
    <mergeCell ref="K1036:O1036"/>
    <mergeCell ref="A1042:A1046"/>
    <mergeCell ref="B1042:B1046"/>
    <mergeCell ref="K1042:O1042"/>
    <mergeCell ref="A1048:A1052"/>
    <mergeCell ref="B1048:B1052"/>
    <mergeCell ref="K1048:O1048"/>
    <mergeCell ref="A1054:A1058"/>
    <mergeCell ref="B1054:B1058"/>
    <mergeCell ref="K1054:O1054"/>
    <mergeCell ref="A1060:A1064"/>
    <mergeCell ref="B1060:B1064"/>
    <mergeCell ref="K1060:O1060"/>
    <mergeCell ref="A1066:A1070"/>
    <mergeCell ref="B1066:B1070"/>
    <mergeCell ref="K1066:O1066"/>
    <mergeCell ref="A1072:A1076"/>
    <mergeCell ref="B1072:B1076"/>
    <mergeCell ref="K1072:O1072"/>
    <mergeCell ref="A1078:A1082"/>
    <mergeCell ref="B1078:B1082"/>
    <mergeCell ref="K1078:O1078"/>
    <mergeCell ref="A1084:A1088"/>
    <mergeCell ref="B1084:B1088"/>
    <mergeCell ref="K1084:O1084"/>
    <mergeCell ref="A1090:A1094"/>
    <mergeCell ref="B1090:B1094"/>
    <mergeCell ref="K1090:O1090"/>
    <mergeCell ref="A1096:A1100"/>
    <mergeCell ref="B1096:B1100"/>
    <mergeCell ref="K1096:O1096"/>
    <mergeCell ref="A1102:A1106"/>
    <mergeCell ref="B1102:B1106"/>
    <mergeCell ref="K1102:O1102"/>
    <mergeCell ref="A1108:A1112"/>
    <mergeCell ref="B1108:B1112"/>
    <mergeCell ref="K1108:O1108"/>
    <mergeCell ref="A1114:A1118"/>
    <mergeCell ref="B1114:B1118"/>
    <mergeCell ref="K1114:O1114"/>
    <mergeCell ref="A1120:A1124"/>
    <mergeCell ref="B1120:B1124"/>
    <mergeCell ref="K1120:O1120"/>
    <mergeCell ref="A1126:A1130"/>
    <mergeCell ref="B1126:B1130"/>
    <mergeCell ref="K1126:O1126"/>
    <mergeCell ref="A1132:A1136"/>
    <mergeCell ref="B1132:B1136"/>
    <mergeCell ref="K1132:O1132"/>
    <mergeCell ref="A1138:A1142"/>
    <mergeCell ref="B1138:B1142"/>
    <mergeCell ref="K1138:O1138"/>
    <mergeCell ref="A1144:A1148"/>
    <mergeCell ref="B1144:B1148"/>
    <mergeCell ref="K1144:O1144"/>
    <mergeCell ref="A1150:A1154"/>
    <mergeCell ref="B1150:B1154"/>
    <mergeCell ref="K1150:O1150"/>
    <mergeCell ref="A1156:A1160"/>
    <mergeCell ref="B1156:B1160"/>
    <mergeCell ref="K1156:O1156"/>
    <mergeCell ref="A1162:A1166"/>
    <mergeCell ref="B1162:B1166"/>
    <mergeCell ref="K1162:O1162"/>
    <mergeCell ref="A1168:A1172"/>
    <mergeCell ref="B1168:B1172"/>
    <mergeCell ref="K1168:O1168"/>
    <mergeCell ref="A1174:A1178"/>
    <mergeCell ref="B1174:B1178"/>
    <mergeCell ref="K1174:O1174"/>
    <mergeCell ref="A1180:A1184"/>
    <mergeCell ref="B1180:B1184"/>
    <mergeCell ref="K1180:O1180"/>
    <mergeCell ref="A1186:A1190"/>
    <mergeCell ref="B1186:B1190"/>
    <mergeCell ref="K1186:O1186"/>
    <mergeCell ref="A1192:A1196"/>
    <mergeCell ref="B1192:B1196"/>
    <mergeCell ref="K1192:O1192"/>
    <mergeCell ref="A1198:A1202"/>
    <mergeCell ref="B1198:B1202"/>
    <mergeCell ref="K1198:O1198"/>
    <mergeCell ref="A1204:A1208"/>
    <mergeCell ref="B1204:B1208"/>
    <mergeCell ref="K1204:O1204"/>
    <mergeCell ref="A1210:A1214"/>
    <mergeCell ref="B1210:B1214"/>
    <mergeCell ref="K1210:O1210"/>
    <mergeCell ref="A1216:A1220"/>
    <mergeCell ref="B1216:B1220"/>
    <mergeCell ref="K1216:O1216"/>
    <mergeCell ref="A1222:A1226"/>
    <mergeCell ref="B1222:B1226"/>
    <mergeCell ref="K1222:O1222"/>
    <mergeCell ref="A1228:A1232"/>
    <mergeCell ref="B1228:B1232"/>
    <mergeCell ref="K1228:O1228"/>
    <mergeCell ref="A1234:A1238"/>
    <mergeCell ref="B1234:B1238"/>
    <mergeCell ref="K1234:O1234"/>
    <mergeCell ref="A1240:A1244"/>
    <mergeCell ref="B1240:B1244"/>
    <mergeCell ref="K1240:O1240"/>
    <mergeCell ref="A1246:A1250"/>
    <mergeCell ref="B1246:B1250"/>
    <mergeCell ref="K1246:O1246"/>
    <mergeCell ref="A1252:A1256"/>
    <mergeCell ref="B1252:B1256"/>
    <mergeCell ref="K1252:O1252"/>
    <mergeCell ref="A1258:A1262"/>
    <mergeCell ref="B1258:B1262"/>
    <mergeCell ref="K1258:O1258"/>
    <mergeCell ref="A1264:A1268"/>
    <mergeCell ref="B1264:B1268"/>
    <mergeCell ref="K1264:O1264"/>
    <mergeCell ref="A1270:A1274"/>
    <mergeCell ref="B1270:B1274"/>
    <mergeCell ref="K1270:O1270"/>
    <mergeCell ref="A1276:A1280"/>
    <mergeCell ref="B1276:B1280"/>
    <mergeCell ref="K1276:O1276"/>
    <mergeCell ref="A1282:A1286"/>
    <mergeCell ref="B1282:B1286"/>
    <mergeCell ref="K1282:O1282"/>
    <mergeCell ref="A1288:A1292"/>
    <mergeCell ref="B1288:B1292"/>
    <mergeCell ref="K1288:O1288"/>
    <mergeCell ref="A1294:A1298"/>
    <mergeCell ref="B1294:B1298"/>
    <mergeCell ref="K1294:O1294"/>
    <mergeCell ref="A1300:A1304"/>
    <mergeCell ref="B1300:B1304"/>
    <mergeCell ref="K1300:O1300"/>
    <mergeCell ref="A1306:A1310"/>
    <mergeCell ref="B1306:B1310"/>
    <mergeCell ref="K1306:O1306"/>
    <mergeCell ref="A1312:A1316"/>
    <mergeCell ref="B1312:B1316"/>
    <mergeCell ref="K1312:O1312"/>
    <mergeCell ref="A1318:A1322"/>
    <mergeCell ref="B1318:B1322"/>
    <mergeCell ref="K1318:O1318"/>
    <mergeCell ref="A1324:A1328"/>
    <mergeCell ref="B1324:B1328"/>
    <mergeCell ref="K1324:O1324"/>
    <mergeCell ref="A1330:A1334"/>
    <mergeCell ref="B1330:B1334"/>
    <mergeCell ref="K1330:O1330"/>
    <mergeCell ref="A1336:A1340"/>
    <mergeCell ref="B1336:B1340"/>
    <mergeCell ref="K1336:O1336"/>
    <mergeCell ref="A1342:A1346"/>
    <mergeCell ref="B1342:B1346"/>
    <mergeCell ref="K1342:O1342"/>
    <mergeCell ref="A1348:A1352"/>
    <mergeCell ref="B1348:B1352"/>
    <mergeCell ref="K1348:O1348"/>
    <mergeCell ref="A1354:A1358"/>
    <mergeCell ref="B1354:B1358"/>
    <mergeCell ref="K1354:O1354"/>
    <mergeCell ref="A1360:A1364"/>
    <mergeCell ref="B1360:B1364"/>
    <mergeCell ref="K1360:O1360"/>
    <mergeCell ref="A1366:A1370"/>
    <mergeCell ref="B1366:B1370"/>
    <mergeCell ref="K1366:O1366"/>
    <mergeCell ref="A1372:A1376"/>
    <mergeCell ref="B1372:B1376"/>
    <mergeCell ref="K1372:O1372"/>
    <mergeCell ref="A1378:A1382"/>
    <mergeCell ref="B1378:B1382"/>
    <mergeCell ref="K1378:O1378"/>
    <mergeCell ref="A1384:A1388"/>
    <mergeCell ref="B1384:B1388"/>
    <mergeCell ref="K1384:O1384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9:AV323"/>
  <sheetViews>
    <sheetView zoomScale="75" workbookViewId="0">
      <pane xSplit="3" ySplit="14" topLeftCell="D170" activePane="bottomRight" state="frozen"/>
      <selection pane="topRight" activeCell="B1" sqref="B1"/>
      <selection pane="bottomLeft" activeCell="A20" sqref="A20"/>
      <selection pane="bottomRight" activeCell="R180" sqref="R180"/>
    </sheetView>
  </sheetViews>
  <sheetFormatPr defaultColWidth="8.75" defaultRowHeight="15.75" x14ac:dyDescent="0.25"/>
  <cols>
    <col min="1" max="1" width="5.125" style="21" customWidth="1"/>
    <col min="2" max="2" width="6.375" style="24" customWidth="1"/>
    <col min="3" max="3" width="8.75" style="50"/>
    <col min="4" max="4" width="7" style="24" customWidth="1"/>
    <col min="5" max="5" width="7.625" style="21" customWidth="1"/>
    <col min="6" max="7" width="7.875" style="21" customWidth="1"/>
    <col min="8" max="8" width="11.625" style="21" customWidth="1"/>
    <col min="9" max="9" width="7.875" style="21" customWidth="1"/>
    <col min="10" max="10" width="3.5" style="21" customWidth="1"/>
    <col min="11" max="47" width="5.75" style="21" customWidth="1"/>
    <col min="48" max="48" width="3.5" style="21" customWidth="1"/>
    <col min="49" max="16384" width="8.75" style="21"/>
  </cols>
  <sheetData>
    <row r="9" spans="3:48" ht="16.5" thickBot="1" x14ac:dyDescent="0.3">
      <c r="C9" s="51"/>
      <c r="D9" s="258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</row>
    <row r="10" spans="3:48" ht="16.5" thickBot="1" x14ac:dyDescent="0.3">
      <c r="C10" s="51"/>
      <c r="D10" s="258"/>
      <c r="E10" s="51"/>
      <c r="F10" s="51"/>
      <c r="G10" s="51"/>
      <c r="H10" s="51"/>
      <c r="I10" s="51"/>
      <c r="J10" s="51"/>
      <c r="K10" s="377" t="s">
        <v>50</v>
      </c>
      <c r="L10" s="378"/>
      <c r="M10" s="378"/>
      <c r="N10" s="378"/>
      <c r="O10" s="378"/>
      <c r="P10" s="378"/>
      <c r="Q10" s="378"/>
      <c r="R10" s="378"/>
      <c r="S10" s="378"/>
      <c r="T10" s="378"/>
      <c r="U10" s="378"/>
      <c r="V10" s="378"/>
      <c r="W10" s="378"/>
      <c r="X10" s="378"/>
      <c r="Y10" s="378"/>
      <c r="Z10" s="378"/>
      <c r="AA10" s="378"/>
      <c r="AB10" s="378"/>
      <c r="AC10" s="379"/>
      <c r="AD10" s="379"/>
      <c r="AE10" s="379"/>
      <c r="AF10" s="379"/>
      <c r="AG10" s="379"/>
      <c r="AH10" s="378"/>
      <c r="AI10" s="378"/>
      <c r="AJ10" s="378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80"/>
      <c r="AV10" s="51"/>
    </row>
    <row r="11" spans="3:48" ht="16.5" thickBot="1" x14ac:dyDescent="0.3">
      <c r="C11" s="63"/>
      <c r="D11" s="272"/>
      <c r="E11" s="405"/>
      <c r="F11" s="406"/>
      <c r="G11" s="105"/>
      <c r="H11" s="93"/>
      <c r="I11" s="93"/>
      <c r="J11" s="13"/>
      <c r="K11" s="407" t="s">
        <v>12</v>
      </c>
      <c r="L11" s="408"/>
      <c r="M11" s="408"/>
      <c r="N11" s="408"/>
      <c r="O11" s="408"/>
      <c r="P11" s="408"/>
      <c r="Q11" s="408"/>
      <c r="R11" s="409"/>
      <c r="S11" s="393" t="s">
        <v>65</v>
      </c>
      <c r="T11" s="394"/>
      <c r="U11" s="394"/>
      <c r="V11" s="395"/>
      <c r="W11" s="381" t="s">
        <v>66</v>
      </c>
      <c r="X11" s="382"/>
      <c r="Y11" s="382"/>
      <c r="Z11" s="382"/>
      <c r="AA11" s="382"/>
      <c r="AB11" s="383"/>
      <c r="AH11" s="38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3"/>
      <c r="AU11" s="105"/>
      <c r="AV11" s="13"/>
    </row>
    <row r="12" spans="3:48" ht="16.5" thickBot="1" x14ac:dyDescent="0.3">
      <c r="C12" s="122"/>
      <c r="D12" s="414" t="s">
        <v>50</v>
      </c>
      <c r="E12" s="415"/>
      <c r="F12" s="415"/>
      <c r="G12" s="416"/>
      <c r="H12" s="13"/>
      <c r="I12" s="13"/>
      <c r="J12" s="13"/>
      <c r="K12" s="410" t="s">
        <v>51</v>
      </c>
      <c r="L12" s="411"/>
      <c r="M12" s="411"/>
      <c r="N12" s="411"/>
      <c r="O12" s="411" t="s">
        <v>68</v>
      </c>
      <c r="P12" s="411"/>
      <c r="Q12" s="411"/>
      <c r="R12" s="412"/>
      <c r="S12" s="32"/>
      <c r="V12" s="33"/>
      <c r="W12" s="402" t="s">
        <v>51</v>
      </c>
      <c r="X12" s="403"/>
      <c r="Y12" s="403"/>
      <c r="Z12" s="403"/>
      <c r="AA12" s="398" t="s">
        <v>70</v>
      </c>
      <c r="AB12" s="399"/>
      <c r="AC12" s="384" t="s">
        <v>59</v>
      </c>
      <c r="AD12" s="385"/>
      <c r="AE12" s="386"/>
      <c r="AF12" s="386"/>
      <c r="AG12" s="387"/>
      <c r="AH12" s="37"/>
      <c r="AI12"/>
      <c r="AJ12"/>
      <c r="AK12"/>
      <c r="AL12"/>
      <c r="AM12"/>
      <c r="AN12"/>
      <c r="AO12"/>
      <c r="AP12"/>
      <c r="AQ12"/>
      <c r="AR12"/>
      <c r="AS12"/>
      <c r="AT12" s="13"/>
      <c r="AU12" s="52"/>
      <c r="AV12" s="13"/>
    </row>
    <row r="13" spans="3:48" x14ac:dyDescent="0.25">
      <c r="C13" s="123"/>
      <c r="D13" s="261" t="s">
        <v>46</v>
      </c>
      <c r="E13" s="19" t="s">
        <v>23</v>
      </c>
      <c r="F13" s="19" t="s">
        <v>30</v>
      </c>
      <c r="G13" s="124" t="s">
        <v>31</v>
      </c>
      <c r="H13" s="298" t="s">
        <v>34</v>
      </c>
      <c r="I13" s="119" t="s">
        <v>26</v>
      </c>
      <c r="J13" s="13"/>
      <c r="K13" s="402" t="s">
        <v>67</v>
      </c>
      <c r="L13" s="401"/>
      <c r="M13" s="400" t="s">
        <v>28</v>
      </c>
      <c r="N13" s="401"/>
      <c r="O13" s="400" t="s">
        <v>67</v>
      </c>
      <c r="P13" s="401"/>
      <c r="Q13" s="400" t="s">
        <v>9</v>
      </c>
      <c r="R13" s="413"/>
      <c r="S13" s="396" t="s">
        <v>51</v>
      </c>
      <c r="T13" s="397"/>
      <c r="U13" s="398" t="s">
        <v>70</v>
      </c>
      <c r="V13" s="399"/>
      <c r="W13" s="402" t="s">
        <v>7</v>
      </c>
      <c r="X13" s="401"/>
      <c r="Y13" s="400" t="s">
        <v>8</v>
      </c>
      <c r="Z13" s="401"/>
      <c r="AB13" s="33"/>
      <c r="AC13" s="88"/>
      <c r="AD13" s="391" t="s">
        <v>37</v>
      </c>
      <c r="AE13" s="392"/>
      <c r="AF13" s="81"/>
      <c r="AG13" s="89"/>
      <c r="AH13" s="404" t="s">
        <v>40</v>
      </c>
      <c r="AI13" s="389"/>
      <c r="AJ13" s="388" t="s">
        <v>89</v>
      </c>
      <c r="AK13" s="389"/>
      <c r="AL13" s="388" t="s">
        <v>39</v>
      </c>
      <c r="AM13" s="389"/>
      <c r="AN13" s="388" t="s">
        <v>48</v>
      </c>
      <c r="AO13" s="389"/>
      <c r="AP13" s="388" t="s">
        <v>96</v>
      </c>
      <c r="AQ13" s="389"/>
      <c r="AR13" s="388" t="s">
        <v>60</v>
      </c>
      <c r="AS13" s="389"/>
      <c r="AT13" s="388" t="s">
        <v>61</v>
      </c>
      <c r="AU13" s="390"/>
      <c r="AV13" s="13"/>
    </row>
    <row r="14" spans="3:48" x14ac:dyDescent="0.25">
      <c r="C14" s="125" t="s">
        <v>18</v>
      </c>
      <c r="D14" s="262"/>
      <c r="E14" s="80" t="s">
        <v>33</v>
      </c>
      <c r="F14" s="80" t="s">
        <v>33</v>
      </c>
      <c r="G14" s="126" t="s">
        <v>32</v>
      </c>
      <c r="H14" s="97" t="s">
        <v>35</v>
      </c>
      <c r="I14" s="120" t="s">
        <v>36</v>
      </c>
      <c r="J14" s="24"/>
      <c r="K14" s="30" t="s">
        <v>94</v>
      </c>
      <c r="L14" s="23" t="s">
        <v>93</v>
      </c>
      <c r="M14" s="23" t="s">
        <v>94</v>
      </c>
      <c r="N14" s="23" t="s">
        <v>93</v>
      </c>
      <c r="O14" s="23" t="s">
        <v>94</v>
      </c>
      <c r="P14" s="23" t="s">
        <v>93</v>
      </c>
      <c r="Q14" s="23" t="s">
        <v>94</v>
      </c>
      <c r="R14" s="84" t="s">
        <v>93</v>
      </c>
      <c r="S14" s="30" t="s">
        <v>69</v>
      </c>
      <c r="T14" s="23" t="s">
        <v>67</v>
      </c>
      <c r="U14" s="23" t="s">
        <v>69</v>
      </c>
      <c r="V14" s="31" t="s">
        <v>67</v>
      </c>
      <c r="W14" s="30" t="s">
        <v>69</v>
      </c>
      <c r="X14" s="23" t="s">
        <v>67</v>
      </c>
      <c r="Y14" s="23" t="s">
        <v>69</v>
      </c>
      <c r="Z14" s="23" t="s">
        <v>67</v>
      </c>
      <c r="AA14" s="23" t="s">
        <v>7</v>
      </c>
      <c r="AB14" s="31" t="s">
        <v>8</v>
      </c>
      <c r="AC14" s="90" t="s">
        <v>49</v>
      </c>
      <c r="AD14" s="83" t="s">
        <v>11</v>
      </c>
      <c r="AE14" s="26" t="s">
        <v>10</v>
      </c>
      <c r="AF14" s="82" t="s">
        <v>38</v>
      </c>
      <c r="AG14" s="91" t="s">
        <v>62</v>
      </c>
      <c r="AH14" s="106" t="s">
        <v>10</v>
      </c>
      <c r="AI14" s="26" t="s">
        <v>11</v>
      </c>
      <c r="AJ14" s="3" t="s">
        <v>10</v>
      </c>
      <c r="AK14" s="3" t="s">
        <v>11</v>
      </c>
      <c r="AL14" s="4" t="s">
        <v>10</v>
      </c>
      <c r="AM14" s="3" t="s">
        <v>11</v>
      </c>
      <c r="AN14" s="3" t="s">
        <v>10</v>
      </c>
      <c r="AO14" s="26" t="s">
        <v>11</v>
      </c>
      <c r="AP14" s="3" t="s">
        <v>10</v>
      </c>
      <c r="AQ14" s="26" t="s">
        <v>11</v>
      </c>
      <c r="AR14" s="3" t="s">
        <v>10</v>
      </c>
      <c r="AS14" s="3" t="s">
        <v>11</v>
      </c>
      <c r="AT14" s="23" t="s">
        <v>10</v>
      </c>
      <c r="AU14" s="31" t="s">
        <v>11</v>
      </c>
      <c r="AV14" s="24"/>
    </row>
    <row r="15" spans="3:48" x14ac:dyDescent="0.25">
      <c r="C15" s="127"/>
      <c r="D15" s="273"/>
      <c r="E15" s="61"/>
      <c r="F15" s="58"/>
      <c r="G15" s="128"/>
      <c r="H15" s="297">
        <f>'Boat Expansion'!I20</f>
        <v>0</v>
      </c>
      <c r="I15" s="121"/>
      <c r="J15" s="25"/>
      <c r="K15" s="107"/>
      <c r="L15" s="62"/>
      <c r="M15" s="62"/>
      <c r="N15" s="62"/>
      <c r="O15" s="62"/>
      <c r="P15" s="62"/>
      <c r="Q15" s="62"/>
      <c r="R15" s="108"/>
      <c r="S15" s="107"/>
      <c r="T15" s="62"/>
      <c r="U15" s="62"/>
      <c r="V15" s="108"/>
      <c r="W15" s="107"/>
      <c r="X15" s="62"/>
      <c r="Y15" s="62"/>
      <c r="Z15" s="62"/>
      <c r="AA15" s="62"/>
      <c r="AB15" s="108"/>
      <c r="AC15" s="107"/>
      <c r="AD15" s="62"/>
      <c r="AE15" s="62"/>
      <c r="AF15" s="62"/>
      <c r="AG15" s="108"/>
      <c r="AH15" s="107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108"/>
      <c r="AV15" s="24"/>
    </row>
    <row r="16" spans="3:48" x14ac:dyDescent="0.25">
      <c r="C16" s="127"/>
      <c r="D16" s="274"/>
      <c r="E16" s="54"/>
      <c r="F16" s="53"/>
      <c r="G16" s="129"/>
      <c r="H16" s="297"/>
      <c r="I16" s="98"/>
      <c r="J16" s="25"/>
      <c r="K16" s="95"/>
      <c r="L16" s="41"/>
      <c r="M16" s="41"/>
      <c r="N16" s="41"/>
      <c r="O16" s="41"/>
      <c r="P16" s="41"/>
      <c r="Q16" s="41"/>
      <c r="R16" s="42"/>
      <c r="S16" s="95"/>
      <c r="T16" s="41"/>
      <c r="U16" s="41"/>
      <c r="V16" s="42"/>
      <c r="W16" s="95"/>
      <c r="X16" s="41"/>
      <c r="Y16" s="41"/>
      <c r="Z16" s="41"/>
      <c r="AA16" s="41"/>
      <c r="AB16" s="42"/>
      <c r="AC16" s="95"/>
      <c r="AD16" s="41"/>
      <c r="AE16" s="41"/>
      <c r="AF16" s="41"/>
      <c r="AG16" s="42"/>
      <c r="AH16" s="95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2"/>
      <c r="AV16" s="24"/>
    </row>
    <row r="17" spans="3:48" x14ac:dyDescent="0.25">
      <c r="C17" s="127"/>
      <c r="D17" s="274"/>
      <c r="E17" s="54"/>
      <c r="F17" s="53"/>
      <c r="G17" s="129"/>
      <c r="H17" s="297"/>
      <c r="I17" s="98"/>
      <c r="J17" s="25"/>
      <c r="K17" s="95"/>
      <c r="L17" s="41"/>
      <c r="M17" s="41"/>
      <c r="N17" s="41"/>
      <c r="O17" s="41"/>
      <c r="P17" s="41"/>
      <c r="Q17" s="41"/>
      <c r="R17" s="42"/>
      <c r="S17" s="95"/>
      <c r="T17" s="41"/>
      <c r="U17" s="41"/>
      <c r="V17" s="42"/>
      <c r="W17" s="95"/>
      <c r="X17" s="41"/>
      <c r="Y17" s="41"/>
      <c r="Z17" s="41"/>
      <c r="AA17" s="41"/>
      <c r="AB17" s="42"/>
      <c r="AC17" s="95"/>
      <c r="AD17" s="41"/>
      <c r="AE17" s="41"/>
      <c r="AF17" s="41"/>
      <c r="AG17" s="42"/>
      <c r="AH17" s="95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2"/>
      <c r="AV17" s="24"/>
    </row>
    <row r="18" spans="3:48" x14ac:dyDescent="0.25">
      <c r="C18" s="127">
        <v>45505</v>
      </c>
      <c r="D18" s="274"/>
      <c r="E18" s="54"/>
      <c r="F18" s="53"/>
      <c r="G18" s="129"/>
      <c r="H18" s="297"/>
      <c r="I18" s="98"/>
      <c r="J18" s="25"/>
      <c r="K18" s="95"/>
      <c r="L18" s="41"/>
      <c r="M18" s="41"/>
      <c r="N18" s="41"/>
      <c r="O18" s="41"/>
      <c r="P18" s="41"/>
      <c r="Q18" s="41"/>
      <c r="R18" s="42"/>
      <c r="S18" s="95"/>
      <c r="T18" s="41"/>
      <c r="U18" s="41"/>
      <c r="V18" s="42"/>
      <c r="W18" s="95"/>
      <c r="X18" s="41"/>
      <c r="Y18" s="41"/>
      <c r="Z18" s="41"/>
      <c r="AA18" s="41"/>
      <c r="AB18" s="42"/>
      <c r="AC18" s="95"/>
      <c r="AD18" s="41"/>
      <c r="AE18" s="41"/>
      <c r="AF18" s="41"/>
      <c r="AG18" s="42"/>
      <c r="AH18" s="95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2"/>
      <c r="AV18" s="24"/>
    </row>
    <row r="19" spans="3:48" x14ac:dyDescent="0.25">
      <c r="C19" s="127">
        <f t="shared" ref="C19:C21" si="0">C18+1</f>
        <v>45506</v>
      </c>
      <c r="D19" s="274"/>
      <c r="E19" s="54"/>
      <c r="F19" s="53"/>
      <c r="G19" s="129"/>
      <c r="H19" s="297">
        <f>'Boat Expansion'!I44</f>
        <v>0</v>
      </c>
      <c r="I19" s="98"/>
      <c r="J19" s="25"/>
      <c r="K19" s="95"/>
      <c r="L19" s="41"/>
      <c r="M19" s="41"/>
      <c r="N19" s="41"/>
      <c r="O19" s="41"/>
      <c r="P19" s="41"/>
      <c r="Q19" s="41"/>
      <c r="R19" s="42"/>
      <c r="S19" s="95"/>
      <c r="T19" s="41"/>
      <c r="U19" s="41"/>
      <c r="V19" s="42"/>
      <c r="W19" s="95"/>
      <c r="X19" s="41"/>
      <c r="Y19" s="41"/>
      <c r="Z19" s="41"/>
      <c r="AA19" s="41"/>
      <c r="AB19" s="42"/>
      <c r="AC19" s="95"/>
      <c r="AD19" s="41"/>
      <c r="AE19" s="41"/>
      <c r="AF19" s="41"/>
      <c r="AG19" s="42"/>
      <c r="AH19" s="95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2"/>
      <c r="AV19" s="24"/>
    </row>
    <row r="20" spans="3:48" x14ac:dyDescent="0.25">
      <c r="C20" s="127">
        <f t="shared" si="0"/>
        <v>45507</v>
      </c>
      <c r="D20" s="274"/>
      <c r="E20" s="54"/>
      <c r="F20" s="53"/>
      <c r="G20" s="129"/>
      <c r="H20" s="297">
        <f>'Boat Expansion'!I50</f>
        <v>0</v>
      </c>
      <c r="I20" s="98"/>
      <c r="J20" s="25"/>
      <c r="K20" s="95"/>
      <c r="L20" s="41"/>
      <c r="M20" s="41"/>
      <c r="N20" s="41"/>
      <c r="O20" s="41"/>
      <c r="P20" s="41"/>
      <c r="Q20" s="41"/>
      <c r="R20" s="42"/>
      <c r="S20" s="95"/>
      <c r="T20" s="41"/>
      <c r="U20" s="41"/>
      <c r="V20" s="42"/>
      <c r="W20" s="95"/>
      <c r="X20" s="41"/>
      <c r="Y20" s="41"/>
      <c r="Z20" s="41"/>
      <c r="AA20" s="41"/>
      <c r="AB20" s="42"/>
      <c r="AC20" s="95"/>
      <c r="AD20" s="41"/>
      <c r="AE20" s="41"/>
      <c r="AF20" s="41"/>
      <c r="AG20" s="42"/>
      <c r="AH20" s="95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2"/>
      <c r="AV20" s="24"/>
    </row>
    <row r="21" spans="3:48" ht="16.5" thickBot="1" x14ac:dyDescent="0.3">
      <c r="C21" s="127">
        <f t="shared" si="0"/>
        <v>45508</v>
      </c>
      <c r="D21" s="275"/>
      <c r="E21" s="99"/>
      <c r="F21" s="100"/>
      <c r="G21" s="131"/>
      <c r="H21" s="299"/>
      <c r="I21" s="102"/>
      <c r="J21" s="25"/>
      <c r="K21" s="96"/>
      <c r="L21" s="76"/>
      <c r="M21" s="76"/>
      <c r="N21" s="76"/>
      <c r="O21" s="76"/>
      <c r="P21" s="76"/>
      <c r="Q21" s="76"/>
      <c r="R21" s="77"/>
      <c r="S21" s="96"/>
      <c r="T21" s="76"/>
      <c r="U21" s="76"/>
      <c r="V21" s="77"/>
      <c r="W21" s="96"/>
      <c r="X21" s="76"/>
      <c r="Y21" s="76"/>
      <c r="Z21" s="76"/>
      <c r="AA21" s="76"/>
      <c r="AB21" s="77"/>
      <c r="AC21" s="96"/>
      <c r="AD21" s="76"/>
      <c r="AE21" s="76"/>
      <c r="AF21" s="76"/>
      <c r="AG21" s="77"/>
      <c r="AH21" s="9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7"/>
      <c r="AV21" s="41"/>
    </row>
    <row r="22" spans="3:48" ht="17.25" thickTop="1" thickBot="1" x14ac:dyDescent="0.3">
      <c r="C22" s="335" t="s">
        <v>17</v>
      </c>
      <c r="D22" s="276"/>
      <c r="E22" s="133">
        <f t="shared" ref="E22:AB22" si="1">SUM(E15:E21)</f>
        <v>0</v>
      </c>
      <c r="F22" s="101">
        <f t="shared" si="1"/>
        <v>0</v>
      </c>
      <c r="G22" s="134">
        <f t="shared" si="1"/>
        <v>0</v>
      </c>
      <c r="H22" s="300">
        <f>SUM(H15:H21)</f>
        <v>0</v>
      </c>
      <c r="I22" s="56" t="e">
        <f>E22/H22</f>
        <v>#DIV/0!</v>
      </c>
      <c r="J22" s="146"/>
      <c r="K22" s="166">
        <f t="shared" si="1"/>
        <v>0</v>
      </c>
      <c r="L22" s="167">
        <f t="shared" si="1"/>
        <v>0</v>
      </c>
      <c r="M22" s="167">
        <f t="shared" si="1"/>
        <v>0</v>
      </c>
      <c r="N22" s="167">
        <f t="shared" si="1"/>
        <v>0</v>
      </c>
      <c r="O22" s="167">
        <f t="shared" si="1"/>
        <v>0</v>
      </c>
      <c r="P22" s="167">
        <f t="shared" si="1"/>
        <v>0</v>
      </c>
      <c r="Q22" s="167">
        <f t="shared" si="1"/>
        <v>0</v>
      </c>
      <c r="R22" s="168">
        <f t="shared" si="1"/>
        <v>0</v>
      </c>
      <c r="S22" s="166">
        <f t="shared" si="1"/>
        <v>0</v>
      </c>
      <c r="T22" s="167">
        <f t="shared" si="1"/>
        <v>0</v>
      </c>
      <c r="U22" s="167">
        <f t="shared" si="1"/>
        <v>0</v>
      </c>
      <c r="V22" s="168">
        <f t="shared" si="1"/>
        <v>0</v>
      </c>
      <c r="W22" s="166">
        <f t="shared" si="1"/>
        <v>0</v>
      </c>
      <c r="X22" s="167">
        <f t="shared" si="1"/>
        <v>0</v>
      </c>
      <c r="Y22" s="167">
        <f t="shared" si="1"/>
        <v>0</v>
      </c>
      <c r="Z22" s="167">
        <f t="shared" si="1"/>
        <v>0</v>
      </c>
      <c r="AA22" s="167">
        <f t="shared" si="1"/>
        <v>0</v>
      </c>
      <c r="AB22" s="168">
        <f t="shared" si="1"/>
        <v>0</v>
      </c>
      <c r="AC22" s="166">
        <f t="shared" ref="AC22:AU22" si="2">SUM(AC15:AC21)</f>
        <v>0</v>
      </c>
      <c r="AD22" s="167">
        <f t="shared" si="2"/>
        <v>0</v>
      </c>
      <c r="AE22" s="167">
        <f t="shared" si="2"/>
        <v>0</v>
      </c>
      <c r="AF22" s="167">
        <f t="shared" si="2"/>
        <v>0</v>
      </c>
      <c r="AG22" s="168">
        <f t="shared" si="2"/>
        <v>0</v>
      </c>
      <c r="AH22" s="166">
        <f t="shared" si="2"/>
        <v>0</v>
      </c>
      <c r="AI22" s="167">
        <f t="shared" si="2"/>
        <v>0</v>
      </c>
      <c r="AJ22" s="167">
        <f t="shared" si="2"/>
        <v>0</v>
      </c>
      <c r="AK22" s="167">
        <f t="shared" si="2"/>
        <v>0</v>
      </c>
      <c r="AL22" s="167">
        <f t="shared" si="2"/>
        <v>0</v>
      </c>
      <c r="AM22" s="167">
        <f t="shared" si="2"/>
        <v>0</v>
      </c>
      <c r="AN22" s="167">
        <f t="shared" si="2"/>
        <v>0</v>
      </c>
      <c r="AO22" s="167">
        <f t="shared" si="2"/>
        <v>0</v>
      </c>
      <c r="AP22" s="167"/>
      <c r="AQ22" s="167"/>
      <c r="AR22" s="167">
        <f t="shared" si="2"/>
        <v>0</v>
      </c>
      <c r="AS22" s="167">
        <f t="shared" si="2"/>
        <v>0</v>
      </c>
      <c r="AT22" s="167">
        <f t="shared" si="2"/>
        <v>0</v>
      </c>
      <c r="AU22" s="168">
        <f t="shared" si="2"/>
        <v>0</v>
      </c>
      <c r="AV22" s="36"/>
    </row>
    <row r="23" spans="3:48" ht="16.5" thickBot="1" x14ac:dyDescent="0.3">
      <c r="C23" s="160"/>
      <c r="D23" s="277"/>
      <c r="E23" s="161"/>
      <c r="F23" s="1"/>
      <c r="G23" s="146"/>
      <c r="H23" s="301"/>
      <c r="I23" s="162"/>
      <c r="J23" s="146"/>
      <c r="K23" s="163" t="e">
        <f>K22/$I22</f>
        <v>#DIV/0!</v>
      </c>
      <c r="L23" s="164" t="e">
        <f t="shared" ref="L23:AU23" si="3">L22/$I22</f>
        <v>#DIV/0!</v>
      </c>
      <c r="M23" s="164" t="e">
        <f t="shared" si="3"/>
        <v>#DIV/0!</v>
      </c>
      <c r="N23" s="164" t="e">
        <f t="shared" si="3"/>
        <v>#DIV/0!</v>
      </c>
      <c r="O23" s="164" t="e">
        <f t="shared" si="3"/>
        <v>#DIV/0!</v>
      </c>
      <c r="P23" s="164" t="e">
        <f t="shared" si="3"/>
        <v>#DIV/0!</v>
      </c>
      <c r="Q23" s="164" t="e">
        <f t="shared" si="3"/>
        <v>#DIV/0!</v>
      </c>
      <c r="R23" s="164" t="e">
        <f t="shared" si="3"/>
        <v>#DIV/0!</v>
      </c>
      <c r="S23" s="163" t="e">
        <f t="shared" si="3"/>
        <v>#DIV/0!</v>
      </c>
      <c r="T23" s="164" t="e">
        <f t="shared" si="3"/>
        <v>#DIV/0!</v>
      </c>
      <c r="U23" s="164" t="e">
        <f t="shared" si="3"/>
        <v>#DIV/0!</v>
      </c>
      <c r="V23" s="165" t="e">
        <f t="shared" si="3"/>
        <v>#DIV/0!</v>
      </c>
      <c r="W23" s="164" t="e">
        <f t="shared" si="3"/>
        <v>#DIV/0!</v>
      </c>
      <c r="X23" s="164" t="e">
        <f t="shared" si="3"/>
        <v>#DIV/0!</v>
      </c>
      <c r="Y23" s="164" t="e">
        <f t="shared" si="3"/>
        <v>#DIV/0!</v>
      </c>
      <c r="Z23" s="164" t="e">
        <f t="shared" si="3"/>
        <v>#DIV/0!</v>
      </c>
      <c r="AA23" s="164" t="e">
        <f t="shared" si="3"/>
        <v>#DIV/0!</v>
      </c>
      <c r="AB23" s="164" t="e">
        <f t="shared" si="3"/>
        <v>#DIV/0!</v>
      </c>
      <c r="AC23" s="163" t="e">
        <f t="shared" si="3"/>
        <v>#DIV/0!</v>
      </c>
      <c r="AD23" s="164" t="e">
        <f t="shared" si="3"/>
        <v>#DIV/0!</v>
      </c>
      <c r="AE23" s="164" t="e">
        <f t="shared" si="3"/>
        <v>#DIV/0!</v>
      </c>
      <c r="AF23" s="164" t="e">
        <f t="shared" si="3"/>
        <v>#DIV/0!</v>
      </c>
      <c r="AG23" s="165" t="e">
        <f t="shared" si="3"/>
        <v>#DIV/0!</v>
      </c>
      <c r="AH23" s="164" t="e">
        <f t="shared" si="3"/>
        <v>#DIV/0!</v>
      </c>
      <c r="AI23" s="164" t="e">
        <f t="shared" si="3"/>
        <v>#DIV/0!</v>
      </c>
      <c r="AJ23" s="164" t="e">
        <f t="shared" si="3"/>
        <v>#DIV/0!</v>
      </c>
      <c r="AK23" s="164" t="e">
        <f t="shared" si="3"/>
        <v>#DIV/0!</v>
      </c>
      <c r="AL23" s="164" t="e">
        <f t="shared" si="3"/>
        <v>#DIV/0!</v>
      </c>
      <c r="AM23" s="164" t="e">
        <f t="shared" si="3"/>
        <v>#DIV/0!</v>
      </c>
      <c r="AN23" s="164" t="e">
        <f t="shared" si="3"/>
        <v>#DIV/0!</v>
      </c>
      <c r="AO23" s="164" t="e">
        <f t="shared" si="3"/>
        <v>#DIV/0!</v>
      </c>
      <c r="AP23" s="164"/>
      <c r="AQ23" s="164"/>
      <c r="AR23" s="164" t="e">
        <f t="shared" si="3"/>
        <v>#DIV/0!</v>
      </c>
      <c r="AS23" s="164" t="e">
        <f t="shared" si="3"/>
        <v>#DIV/0!</v>
      </c>
      <c r="AT23" s="164" t="e">
        <f t="shared" si="3"/>
        <v>#DIV/0!</v>
      </c>
      <c r="AU23" s="165" t="e">
        <f t="shared" si="3"/>
        <v>#DIV/0!</v>
      </c>
      <c r="AV23" s="36"/>
    </row>
    <row r="24" spans="3:48" ht="16.5" thickBot="1" x14ac:dyDescent="0.3">
      <c r="C24" s="60"/>
    </row>
    <row r="25" spans="3:48" x14ac:dyDescent="0.25">
      <c r="C25" s="154">
        <v>45509</v>
      </c>
      <c r="D25" s="278"/>
      <c r="E25" s="155"/>
      <c r="F25" s="103"/>
      <c r="G25" s="156"/>
      <c r="H25" s="302">
        <f>'Boat Expansion'!I56</f>
        <v>1.4135</v>
      </c>
      <c r="I25" s="104"/>
      <c r="J25" s="118"/>
      <c r="K25" s="157"/>
      <c r="L25" s="158"/>
      <c r="M25" s="158"/>
      <c r="N25" s="158"/>
      <c r="O25" s="158"/>
      <c r="P25" s="158"/>
      <c r="Q25" s="158"/>
      <c r="R25" s="158"/>
      <c r="S25" s="157"/>
      <c r="T25" s="158"/>
      <c r="U25" s="158"/>
      <c r="V25" s="159"/>
      <c r="W25" s="158"/>
      <c r="X25" s="158"/>
      <c r="Y25" s="158"/>
      <c r="Z25" s="158"/>
      <c r="AA25" s="158"/>
      <c r="AB25" s="158"/>
      <c r="AC25" s="157"/>
      <c r="AD25" s="158"/>
      <c r="AE25" s="158"/>
      <c r="AF25" s="158"/>
      <c r="AG25" s="159"/>
      <c r="AH25" s="158"/>
      <c r="AI25" s="158"/>
      <c r="AJ25" s="158"/>
      <c r="AK25" s="158"/>
      <c r="AL25" s="158"/>
      <c r="AM25" s="158"/>
      <c r="AN25" s="158"/>
      <c r="AO25" s="158"/>
      <c r="AP25" s="158"/>
      <c r="AQ25" s="158"/>
      <c r="AR25" s="158"/>
      <c r="AS25" s="158"/>
      <c r="AT25" s="158"/>
      <c r="AU25" s="159"/>
      <c r="AV25" s="24"/>
    </row>
    <row r="26" spans="3:48" x14ac:dyDescent="0.25">
      <c r="C26" s="127">
        <f t="shared" ref="C26:C31" si="4">C25+1</f>
        <v>45510</v>
      </c>
      <c r="D26" s="274"/>
      <c r="E26" s="54"/>
      <c r="F26" s="53"/>
      <c r="G26" s="129"/>
      <c r="H26" s="297"/>
      <c r="I26" s="98"/>
      <c r="J26" s="118"/>
      <c r="K26" s="95"/>
      <c r="L26" s="41"/>
      <c r="M26" s="41"/>
      <c r="N26" s="41"/>
      <c r="O26" s="41"/>
      <c r="P26" s="41"/>
      <c r="Q26" s="41"/>
      <c r="R26" s="41"/>
      <c r="S26" s="95"/>
      <c r="T26" s="41"/>
      <c r="U26" s="41"/>
      <c r="V26" s="42"/>
      <c r="W26" s="41"/>
      <c r="X26" s="41"/>
      <c r="Y26" s="41"/>
      <c r="Z26" s="41"/>
      <c r="AA26" s="41"/>
      <c r="AB26" s="41"/>
      <c r="AC26" s="95"/>
      <c r="AD26" s="41"/>
      <c r="AE26" s="41"/>
      <c r="AF26" s="41"/>
      <c r="AG26" s="42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2"/>
      <c r="AV26" s="24"/>
    </row>
    <row r="27" spans="3:48" x14ac:dyDescent="0.25">
      <c r="C27" s="127">
        <f t="shared" si="4"/>
        <v>45511</v>
      </c>
      <c r="D27" s="274"/>
      <c r="E27" s="54"/>
      <c r="F27" s="53"/>
      <c r="G27" s="129"/>
      <c r="H27" s="297"/>
      <c r="I27" s="98"/>
      <c r="J27" s="118"/>
      <c r="K27" s="95"/>
      <c r="L27" s="41"/>
      <c r="M27" s="41"/>
      <c r="N27" s="41"/>
      <c r="O27" s="41"/>
      <c r="P27" s="41"/>
      <c r="Q27" s="41"/>
      <c r="R27" s="41"/>
      <c r="S27" s="95"/>
      <c r="T27" s="41"/>
      <c r="U27" s="41"/>
      <c r="V27" s="42"/>
      <c r="W27" s="41"/>
      <c r="X27" s="41"/>
      <c r="Y27" s="41"/>
      <c r="Z27" s="41"/>
      <c r="AA27" s="41"/>
      <c r="AB27" s="41"/>
      <c r="AC27" s="95"/>
      <c r="AD27" s="41"/>
      <c r="AE27" s="41"/>
      <c r="AF27" s="41"/>
      <c r="AG27" s="42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2"/>
      <c r="AV27" s="24"/>
    </row>
    <row r="28" spans="3:48" x14ac:dyDescent="0.25">
      <c r="C28" s="127">
        <f t="shared" si="4"/>
        <v>45512</v>
      </c>
      <c r="D28" s="274"/>
      <c r="E28" s="54"/>
      <c r="F28" s="53"/>
      <c r="G28" s="129"/>
      <c r="H28" s="297">
        <f>'Boat Expansion'!I74</f>
        <v>0</v>
      </c>
      <c r="I28" s="98"/>
      <c r="J28" s="118"/>
      <c r="K28" s="95"/>
      <c r="L28" s="41"/>
      <c r="M28" s="41"/>
      <c r="N28" s="41"/>
      <c r="O28" s="41"/>
      <c r="P28" s="41"/>
      <c r="Q28" s="41"/>
      <c r="R28" s="41"/>
      <c r="S28" s="95"/>
      <c r="T28" s="41"/>
      <c r="U28" s="41"/>
      <c r="V28" s="42"/>
      <c r="W28" s="41"/>
      <c r="X28" s="41"/>
      <c r="Y28" s="41"/>
      <c r="Z28" s="41"/>
      <c r="AA28" s="41"/>
      <c r="AB28" s="41"/>
      <c r="AC28" s="95"/>
      <c r="AD28" s="41"/>
      <c r="AE28" s="41"/>
      <c r="AF28" s="41"/>
      <c r="AG28" s="42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2"/>
      <c r="AV28" s="24"/>
    </row>
    <row r="29" spans="3:48" x14ac:dyDescent="0.25">
      <c r="C29" s="127">
        <f t="shared" si="4"/>
        <v>45513</v>
      </c>
      <c r="D29" s="274"/>
      <c r="E29" s="54"/>
      <c r="F29" s="53"/>
      <c r="G29" s="129"/>
      <c r="H29" s="297"/>
      <c r="I29" s="98"/>
      <c r="J29" s="118"/>
      <c r="K29" s="95"/>
      <c r="L29" s="41"/>
      <c r="M29" s="41"/>
      <c r="N29" s="41"/>
      <c r="O29" s="41"/>
      <c r="P29" s="41"/>
      <c r="Q29" s="41"/>
      <c r="R29" s="41"/>
      <c r="S29" s="95"/>
      <c r="T29" s="41"/>
      <c r="U29" s="41"/>
      <c r="V29" s="42"/>
      <c r="W29" s="41"/>
      <c r="X29" s="41"/>
      <c r="Y29" s="41"/>
      <c r="Z29" s="41"/>
      <c r="AA29" s="41"/>
      <c r="AB29" s="41"/>
      <c r="AC29" s="95"/>
      <c r="AD29" s="41"/>
      <c r="AE29" s="41"/>
      <c r="AF29" s="41"/>
      <c r="AG29" s="42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2"/>
      <c r="AV29" s="24"/>
    </row>
    <row r="30" spans="3:48" x14ac:dyDescent="0.25">
      <c r="C30" s="127">
        <f t="shared" si="4"/>
        <v>45514</v>
      </c>
      <c r="D30" s="274"/>
      <c r="E30" s="54"/>
      <c r="F30" s="53"/>
      <c r="G30" s="129"/>
      <c r="H30" s="297">
        <f>'Boat Expansion'!I86</f>
        <v>0</v>
      </c>
      <c r="I30" s="98"/>
      <c r="J30" s="118"/>
      <c r="K30" s="95"/>
      <c r="L30" s="41"/>
      <c r="M30" s="41"/>
      <c r="N30" s="41"/>
      <c r="O30" s="41"/>
      <c r="P30" s="41"/>
      <c r="Q30" s="41"/>
      <c r="R30" s="41"/>
      <c r="S30" s="95"/>
      <c r="T30" s="41"/>
      <c r="U30" s="41"/>
      <c r="V30" s="42"/>
      <c r="W30" s="41"/>
      <c r="X30" s="41"/>
      <c r="Y30" s="41"/>
      <c r="Z30" s="41"/>
      <c r="AA30" s="41"/>
      <c r="AB30" s="41"/>
      <c r="AC30" s="95"/>
      <c r="AD30" s="41"/>
      <c r="AE30" s="41"/>
      <c r="AF30" s="41"/>
      <c r="AG30" s="42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2"/>
      <c r="AV30" s="24"/>
    </row>
    <row r="31" spans="3:48" ht="16.5" thickBot="1" x14ac:dyDescent="0.3">
      <c r="C31" s="130">
        <f t="shared" si="4"/>
        <v>45515</v>
      </c>
      <c r="D31" s="275"/>
      <c r="E31" s="99"/>
      <c r="F31" s="100"/>
      <c r="G31" s="131"/>
      <c r="H31" s="299">
        <v>0</v>
      </c>
      <c r="I31" s="102"/>
      <c r="J31" s="118"/>
      <c r="K31" s="96"/>
      <c r="L31" s="76"/>
      <c r="M31" s="76"/>
      <c r="N31" s="76"/>
      <c r="O31" s="76"/>
      <c r="P31" s="76"/>
      <c r="Q31" s="76"/>
      <c r="R31" s="76"/>
      <c r="S31" s="96"/>
      <c r="T31" s="76"/>
      <c r="U31" s="76"/>
      <c r="V31" s="77"/>
      <c r="W31" s="76"/>
      <c r="X31" s="76"/>
      <c r="Y31" s="76"/>
      <c r="Z31" s="76"/>
      <c r="AA31" s="76"/>
      <c r="AB31" s="76"/>
      <c r="AC31" s="96"/>
      <c r="AD31" s="76"/>
      <c r="AE31" s="76"/>
      <c r="AF31" s="76"/>
      <c r="AG31" s="77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7"/>
      <c r="AV31" s="41"/>
    </row>
    <row r="32" spans="3:48" ht="17.25" thickTop="1" thickBot="1" x14ac:dyDescent="0.3">
      <c r="C32" s="132" t="s">
        <v>17</v>
      </c>
      <c r="D32" s="276"/>
      <c r="E32" s="133">
        <f t="shared" ref="E32:G32" si="5">SUM(E25:E31)</f>
        <v>0</v>
      </c>
      <c r="F32" s="101">
        <f t="shared" si="5"/>
        <v>0</v>
      </c>
      <c r="G32" s="134">
        <f t="shared" si="5"/>
        <v>0</v>
      </c>
      <c r="H32" s="300">
        <f>SUM(H25:H31)</f>
        <v>1.4135</v>
      </c>
      <c r="I32" s="56">
        <v>0</v>
      </c>
      <c r="J32" s="146"/>
      <c r="K32" s="166">
        <f t="shared" ref="K32:AU32" si="6">SUM(K25:K31)</f>
        <v>0</v>
      </c>
      <c r="L32" s="167">
        <f t="shared" si="6"/>
        <v>0</v>
      </c>
      <c r="M32" s="167">
        <f t="shared" si="6"/>
        <v>0</v>
      </c>
      <c r="N32" s="167">
        <f t="shared" si="6"/>
        <v>0</v>
      </c>
      <c r="O32" s="167">
        <f t="shared" si="6"/>
        <v>0</v>
      </c>
      <c r="P32" s="167">
        <f t="shared" si="6"/>
        <v>0</v>
      </c>
      <c r="Q32" s="167">
        <f t="shared" si="6"/>
        <v>0</v>
      </c>
      <c r="R32" s="168">
        <f t="shared" si="6"/>
        <v>0</v>
      </c>
      <c r="S32" s="166">
        <f t="shared" si="6"/>
        <v>0</v>
      </c>
      <c r="T32" s="167">
        <f t="shared" si="6"/>
        <v>0</v>
      </c>
      <c r="U32" s="167">
        <f t="shared" si="6"/>
        <v>0</v>
      </c>
      <c r="V32" s="168">
        <f t="shared" si="6"/>
        <v>0</v>
      </c>
      <c r="W32" s="166">
        <f t="shared" si="6"/>
        <v>0</v>
      </c>
      <c r="X32" s="167">
        <f t="shared" si="6"/>
        <v>0</v>
      </c>
      <c r="Y32" s="167">
        <f t="shared" si="6"/>
        <v>0</v>
      </c>
      <c r="Z32" s="167">
        <f t="shared" si="6"/>
        <v>0</v>
      </c>
      <c r="AA32" s="167">
        <f t="shared" si="6"/>
        <v>0</v>
      </c>
      <c r="AB32" s="168">
        <f t="shared" si="6"/>
        <v>0</v>
      </c>
      <c r="AC32" s="166">
        <f t="shared" si="6"/>
        <v>0</v>
      </c>
      <c r="AD32" s="167">
        <f t="shared" si="6"/>
        <v>0</v>
      </c>
      <c r="AE32" s="167">
        <f t="shared" si="6"/>
        <v>0</v>
      </c>
      <c r="AF32" s="167">
        <f t="shared" si="6"/>
        <v>0</v>
      </c>
      <c r="AG32" s="168">
        <f t="shared" si="6"/>
        <v>0</v>
      </c>
      <c r="AH32" s="166">
        <f t="shared" si="6"/>
        <v>0</v>
      </c>
      <c r="AI32" s="167">
        <f t="shared" si="6"/>
        <v>0</v>
      </c>
      <c r="AJ32" s="167">
        <f t="shared" si="6"/>
        <v>0</v>
      </c>
      <c r="AK32" s="167">
        <f t="shared" si="6"/>
        <v>0</v>
      </c>
      <c r="AL32" s="167">
        <f t="shared" si="6"/>
        <v>0</v>
      </c>
      <c r="AM32" s="167">
        <f t="shared" si="6"/>
        <v>0</v>
      </c>
      <c r="AN32" s="167">
        <f t="shared" si="6"/>
        <v>0</v>
      </c>
      <c r="AO32" s="167">
        <f t="shared" si="6"/>
        <v>0</v>
      </c>
      <c r="AP32" s="167"/>
      <c r="AQ32" s="167"/>
      <c r="AR32" s="167">
        <f t="shared" si="6"/>
        <v>0</v>
      </c>
      <c r="AS32" s="167">
        <f t="shared" si="6"/>
        <v>0</v>
      </c>
      <c r="AT32" s="167">
        <f t="shared" si="6"/>
        <v>0</v>
      </c>
      <c r="AU32" s="168">
        <f t="shared" si="6"/>
        <v>0</v>
      </c>
      <c r="AV32" s="36"/>
    </row>
    <row r="33" spans="3:47" ht="16.5" thickBot="1" x14ac:dyDescent="0.3">
      <c r="C33" s="60"/>
      <c r="K33" s="163">
        <v>0</v>
      </c>
      <c r="L33" s="164">
        <v>0</v>
      </c>
      <c r="M33" s="164">
        <v>0</v>
      </c>
      <c r="N33" s="164">
        <v>0</v>
      </c>
      <c r="O33" s="164">
        <v>0</v>
      </c>
      <c r="P33" s="164">
        <v>0</v>
      </c>
      <c r="Q33" s="164">
        <v>0</v>
      </c>
      <c r="R33" s="164">
        <v>0</v>
      </c>
      <c r="S33" s="163">
        <v>0</v>
      </c>
      <c r="T33" s="164">
        <v>0</v>
      </c>
      <c r="U33" s="164">
        <v>0</v>
      </c>
      <c r="V33" s="165">
        <v>0</v>
      </c>
      <c r="W33" s="164">
        <v>0</v>
      </c>
      <c r="X33" s="164">
        <v>0</v>
      </c>
      <c r="Y33" s="164">
        <v>0</v>
      </c>
      <c r="Z33" s="164">
        <v>0</v>
      </c>
      <c r="AA33" s="164">
        <v>0</v>
      </c>
      <c r="AB33" s="164">
        <v>0</v>
      </c>
      <c r="AC33" s="163">
        <v>0</v>
      </c>
      <c r="AD33" s="164">
        <v>0</v>
      </c>
      <c r="AE33" s="164">
        <v>0</v>
      </c>
      <c r="AF33" s="164">
        <v>0</v>
      </c>
      <c r="AG33" s="165">
        <v>0</v>
      </c>
      <c r="AH33" s="164">
        <v>0</v>
      </c>
      <c r="AI33" s="164">
        <v>0</v>
      </c>
      <c r="AJ33" s="164">
        <v>0</v>
      </c>
      <c r="AK33" s="164">
        <v>0</v>
      </c>
      <c r="AL33" s="164">
        <v>0</v>
      </c>
      <c r="AM33" s="164">
        <v>0</v>
      </c>
      <c r="AN33" s="164">
        <v>0</v>
      </c>
      <c r="AO33" s="164">
        <v>0</v>
      </c>
      <c r="AP33" s="164">
        <v>0</v>
      </c>
      <c r="AQ33" s="164">
        <v>0</v>
      </c>
      <c r="AR33" s="164">
        <v>0</v>
      </c>
      <c r="AS33" s="164">
        <v>0</v>
      </c>
      <c r="AT33" s="164">
        <v>0</v>
      </c>
      <c r="AU33" s="165">
        <v>0</v>
      </c>
    </row>
    <row r="34" spans="3:47" ht="16.5" thickBot="1" x14ac:dyDescent="0.3">
      <c r="C34" s="60"/>
    </row>
    <row r="35" spans="3:47" x14ac:dyDescent="0.25">
      <c r="C35" s="154">
        <f>C31+1</f>
        <v>45516</v>
      </c>
      <c r="D35" s="278"/>
      <c r="E35" s="155"/>
      <c r="F35" s="103"/>
      <c r="G35" s="156"/>
      <c r="H35" s="302"/>
      <c r="I35" s="104"/>
      <c r="J35" s="118"/>
      <c r="K35" s="157"/>
      <c r="L35" s="158"/>
      <c r="M35" s="158"/>
      <c r="N35" s="158"/>
      <c r="O35" s="158"/>
      <c r="P35" s="158"/>
      <c r="Q35" s="158"/>
      <c r="R35" s="158"/>
      <c r="S35" s="157"/>
      <c r="T35" s="158"/>
      <c r="U35" s="158"/>
      <c r="V35" s="159"/>
      <c r="W35" s="157"/>
      <c r="X35" s="158"/>
      <c r="Y35" s="158"/>
      <c r="Z35" s="158"/>
      <c r="AA35" s="158"/>
      <c r="AB35" s="159"/>
      <c r="AC35" s="157"/>
      <c r="AD35" s="158"/>
      <c r="AE35" s="158"/>
      <c r="AF35" s="158"/>
      <c r="AG35" s="159"/>
      <c r="AH35" s="158"/>
      <c r="AI35" s="158"/>
      <c r="AJ35" s="158"/>
      <c r="AK35" s="158"/>
      <c r="AL35" s="158"/>
      <c r="AM35" s="158"/>
      <c r="AN35" s="158"/>
      <c r="AO35" s="158"/>
      <c r="AP35" s="158"/>
      <c r="AQ35" s="158"/>
      <c r="AR35" s="158"/>
      <c r="AS35" s="158"/>
      <c r="AT35" s="158"/>
      <c r="AU35" s="159"/>
    </row>
    <row r="36" spans="3:47" x14ac:dyDescent="0.25">
      <c r="C36" s="127">
        <f t="shared" ref="C36:C41" si="7">C35+1</f>
        <v>45517</v>
      </c>
      <c r="D36" s="274"/>
      <c r="E36" s="54"/>
      <c r="F36" s="53"/>
      <c r="G36" s="129"/>
      <c r="H36" s="297"/>
      <c r="I36" s="98"/>
      <c r="J36" s="118"/>
      <c r="K36" s="95"/>
      <c r="L36" s="41"/>
      <c r="M36" s="41"/>
      <c r="N36" s="41"/>
      <c r="O36" s="41"/>
      <c r="P36" s="41"/>
      <c r="Q36" s="41"/>
      <c r="R36" s="41"/>
      <c r="S36" s="95"/>
      <c r="T36" s="41"/>
      <c r="U36" s="41"/>
      <c r="V36" s="42"/>
      <c r="W36" s="95"/>
      <c r="X36" s="41"/>
      <c r="Y36" s="41"/>
      <c r="Z36" s="41"/>
      <c r="AA36" s="41"/>
      <c r="AB36" s="42"/>
      <c r="AC36" s="95"/>
      <c r="AD36" s="41"/>
      <c r="AE36" s="41"/>
      <c r="AF36" s="41"/>
      <c r="AG36" s="42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2"/>
    </row>
    <row r="37" spans="3:47" x14ac:dyDescent="0.25">
      <c r="C37" s="127">
        <f t="shared" si="7"/>
        <v>45518</v>
      </c>
      <c r="D37" s="274"/>
      <c r="E37" s="54"/>
      <c r="F37" s="53"/>
      <c r="G37" s="129"/>
      <c r="H37" s="297"/>
      <c r="I37" s="98"/>
      <c r="J37" s="118"/>
      <c r="K37" s="95"/>
      <c r="L37" s="41"/>
      <c r="M37" s="41"/>
      <c r="N37" s="41"/>
      <c r="O37" s="41"/>
      <c r="P37" s="41"/>
      <c r="Q37" s="41"/>
      <c r="R37" s="41"/>
      <c r="S37" s="95"/>
      <c r="T37" s="41"/>
      <c r="U37" s="41"/>
      <c r="V37" s="42"/>
      <c r="W37" s="95"/>
      <c r="X37" s="41"/>
      <c r="Y37" s="41"/>
      <c r="Z37" s="41"/>
      <c r="AA37" s="41"/>
      <c r="AB37" s="42"/>
      <c r="AC37" s="95"/>
      <c r="AD37" s="41"/>
      <c r="AE37" s="41"/>
      <c r="AF37" s="41"/>
      <c r="AG37" s="42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2"/>
    </row>
    <row r="38" spans="3:47" x14ac:dyDescent="0.25">
      <c r="C38" s="127">
        <f t="shared" si="7"/>
        <v>45519</v>
      </c>
      <c r="D38" s="274"/>
      <c r="E38" s="54"/>
      <c r="F38" s="53"/>
      <c r="G38" s="129"/>
      <c r="H38" s="297">
        <f>'Boat Expansion'!I116</f>
        <v>0</v>
      </c>
      <c r="I38" s="98"/>
      <c r="J38" s="118"/>
      <c r="K38" s="95"/>
      <c r="L38" s="41"/>
      <c r="M38" s="41"/>
      <c r="N38" s="41"/>
      <c r="O38" s="41"/>
      <c r="P38" s="41"/>
      <c r="Q38" s="41"/>
      <c r="R38" s="41"/>
      <c r="S38" s="95"/>
      <c r="T38" s="41"/>
      <c r="U38" s="41"/>
      <c r="V38" s="42"/>
      <c r="W38" s="95"/>
      <c r="X38" s="41"/>
      <c r="Y38" s="41"/>
      <c r="Z38" s="41"/>
      <c r="AA38" s="41"/>
      <c r="AB38" s="42"/>
      <c r="AC38" s="95"/>
      <c r="AD38" s="41"/>
      <c r="AE38" s="41"/>
      <c r="AF38" s="41"/>
      <c r="AG38" s="42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2"/>
    </row>
    <row r="39" spans="3:47" x14ac:dyDescent="0.25">
      <c r="C39" s="127">
        <f t="shared" si="7"/>
        <v>45520</v>
      </c>
      <c r="D39" s="274"/>
      <c r="E39" s="54"/>
      <c r="F39" s="53"/>
      <c r="G39" s="129"/>
      <c r="H39" s="297"/>
      <c r="I39" s="98"/>
      <c r="J39" s="118"/>
      <c r="K39" s="95"/>
      <c r="L39" s="41"/>
      <c r="M39" s="41"/>
      <c r="N39" s="41"/>
      <c r="O39" s="41"/>
      <c r="P39" s="41"/>
      <c r="Q39" s="41"/>
      <c r="R39" s="41"/>
      <c r="S39" s="95"/>
      <c r="T39" s="41"/>
      <c r="U39" s="41"/>
      <c r="V39" s="42"/>
      <c r="W39" s="95"/>
      <c r="X39" s="41"/>
      <c r="Y39" s="41"/>
      <c r="Z39" s="41"/>
      <c r="AA39" s="41"/>
      <c r="AB39" s="42"/>
      <c r="AC39" s="95"/>
      <c r="AD39" s="41"/>
      <c r="AE39" s="41"/>
      <c r="AF39" s="41"/>
      <c r="AG39" s="42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2"/>
    </row>
    <row r="40" spans="3:47" x14ac:dyDescent="0.25">
      <c r="C40" s="127">
        <f t="shared" si="7"/>
        <v>45521</v>
      </c>
      <c r="D40" s="274"/>
      <c r="E40" s="54"/>
      <c r="F40" s="53"/>
      <c r="G40" s="129"/>
      <c r="H40" s="297">
        <f>'Boat Expansion'!I128</f>
        <v>0</v>
      </c>
      <c r="I40" s="98"/>
      <c r="J40" s="118"/>
      <c r="K40" s="95"/>
      <c r="L40" s="41"/>
      <c r="M40" s="41"/>
      <c r="N40" s="41"/>
      <c r="O40" s="41"/>
      <c r="P40" s="41"/>
      <c r="Q40" s="41"/>
      <c r="R40" s="41"/>
      <c r="S40" s="95"/>
      <c r="T40" s="41"/>
      <c r="U40" s="41"/>
      <c r="V40" s="42"/>
      <c r="W40" s="95"/>
      <c r="X40" s="41"/>
      <c r="Y40" s="41"/>
      <c r="Z40" s="41"/>
      <c r="AA40" s="41"/>
      <c r="AB40" s="42"/>
      <c r="AC40" s="95"/>
      <c r="AD40" s="41"/>
      <c r="AE40" s="41"/>
      <c r="AF40" s="41"/>
      <c r="AG40" s="42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2"/>
    </row>
    <row r="41" spans="3:47" ht="16.5" thickBot="1" x14ac:dyDescent="0.3">
      <c r="C41" s="130">
        <f t="shared" si="7"/>
        <v>45522</v>
      </c>
      <c r="D41" s="275"/>
      <c r="E41" s="99"/>
      <c r="F41" s="100"/>
      <c r="G41" s="131"/>
      <c r="H41" s="299">
        <f>'Boat Expansion'!I134</f>
        <v>0</v>
      </c>
      <c r="I41" s="102"/>
      <c r="J41" s="118"/>
      <c r="K41" s="96"/>
      <c r="L41" s="76"/>
      <c r="M41" s="76"/>
      <c r="N41" s="76"/>
      <c r="O41" s="76"/>
      <c r="P41" s="76"/>
      <c r="Q41" s="76"/>
      <c r="R41" s="76"/>
      <c r="S41" s="96"/>
      <c r="T41" s="76"/>
      <c r="U41" s="76"/>
      <c r="V41" s="77"/>
      <c r="W41" s="96"/>
      <c r="X41" s="76"/>
      <c r="Y41" s="76"/>
      <c r="Z41" s="76"/>
      <c r="AA41" s="76"/>
      <c r="AB41" s="77"/>
      <c r="AC41" s="96"/>
      <c r="AD41" s="76"/>
      <c r="AE41" s="76"/>
      <c r="AF41" s="76"/>
      <c r="AG41" s="77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7"/>
    </row>
    <row r="42" spans="3:47" ht="17.25" thickTop="1" thickBot="1" x14ac:dyDescent="0.3">
      <c r="C42" s="132" t="s">
        <v>17</v>
      </c>
      <c r="D42" s="276"/>
      <c r="E42" s="133">
        <f t="shared" ref="E42:G42" si="8">SUM(E35:E41)</f>
        <v>0</v>
      </c>
      <c r="F42" s="101">
        <f t="shared" si="8"/>
        <v>0</v>
      </c>
      <c r="G42" s="134">
        <f t="shared" si="8"/>
        <v>0</v>
      </c>
      <c r="H42" s="300">
        <f>SUM(H35:H41)</f>
        <v>0</v>
      </c>
      <c r="I42" s="56" t="e">
        <f>E42/H42</f>
        <v>#DIV/0!</v>
      </c>
      <c r="J42" s="146"/>
      <c r="K42" s="166">
        <f t="shared" ref="K42:AU42" si="9">SUM(K35:K41)</f>
        <v>0</v>
      </c>
      <c r="L42" s="167">
        <f t="shared" si="9"/>
        <v>0</v>
      </c>
      <c r="M42" s="167">
        <f t="shared" si="9"/>
        <v>0</v>
      </c>
      <c r="N42" s="167">
        <f t="shared" si="9"/>
        <v>0</v>
      </c>
      <c r="O42" s="167">
        <f t="shared" si="9"/>
        <v>0</v>
      </c>
      <c r="P42" s="167">
        <f t="shared" si="9"/>
        <v>0</v>
      </c>
      <c r="Q42" s="167">
        <f t="shared" si="9"/>
        <v>0</v>
      </c>
      <c r="R42" s="168">
        <f t="shared" si="9"/>
        <v>0</v>
      </c>
      <c r="S42" s="166">
        <f t="shared" si="9"/>
        <v>0</v>
      </c>
      <c r="T42" s="167">
        <f t="shared" si="9"/>
        <v>0</v>
      </c>
      <c r="U42" s="167">
        <f t="shared" si="9"/>
        <v>0</v>
      </c>
      <c r="V42" s="168">
        <f t="shared" si="9"/>
        <v>0</v>
      </c>
      <c r="W42" s="166">
        <f t="shared" si="9"/>
        <v>0</v>
      </c>
      <c r="X42" s="167">
        <f t="shared" si="9"/>
        <v>0</v>
      </c>
      <c r="Y42" s="167">
        <f t="shared" si="9"/>
        <v>0</v>
      </c>
      <c r="Z42" s="167">
        <f t="shared" si="9"/>
        <v>0</v>
      </c>
      <c r="AA42" s="167">
        <f t="shared" si="9"/>
        <v>0</v>
      </c>
      <c r="AB42" s="168">
        <f t="shared" si="9"/>
        <v>0</v>
      </c>
      <c r="AC42" s="166">
        <f t="shared" si="9"/>
        <v>0</v>
      </c>
      <c r="AD42" s="167">
        <f t="shared" si="9"/>
        <v>0</v>
      </c>
      <c r="AE42" s="167">
        <f t="shared" si="9"/>
        <v>0</v>
      </c>
      <c r="AF42" s="167">
        <f t="shared" si="9"/>
        <v>0</v>
      </c>
      <c r="AG42" s="168">
        <f t="shared" si="9"/>
        <v>0</v>
      </c>
      <c r="AH42" s="166">
        <f t="shared" si="9"/>
        <v>0</v>
      </c>
      <c r="AI42" s="167">
        <f t="shared" si="9"/>
        <v>0</v>
      </c>
      <c r="AJ42" s="167">
        <f t="shared" si="9"/>
        <v>0</v>
      </c>
      <c r="AK42" s="167">
        <f t="shared" si="9"/>
        <v>0</v>
      </c>
      <c r="AL42" s="167">
        <f t="shared" si="9"/>
        <v>0</v>
      </c>
      <c r="AM42" s="167">
        <f t="shared" si="9"/>
        <v>0</v>
      </c>
      <c r="AN42" s="167">
        <f t="shared" si="9"/>
        <v>0</v>
      </c>
      <c r="AO42" s="167">
        <f t="shared" si="9"/>
        <v>0</v>
      </c>
      <c r="AP42" s="167">
        <f t="shared" ref="AP42:AQ42" si="10">SUM(AP35:AP41)</f>
        <v>0</v>
      </c>
      <c r="AQ42" s="167">
        <f t="shared" si="10"/>
        <v>0</v>
      </c>
      <c r="AR42" s="167">
        <f t="shared" si="9"/>
        <v>0</v>
      </c>
      <c r="AS42" s="167">
        <f t="shared" si="9"/>
        <v>0</v>
      </c>
      <c r="AT42" s="167">
        <f t="shared" si="9"/>
        <v>0</v>
      </c>
      <c r="AU42" s="168">
        <f t="shared" si="9"/>
        <v>0</v>
      </c>
    </row>
    <row r="43" spans="3:47" ht="16.5" thickBot="1" x14ac:dyDescent="0.3">
      <c r="K43" s="163" t="e">
        <f>K42/$I42</f>
        <v>#DIV/0!</v>
      </c>
      <c r="L43" s="164" t="e">
        <f t="shared" ref="L43" si="11">L42/$I42</f>
        <v>#DIV/0!</v>
      </c>
      <c r="M43" s="164" t="e">
        <f t="shared" ref="M43" si="12">M42/$I42</f>
        <v>#DIV/0!</v>
      </c>
      <c r="N43" s="164" t="e">
        <f t="shared" ref="N43" si="13">N42/$I42</f>
        <v>#DIV/0!</v>
      </c>
      <c r="O43" s="164" t="e">
        <f t="shared" ref="O43" si="14">O42/$I42</f>
        <v>#DIV/0!</v>
      </c>
      <c r="P43" s="164" t="e">
        <f t="shared" ref="P43" si="15">P42/$I42</f>
        <v>#DIV/0!</v>
      </c>
      <c r="Q43" s="164" t="e">
        <f t="shared" ref="Q43" si="16">Q42/$I42</f>
        <v>#DIV/0!</v>
      </c>
      <c r="R43" s="164" t="e">
        <f t="shared" ref="R43" si="17">R42/$I42</f>
        <v>#DIV/0!</v>
      </c>
      <c r="S43" s="163" t="e">
        <f t="shared" ref="S43" si="18">S42/$I42</f>
        <v>#DIV/0!</v>
      </c>
      <c r="T43" s="164" t="e">
        <f t="shared" ref="T43" si="19">T42/$I42</f>
        <v>#DIV/0!</v>
      </c>
      <c r="U43" s="164" t="e">
        <f t="shared" ref="U43" si="20">U42/$I42</f>
        <v>#DIV/0!</v>
      </c>
      <c r="V43" s="165" t="e">
        <f t="shared" ref="V43" si="21">V42/$I42</f>
        <v>#DIV/0!</v>
      </c>
      <c r="W43" s="164" t="e">
        <f t="shared" ref="W43" si="22">W42/$I42</f>
        <v>#DIV/0!</v>
      </c>
      <c r="X43" s="164" t="e">
        <f t="shared" ref="X43" si="23">X42/$I42</f>
        <v>#DIV/0!</v>
      </c>
      <c r="Y43" s="164" t="e">
        <f t="shared" ref="Y43" si="24">Y42/$I42</f>
        <v>#DIV/0!</v>
      </c>
      <c r="Z43" s="164" t="e">
        <f t="shared" ref="Z43" si="25">Z42/$I42</f>
        <v>#DIV/0!</v>
      </c>
      <c r="AA43" s="164" t="e">
        <f t="shared" ref="AA43" si="26">AA42/$I42</f>
        <v>#DIV/0!</v>
      </c>
      <c r="AB43" s="164" t="e">
        <f t="shared" ref="AB43" si="27">AB42/$I42</f>
        <v>#DIV/0!</v>
      </c>
      <c r="AC43" s="163" t="e">
        <f t="shared" ref="AC43" si="28">AC42/$I42</f>
        <v>#DIV/0!</v>
      </c>
      <c r="AD43" s="164" t="e">
        <f t="shared" ref="AD43" si="29">AD42/$I42</f>
        <v>#DIV/0!</v>
      </c>
      <c r="AE43" s="164" t="e">
        <f t="shared" ref="AE43" si="30">AE42/$I42</f>
        <v>#DIV/0!</v>
      </c>
      <c r="AF43" s="164" t="e">
        <f t="shared" ref="AF43" si="31">AF42/$I42</f>
        <v>#DIV/0!</v>
      </c>
      <c r="AG43" s="165" t="e">
        <f t="shared" ref="AG43" si="32">AG42/$I42</f>
        <v>#DIV/0!</v>
      </c>
      <c r="AH43" s="164" t="e">
        <f t="shared" ref="AH43" si="33">AH42/$I42</f>
        <v>#DIV/0!</v>
      </c>
      <c r="AI43" s="164" t="e">
        <f t="shared" ref="AI43" si="34">AI42/$I42</f>
        <v>#DIV/0!</v>
      </c>
      <c r="AJ43" s="164" t="e">
        <f t="shared" ref="AJ43" si="35">AJ42/$I42</f>
        <v>#DIV/0!</v>
      </c>
      <c r="AK43" s="164" t="e">
        <f t="shared" ref="AK43" si="36">AK42/$I42</f>
        <v>#DIV/0!</v>
      </c>
      <c r="AL43" s="164" t="e">
        <f t="shared" ref="AL43" si="37">AL42/$I42</f>
        <v>#DIV/0!</v>
      </c>
      <c r="AM43" s="164" t="e">
        <f t="shared" ref="AM43" si="38">AM42/$I42</f>
        <v>#DIV/0!</v>
      </c>
      <c r="AN43" s="164" t="e">
        <f t="shared" ref="AN43" si="39">AN42/$I42</f>
        <v>#DIV/0!</v>
      </c>
      <c r="AO43" s="164" t="e">
        <f t="shared" ref="AO43:AP43" si="40">AO42/$I42</f>
        <v>#DIV/0!</v>
      </c>
      <c r="AP43" s="164" t="e">
        <f t="shared" si="40"/>
        <v>#DIV/0!</v>
      </c>
      <c r="AQ43" s="164" t="e">
        <f t="shared" ref="AQ43" si="41">AQ42/$I42</f>
        <v>#DIV/0!</v>
      </c>
      <c r="AR43" s="164" t="e">
        <f t="shared" ref="AR43" si="42">AR42/$I42</f>
        <v>#DIV/0!</v>
      </c>
      <c r="AS43" s="164" t="e">
        <f t="shared" ref="AS43" si="43">AS42/$I42</f>
        <v>#DIV/0!</v>
      </c>
      <c r="AT43" s="164" t="e">
        <f t="shared" ref="AT43" si="44">AT42/$I42</f>
        <v>#DIV/0!</v>
      </c>
      <c r="AU43" s="165" t="e">
        <f t="shared" ref="AU43" si="45">AU42/$I42</f>
        <v>#DIV/0!</v>
      </c>
    </row>
    <row r="44" spans="3:47" ht="16.5" thickBot="1" x14ac:dyDescent="0.3"/>
    <row r="45" spans="3:47" x14ac:dyDescent="0.25">
      <c r="C45" s="154">
        <f>C41+1</f>
        <v>45523</v>
      </c>
      <c r="D45" s="278"/>
      <c r="E45" s="155"/>
      <c r="F45" s="103"/>
      <c r="G45" s="156"/>
      <c r="H45" s="302"/>
      <c r="I45" s="104"/>
      <c r="J45" s="118"/>
      <c r="K45" s="157"/>
      <c r="L45" s="158"/>
      <c r="M45" s="158"/>
      <c r="N45" s="158"/>
      <c r="O45" s="158"/>
      <c r="P45" s="158"/>
      <c r="Q45" s="158"/>
      <c r="R45" s="158"/>
      <c r="S45" s="157"/>
      <c r="T45" s="158"/>
      <c r="U45" s="158"/>
      <c r="V45" s="159"/>
      <c r="W45" s="157"/>
      <c r="X45" s="158"/>
      <c r="Y45" s="158"/>
      <c r="Z45" s="158"/>
      <c r="AA45" s="158"/>
      <c r="AB45" s="159"/>
      <c r="AC45" s="157"/>
      <c r="AD45" s="158"/>
      <c r="AE45" s="158"/>
      <c r="AF45" s="158"/>
      <c r="AG45" s="159"/>
      <c r="AH45" s="158"/>
      <c r="AI45" s="158"/>
      <c r="AJ45" s="158"/>
      <c r="AK45" s="158"/>
      <c r="AL45" s="158"/>
      <c r="AM45" s="158"/>
      <c r="AN45" s="158"/>
      <c r="AO45" s="158"/>
      <c r="AP45" s="158"/>
      <c r="AQ45" s="158"/>
      <c r="AR45" s="158"/>
      <c r="AS45" s="158"/>
      <c r="AT45" s="158"/>
      <c r="AU45" s="159"/>
    </row>
    <row r="46" spans="3:47" x14ac:dyDescent="0.25">
      <c r="C46" s="127">
        <f t="shared" ref="C46:C51" si="46">C45+1</f>
        <v>45524</v>
      </c>
      <c r="D46" s="274"/>
      <c r="E46" s="54"/>
      <c r="F46" s="53"/>
      <c r="G46" s="129"/>
      <c r="H46" s="297"/>
      <c r="I46" s="98"/>
      <c r="J46" s="118"/>
      <c r="K46" s="95"/>
      <c r="L46" s="41"/>
      <c r="M46" s="41"/>
      <c r="N46" s="41"/>
      <c r="O46" s="41"/>
      <c r="P46" s="41"/>
      <c r="Q46" s="41"/>
      <c r="R46" s="41"/>
      <c r="S46" s="95"/>
      <c r="T46" s="41"/>
      <c r="U46" s="41"/>
      <c r="V46" s="42"/>
      <c r="W46" s="95"/>
      <c r="X46" s="41"/>
      <c r="Y46" s="41"/>
      <c r="Z46" s="41"/>
      <c r="AA46" s="41"/>
      <c r="AB46" s="42"/>
      <c r="AC46" s="95"/>
      <c r="AD46" s="41"/>
      <c r="AE46" s="41"/>
      <c r="AF46" s="41"/>
      <c r="AG46" s="42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2"/>
    </row>
    <row r="47" spans="3:47" x14ac:dyDescent="0.25">
      <c r="C47" s="127">
        <f t="shared" si="46"/>
        <v>45525</v>
      </c>
      <c r="D47" s="274"/>
      <c r="E47" s="54"/>
      <c r="F47" s="53"/>
      <c r="G47" s="129"/>
      <c r="H47" s="297"/>
      <c r="I47" s="98"/>
      <c r="J47" s="118"/>
      <c r="K47" s="95"/>
      <c r="L47" s="41"/>
      <c r="M47" s="41"/>
      <c r="N47" s="41"/>
      <c r="O47" s="41"/>
      <c r="P47" s="41"/>
      <c r="Q47" s="41"/>
      <c r="R47" s="41"/>
      <c r="S47" s="95"/>
      <c r="T47" s="41"/>
      <c r="U47" s="41"/>
      <c r="V47" s="42"/>
      <c r="W47" s="95"/>
      <c r="X47" s="41"/>
      <c r="Y47" s="41"/>
      <c r="Z47" s="41"/>
      <c r="AA47" s="41"/>
      <c r="AB47" s="42"/>
      <c r="AC47" s="95"/>
      <c r="AD47" s="41"/>
      <c r="AE47" s="41"/>
      <c r="AF47" s="41"/>
      <c r="AG47" s="42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2"/>
    </row>
    <row r="48" spans="3:47" x14ac:dyDescent="0.25">
      <c r="C48" s="127">
        <f t="shared" si="46"/>
        <v>45526</v>
      </c>
      <c r="D48" s="274"/>
      <c r="E48" s="54"/>
      <c r="F48" s="53"/>
      <c r="G48" s="129"/>
      <c r="H48" s="297"/>
      <c r="I48" s="98"/>
      <c r="J48" s="118"/>
      <c r="K48" s="95"/>
      <c r="L48" s="41"/>
      <c r="M48" s="41"/>
      <c r="N48" s="41"/>
      <c r="O48" s="41"/>
      <c r="P48" s="41"/>
      <c r="Q48" s="41"/>
      <c r="R48" s="41"/>
      <c r="S48" s="95"/>
      <c r="T48" s="41"/>
      <c r="U48" s="41"/>
      <c r="V48" s="42"/>
      <c r="W48" s="95"/>
      <c r="X48" s="41"/>
      <c r="Y48" s="41"/>
      <c r="Z48" s="41"/>
      <c r="AA48" s="41"/>
      <c r="AB48" s="42"/>
      <c r="AC48" s="95"/>
      <c r="AD48" s="41"/>
      <c r="AE48" s="41"/>
      <c r="AF48" s="41"/>
      <c r="AG48" s="42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2"/>
    </row>
    <row r="49" spans="3:47" x14ac:dyDescent="0.25">
      <c r="C49" s="127">
        <f t="shared" si="46"/>
        <v>45527</v>
      </c>
      <c r="D49" s="274"/>
      <c r="E49" s="54"/>
      <c r="F49" s="53"/>
      <c r="G49" s="129"/>
      <c r="H49" s="297"/>
      <c r="I49" s="98"/>
      <c r="J49" s="118"/>
      <c r="K49" s="95"/>
      <c r="L49" s="41"/>
      <c r="M49" s="41"/>
      <c r="N49" s="41"/>
      <c r="O49" s="41"/>
      <c r="P49" s="41"/>
      <c r="Q49" s="41"/>
      <c r="R49" s="41"/>
      <c r="S49" s="95"/>
      <c r="T49" s="41"/>
      <c r="U49" s="41"/>
      <c r="V49" s="42"/>
      <c r="W49" s="95"/>
      <c r="X49" s="41"/>
      <c r="Y49" s="41"/>
      <c r="Z49" s="41"/>
      <c r="AA49" s="41"/>
      <c r="AB49" s="42"/>
      <c r="AC49" s="95"/>
      <c r="AD49" s="41"/>
      <c r="AE49" s="41"/>
      <c r="AF49" s="41"/>
      <c r="AG49" s="42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2"/>
    </row>
    <row r="50" spans="3:47" x14ac:dyDescent="0.25">
      <c r="C50" s="127">
        <f t="shared" si="46"/>
        <v>45528</v>
      </c>
      <c r="D50" s="274"/>
      <c r="E50" s="54"/>
      <c r="F50" s="53"/>
      <c r="G50" s="129"/>
      <c r="H50" s="297"/>
      <c r="I50" s="98"/>
      <c r="J50" s="118"/>
      <c r="K50" s="95"/>
      <c r="L50" s="41"/>
      <c r="M50" s="41"/>
      <c r="N50" s="41"/>
      <c r="O50" s="41"/>
      <c r="P50" s="41"/>
      <c r="Q50" s="41"/>
      <c r="R50" s="41"/>
      <c r="S50" s="95"/>
      <c r="T50" s="41"/>
      <c r="U50" s="41"/>
      <c r="V50" s="42"/>
      <c r="W50" s="95"/>
      <c r="X50" s="41"/>
      <c r="Y50" s="41"/>
      <c r="Z50" s="41"/>
      <c r="AA50" s="41"/>
      <c r="AB50" s="42"/>
      <c r="AC50" s="95"/>
      <c r="AD50" s="41"/>
      <c r="AE50" s="41"/>
      <c r="AF50" s="41"/>
      <c r="AG50" s="42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2"/>
    </row>
    <row r="51" spans="3:47" ht="16.5" thickBot="1" x14ac:dyDescent="0.3">
      <c r="C51" s="130">
        <f t="shared" si="46"/>
        <v>45529</v>
      </c>
      <c r="D51" s="275"/>
      <c r="E51" s="99"/>
      <c r="F51" s="100"/>
      <c r="G51" s="131"/>
      <c r="H51" s="299"/>
      <c r="I51" s="102"/>
      <c r="J51" s="118"/>
      <c r="K51" s="96"/>
      <c r="L51" s="76"/>
      <c r="M51" s="76"/>
      <c r="N51" s="76"/>
      <c r="O51" s="76"/>
      <c r="P51" s="76"/>
      <c r="Q51" s="76"/>
      <c r="R51" s="76"/>
      <c r="S51" s="96"/>
      <c r="T51" s="76"/>
      <c r="U51" s="76"/>
      <c r="V51" s="77"/>
      <c r="W51" s="96"/>
      <c r="X51" s="76"/>
      <c r="Y51" s="76"/>
      <c r="Z51" s="76"/>
      <c r="AA51" s="76"/>
      <c r="AB51" s="77"/>
      <c r="AC51" s="96"/>
      <c r="AD51" s="76"/>
      <c r="AE51" s="76"/>
      <c r="AF51" s="76"/>
      <c r="AG51" s="77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7"/>
    </row>
    <row r="52" spans="3:47" ht="17.25" thickTop="1" thickBot="1" x14ac:dyDescent="0.3">
      <c r="C52" s="132" t="s">
        <v>17</v>
      </c>
      <c r="D52" s="276"/>
      <c r="E52" s="133">
        <f t="shared" ref="E52:G52" si="47">SUM(E45:E51)</f>
        <v>0</v>
      </c>
      <c r="F52" s="101">
        <f t="shared" si="47"/>
        <v>0</v>
      </c>
      <c r="G52" s="134">
        <f t="shared" si="47"/>
        <v>0</v>
      </c>
      <c r="H52" s="300">
        <f>SUM(H45:H51)</f>
        <v>0</v>
      </c>
      <c r="I52" s="56" t="e">
        <f>E52/H52</f>
        <v>#DIV/0!</v>
      </c>
      <c r="J52" s="146"/>
      <c r="K52" s="166">
        <f t="shared" ref="K52:AU52" si="48">SUM(K45:K51)</f>
        <v>0</v>
      </c>
      <c r="L52" s="167">
        <f t="shared" si="48"/>
        <v>0</v>
      </c>
      <c r="M52" s="167">
        <f t="shared" si="48"/>
        <v>0</v>
      </c>
      <c r="N52" s="167">
        <f t="shared" si="48"/>
        <v>0</v>
      </c>
      <c r="O52" s="167">
        <f t="shared" si="48"/>
        <v>0</v>
      </c>
      <c r="P52" s="167">
        <f t="shared" si="48"/>
        <v>0</v>
      </c>
      <c r="Q52" s="167">
        <f t="shared" si="48"/>
        <v>0</v>
      </c>
      <c r="R52" s="168">
        <f t="shared" si="48"/>
        <v>0</v>
      </c>
      <c r="S52" s="166">
        <f t="shared" si="48"/>
        <v>0</v>
      </c>
      <c r="T52" s="167">
        <f t="shared" si="48"/>
        <v>0</v>
      </c>
      <c r="U52" s="167">
        <f t="shared" si="48"/>
        <v>0</v>
      </c>
      <c r="V52" s="168">
        <f t="shared" si="48"/>
        <v>0</v>
      </c>
      <c r="W52" s="166">
        <f t="shared" si="48"/>
        <v>0</v>
      </c>
      <c r="X52" s="167">
        <f t="shared" si="48"/>
        <v>0</v>
      </c>
      <c r="Y52" s="167">
        <f t="shared" si="48"/>
        <v>0</v>
      </c>
      <c r="Z52" s="167">
        <f t="shared" si="48"/>
        <v>0</v>
      </c>
      <c r="AA52" s="167">
        <f t="shared" si="48"/>
        <v>0</v>
      </c>
      <c r="AB52" s="168">
        <f t="shared" si="48"/>
        <v>0</v>
      </c>
      <c r="AC52" s="166">
        <f t="shared" si="48"/>
        <v>0</v>
      </c>
      <c r="AD52" s="167">
        <f t="shared" si="48"/>
        <v>0</v>
      </c>
      <c r="AE52" s="167">
        <f t="shared" si="48"/>
        <v>0</v>
      </c>
      <c r="AF52" s="167">
        <f t="shared" si="48"/>
        <v>0</v>
      </c>
      <c r="AG52" s="168">
        <f t="shared" si="48"/>
        <v>0</v>
      </c>
      <c r="AH52" s="166">
        <f t="shared" si="48"/>
        <v>0</v>
      </c>
      <c r="AI52" s="167">
        <f t="shared" si="48"/>
        <v>0</v>
      </c>
      <c r="AJ52" s="167">
        <f t="shared" si="48"/>
        <v>0</v>
      </c>
      <c r="AK52" s="167">
        <f t="shared" si="48"/>
        <v>0</v>
      </c>
      <c r="AL52" s="167">
        <f t="shared" si="48"/>
        <v>0</v>
      </c>
      <c r="AM52" s="167">
        <f t="shared" si="48"/>
        <v>0</v>
      </c>
      <c r="AN52" s="167">
        <f t="shared" si="48"/>
        <v>0</v>
      </c>
      <c r="AO52" s="167">
        <f t="shared" si="48"/>
        <v>0</v>
      </c>
      <c r="AP52" s="167">
        <f t="shared" ref="AP52:AQ52" si="49">SUM(AP45:AP51)</f>
        <v>0</v>
      </c>
      <c r="AQ52" s="167">
        <f t="shared" si="49"/>
        <v>0</v>
      </c>
      <c r="AR52" s="167">
        <f t="shared" si="48"/>
        <v>0</v>
      </c>
      <c r="AS52" s="167">
        <f t="shared" si="48"/>
        <v>0</v>
      </c>
      <c r="AT52" s="167">
        <f t="shared" si="48"/>
        <v>0</v>
      </c>
      <c r="AU52" s="168">
        <f t="shared" si="48"/>
        <v>0</v>
      </c>
    </row>
    <row r="53" spans="3:47" ht="16.5" thickBot="1" x14ac:dyDescent="0.3">
      <c r="K53" s="163" t="e">
        <f>K52/$I52</f>
        <v>#DIV/0!</v>
      </c>
      <c r="L53" s="164" t="e">
        <f t="shared" ref="L53" si="50">L52/$I52</f>
        <v>#DIV/0!</v>
      </c>
      <c r="M53" s="164" t="e">
        <f t="shared" ref="M53" si="51">M52/$I52</f>
        <v>#DIV/0!</v>
      </c>
      <c r="N53" s="164" t="e">
        <f t="shared" ref="N53" si="52">N52/$I52</f>
        <v>#DIV/0!</v>
      </c>
      <c r="O53" s="164" t="e">
        <f t="shared" ref="O53" si="53">O52/$I52</f>
        <v>#DIV/0!</v>
      </c>
      <c r="P53" s="164" t="e">
        <f t="shared" ref="P53" si="54">P52/$I52</f>
        <v>#DIV/0!</v>
      </c>
      <c r="Q53" s="164" t="e">
        <f t="shared" ref="Q53" si="55">Q52/$I52</f>
        <v>#DIV/0!</v>
      </c>
      <c r="R53" s="164" t="e">
        <f t="shared" ref="R53" si="56">R52/$I52</f>
        <v>#DIV/0!</v>
      </c>
      <c r="S53" s="163" t="e">
        <f t="shared" ref="S53" si="57">S52/$I52</f>
        <v>#DIV/0!</v>
      </c>
      <c r="T53" s="164" t="e">
        <f t="shared" ref="T53" si="58">T52/$I52</f>
        <v>#DIV/0!</v>
      </c>
      <c r="U53" s="164" t="e">
        <f t="shared" ref="U53" si="59">U52/$I52</f>
        <v>#DIV/0!</v>
      </c>
      <c r="V53" s="165" t="e">
        <f t="shared" ref="V53" si="60">V52/$I52</f>
        <v>#DIV/0!</v>
      </c>
      <c r="W53" s="164" t="e">
        <f t="shared" ref="W53" si="61">W52/$I52</f>
        <v>#DIV/0!</v>
      </c>
      <c r="X53" s="164" t="e">
        <f t="shared" ref="X53" si="62">X52/$I52</f>
        <v>#DIV/0!</v>
      </c>
      <c r="Y53" s="164" t="e">
        <f t="shared" ref="Y53" si="63">Y52/$I52</f>
        <v>#DIV/0!</v>
      </c>
      <c r="Z53" s="164" t="e">
        <f t="shared" ref="Z53" si="64">Z52/$I52</f>
        <v>#DIV/0!</v>
      </c>
      <c r="AA53" s="164" t="e">
        <f t="shared" ref="AA53" si="65">AA52/$I52</f>
        <v>#DIV/0!</v>
      </c>
      <c r="AB53" s="164" t="e">
        <f t="shared" ref="AB53" si="66">AB52/$I52</f>
        <v>#DIV/0!</v>
      </c>
      <c r="AC53" s="163" t="e">
        <f t="shared" ref="AC53" si="67">AC52/$I52</f>
        <v>#DIV/0!</v>
      </c>
      <c r="AD53" s="164" t="e">
        <f t="shared" ref="AD53" si="68">AD52/$I52</f>
        <v>#DIV/0!</v>
      </c>
      <c r="AE53" s="164" t="e">
        <f t="shared" ref="AE53" si="69">AE52/$I52</f>
        <v>#DIV/0!</v>
      </c>
      <c r="AF53" s="164" t="e">
        <f t="shared" ref="AF53" si="70">AF52/$I52</f>
        <v>#DIV/0!</v>
      </c>
      <c r="AG53" s="165" t="e">
        <f t="shared" ref="AG53" si="71">AG52/$I52</f>
        <v>#DIV/0!</v>
      </c>
      <c r="AH53" s="164" t="e">
        <f t="shared" ref="AH53" si="72">AH52/$I52</f>
        <v>#DIV/0!</v>
      </c>
      <c r="AI53" s="164" t="e">
        <f t="shared" ref="AI53" si="73">AI52/$I52</f>
        <v>#DIV/0!</v>
      </c>
      <c r="AJ53" s="164" t="e">
        <f t="shared" ref="AJ53" si="74">AJ52/$I52</f>
        <v>#DIV/0!</v>
      </c>
      <c r="AK53" s="164" t="e">
        <f t="shared" ref="AK53" si="75">AK52/$I52</f>
        <v>#DIV/0!</v>
      </c>
      <c r="AL53" s="164" t="e">
        <f t="shared" ref="AL53" si="76">AL52/$I52</f>
        <v>#DIV/0!</v>
      </c>
      <c r="AM53" s="164" t="e">
        <f t="shared" ref="AM53" si="77">AM52/$I52</f>
        <v>#DIV/0!</v>
      </c>
      <c r="AN53" s="164" t="e">
        <f t="shared" ref="AN53" si="78">AN52/$I52</f>
        <v>#DIV/0!</v>
      </c>
      <c r="AO53" s="164" t="e">
        <f t="shared" ref="AO53:AQ53" si="79">AO52/$I52</f>
        <v>#DIV/0!</v>
      </c>
      <c r="AP53" s="164" t="e">
        <f t="shared" si="79"/>
        <v>#DIV/0!</v>
      </c>
      <c r="AQ53" s="164" t="e">
        <f t="shared" si="79"/>
        <v>#DIV/0!</v>
      </c>
      <c r="AR53" s="164" t="e">
        <f t="shared" ref="AR53" si="80">AR52/$I52</f>
        <v>#DIV/0!</v>
      </c>
      <c r="AS53" s="164" t="e">
        <f t="shared" ref="AS53" si="81">AS52/$I52</f>
        <v>#DIV/0!</v>
      </c>
      <c r="AT53" s="164" t="e">
        <f t="shared" ref="AT53" si="82">AT52/$I52</f>
        <v>#DIV/0!</v>
      </c>
      <c r="AU53" s="165" t="e">
        <f t="shared" ref="AU53" si="83">AU52/$I52</f>
        <v>#DIV/0!</v>
      </c>
    </row>
    <row r="54" spans="3:47" ht="16.5" thickBot="1" x14ac:dyDescent="0.3"/>
    <row r="55" spans="3:47" x14ac:dyDescent="0.25">
      <c r="C55" s="154">
        <f>C51+1</f>
        <v>45530</v>
      </c>
      <c r="D55" s="278"/>
      <c r="E55" s="155"/>
      <c r="F55" s="103"/>
      <c r="G55" s="156"/>
      <c r="H55" s="302"/>
      <c r="I55" s="104"/>
      <c r="J55" s="118"/>
      <c r="K55" s="157"/>
      <c r="L55" s="158"/>
      <c r="M55" s="158"/>
      <c r="N55" s="158"/>
      <c r="O55" s="158"/>
      <c r="P55" s="158"/>
      <c r="Q55" s="158"/>
      <c r="R55" s="158"/>
      <c r="S55" s="157"/>
      <c r="T55" s="158"/>
      <c r="U55" s="158"/>
      <c r="V55" s="159"/>
      <c r="W55" s="157"/>
      <c r="X55" s="158"/>
      <c r="Y55" s="158"/>
      <c r="Z55" s="158"/>
      <c r="AA55" s="158"/>
      <c r="AB55" s="159"/>
      <c r="AC55" s="157"/>
      <c r="AD55" s="158"/>
      <c r="AE55" s="158"/>
      <c r="AF55" s="158"/>
      <c r="AG55" s="159"/>
      <c r="AH55" s="158"/>
      <c r="AI55" s="158"/>
      <c r="AJ55" s="158"/>
      <c r="AK55" s="158"/>
      <c r="AL55" s="158"/>
      <c r="AM55" s="158"/>
      <c r="AN55" s="158"/>
      <c r="AO55" s="158"/>
      <c r="AP55" s="158"/>
      <c r="AQ55" s="158"/>
      <c r="AR55" s="158"/>
      <c r="AS55" s="158"/>
      <c r="AT55" s="158"/>
      <c r="AU55" s="159"/>
    </row>
    <row r="56" spans="3:47" x14ac:dyDescent="0.25">
      <c r="C56" s="127">
        <f t="shared" ref="C56:C61" si="84">C55+1</f>
        <v>45531</v>
      </c>
      <c r="D56" s="274"/>
      <c r="E56" s="54"/>
      <c r="F56" s="53"/>
      <c r="G56" s="129"/>
      <c r="H56" s="297">
        <f>'Boat Expansion'!I188</f>
        <v>9.8945000000000007</v>
      </c>
      <c r="I56" s="98"/>
      <c r="J56" s="118"/>
      <c r="K56" s="95"/>
      <c r="L56" s="41"/>
      <c r="M56" s="41"/>
      <c r="N56" s="41"/>
      <c r="O56" s="41"/>
      <c r="P56" s="41"/>
      <c r="Q56" s="41"/>
      <c r="R56" s="41"/>
      <c r="S56" s="95"/>
      <c r="T56" s="41"/>
      <c r="U56" s="41"/>
      <c r="V56" s="42"/>
      <c r="W56" s="95"/>
      <c r="X56" s="41"/>
      <c r="Y56" s="41"/>
      <c r="Z56" s="41"/>
      <c r="AA56" s="41"/>
      <c r="AB56" s="42"/>
      <c r="AC56" s="95"/>
      <c r="AD56" s="41"/>
      <c r="AE56" s="41"/>
      <c r="AF56" s="41"/>
      <c r="AG56" s="42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2"/>
    </row>
    <row r="57" spans="3:47" x14ac:dyDescent="0.25">
      <c r="C57" s="127">
        <f t="shared" si="84"/>
        <v>45532</v>
      </c>
      <c r="D57" s="274"/>
      <c r="E57" s="54"/>
      <c r="F57" s="53"/>
      <c r="G57" s="129"/>
      <c r="H57" s="297">
        <f>'Boat Expansion'!I194</f>
        <v>9.8945000000000007</v>
      </c>
      <c r="I57" s="98"/>
      <c r="J57" s="118"/>
      <c r="K57" s="95"/>
      <c r="L57" s="41"/>
      <c r="M57" s="41"/>
      <c r="N57" s="41"/>
      <c r="O57" s="41"/>
      <c r="P57" s="41"/>
      <c r="Q57" s="41"/>
      <c r="R57" s="41"/>
      <c r="S57" s="95"/>
      <c r="T57" s="41"/>
      <c r="U57" s="41"/>
      <c r="V57" s="42"/>
      <c r="W57" s="95"/>
      <c r="X57" s="41"/>
      <c r="Y57" s="41"/>
      <c r="Z57" s="41"/>
      <c r="AA57" s="41"/>
      <c r="AB57" s="42"/>
      <c r="AC57" s="95"/>
      <c r="AD57" s="41"/>
      <c r="AE57" s="41"/>
      <c r="AF57" s="41"/>
      <c r="AG57" s="42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2"/>
    </row>
    <row r="58" spans="3:47" x14ac:dyDescent="0.25">
      <c r="C58" s="127">
        <f t="shared" si="84"/>
        <v>45533</v>
      </c>
      <c r="D58" s="274"/>
      <c r="E58" s="54"/>
      <c r="F58" s="53"/>
      <c r="G58" s="129"/>
      <c r="H58" s="297"/>
      <c r="I58" s="98"/>
      <c r="J58" s="118"/>
      <c r="K58" s="95"/>
      <c r="L58" s="41"/>
      <c r="M58" s="41"/>
      <c r="N58" s="41"/>
      <c r="O58" s="41"/>
      <c r="P58" s="41"/>
      <c r="Q58" s="41"/>
      <c r="R58" s="41"/>
      <c r="S58" s="95"/>
      <c r="T58" s="41"/>
      <c r="U58" s="41"/>
      <c r="V58" s="42"/>
      <c r="W58" s="95"/>
      <c r="X58" s="41"/>
      <c r="Y58" s="41"/>
      <c r="Z58" s="41"/>
      <c r="AA58" s="41"/>
      <c r="AB58" s="42"/>
      <c r="AC58" s="95"/>
      <c r="AD58" s="41"/>
      <c r="AE58" s="41"/>
      <c r="AF58" s="41"/>
      <c r="AG58" s="42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2"/>
    </row>
    <row r="59" spans="3:47" x14ac:dyDescent="0.25">
      <c r="C59" s="127">
        <f t="shared" si="84"/>
        <v>45534</v>
      </c>
      <c r="D59" s="274"/>
      <c r="E59" s="54"/>
      <c r="F59" s="53"/>
      <c r="G59" s="129"/>
      <c r="H59" s="297">
        <f>'Boat Expansion'!I206</f>
        <v>0</v>
      </c>
      <c r="I59" s="98"/>
      <c r="J59" s="118"/>
      <c r="K59" s="95"/>
      <c r="L59" s="41"/>
      <c r="M59" s="41"/>
      <c r="N59" s="41"/>
      <c r="O59" s="41"/>
      <c r="P59" s="41"/>
      <c r="Q59" s="41"/>
      <c r="R59" s="41"/>
      <c r="S59" s="95"/>
      <c r="T59" s="41"/>
      <c r="U59" s="41"/>
      <c r="V59" s="42"/>
      <c r="W59" s="95"/>
      <c r="X59" s="41"/>
      <c r="Y59" s="41"/>
      <c r="Z59" s="41"/>
      <c r="AA59" s="41"/>
      <c r="AB59" s="42"/>
      <c r="AC59" s="95"/>
      <c r="AD59" s="41"/>
      <c r="AE59" s="41"/>
      <c r="AF59" s="41"/>
      <c r="AG59" s="42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2"/>
    </row>
    <row r="60" spans="3:47" x14ac:dyDescent="0.25">
      <c r="C60" s="127">
        <f t="shared" si="84"/>
        <v>45535</v>
      </c>
      <c r="D60" s="274"/>
      <c r="E60" s="54"/>
      <c r="F60" s="53"/>
      <c r="G60" s="129"/>
      <c r="H60" s="304"/>
      <c r="I60" s="98"/>
      <c r="J60" s="118"/>
      <c r="K60" s="95"/>
      <c r="L60" s="41"/>
      <c r="M60" s="41"/>
      <c r="N60" s="41"/>
      <c r="O60" s="41"/>
      <c r="P60" s="41"/>
      <c r="Q60" s="41"/>
      <c r="R60" s="41"/>
      <c r="S60" s="95"/>
      <c r="T60" s="41"/>
      <c r="U60" s="41"/>
      <c r="V60" s="42"/>
      <c r="W60" s="95"/>
      <c r="X60" s="41"/>
      <c r="Y60" s="41"/>
      <c r="Z60" s="41"/>
      <c r="AA60" s="41"/>
      <c r="AB60" s="42"/>
      <c r="AC60" s="95"/>
      <c r="AD60" s="41"/>
      <c r="AE60" s="41"/>
      <c r="AF60" s="41"/>
      <c r="AG60" s="42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2"/>
    </row>
    <row r="61" spans="3:47" ht="16.5" thickBot="1" x14ac:dyDescent="0.3">
      <c r="C61" s="130">
        <f t="shared" si="84"/>
        <v>45536</v>
      </c>
      <c r="D61" s="275"/>
      <c r="E61" s="99"/>
      <c r="F61" s="100"/>
      <c r="G61" s="131"/>
      <c r="H61" s="299">
        <f>'Boat Expansion'!I218</f>
        <v>26.8565</v>
      </c>
      <c r="I61" s="102"/>
      <c r="J61" s="118"/>
      <c r="K61" s="96"/>
      <c r="L61" s="76"/>
      <c r="M61" s="76"/>
      <c r="N61" s="76"/>
      <c r="O61" s="76"/>
      <c r="P61" s="76"/>
      <c r="Q61" s="76"/>
      <c r="R61" s="76"/>
      <c r="S61" s="96"/>
      <c r="T61" s="76"/>
      <c r="U61" s="76"/>
      <c r="V61" s="77"/>
      <c r="W61" s="96"/>
      <c r="X61" s="76"/>
      <c r="Y61" s="76"/>
      <c r="Z61" s="76"/>
      <c r="AA61" s="76"/>
      <c r="AB61" s="77"/>
      <c r="AC61" s="96"/>
      <c r="AD61" s="76"/>
      <c r="AE61" s="76"/>
      <c r="AF61" s="76"/>
      <c r="AG61" s="77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7"/>
    </row>
    <row r="62" spans="3:47" ht="17.25" thickTop="1" thickBot="1" x14ac:dyDescent="0.3">
      <c r="C62" s="132" t="s">
        <v>17</v>
      </c>
      <c r="D62" s="276"/>
      <c r="E62" s="133">
        <f t="shared" ref="E62:G62" si="85">SUM(E55:E61)</f>
        <v>0</v>
      </c>
      <c r="F62" s="101">
        <f t="shared" si="85"/>
        <v>0</v>
      </c>
      <c r="G62" s="134">
        <f t="shared" si="85"/>
        <v>0</v>
      </c>
      <c r="H62" s="300">
        <f>SUM(H55:H61)</f>
        <v>46.645499999999998</v>
      </c>
      <c r="I62" s="56">
        <f>E62/H62</f>
        <v>0</v>
      </c>
      <c r="J62" s="146"/>
      <c r="K62" s="166">
        <f t="shared" ref="K62:AU62" si="86">SUM(K55:K61)</f>
        <v>0</v>
      </c>
      <c r="L62" s="167">
        <f t="shared" si="86"/>
        <v>0</v>
      </c>
      <c r="M62" s="167">
        <f t="shared" si="86"/>
        <v>0</v>
      </c>
      <c r="N62" s="167">
        <f t="shared" si="86"/>
        <v>0</v>
      </c>
      <c r="O62" s="167">
        <f t="shared" si="86"/>
        <v>0</v>
      </c>
      <c r="P62" s="167">
        <f t="shared" si="86"/>
        <v>0</v>
      </c>
      <c r="Q62" s="167">
        <f t="shared" si="86"/>
        <v>0</v>
      </c>
      <c r="R62" s="168">
        <f t="shared" si="86"/>
        <v>0</v>
      </c>
      <c r="S62" s="166">
        <f t="shared" si="86"/>
        <v>0</v>
      </c>
      <c r="T62" s="167">
        <f t="shared" si="86"/>
        <v>0</v>
      </c>
      <c r="U62" s="167">
        <f t="shared" si="86"/>
        <v>0</v>
      </c>
      <c r="V62" s="168">
        <f t="shared" si="86"/>
        <v>0</v>
      </c>
      <c r="W62" s="166">
        <f t="shared" si="86"/>
        <v>0</v>
      </c>
      <c r="X62" s="167">
        <f t="shared" si="86"/>
        <v>0</v>
      </c>
      <c r="Y62" s="167">
        <f t="shared" si="86"/>
        <v>0</v>
      </c>
      <c r="Z62" s="167">
        <f t="shared" si="86"/>
        <v>0</v>
      </c>
      <c r="AA62" s="167">
        <f t="shared" si="86"/>
        <v>0</v>
      </c>
      <c r="AB62" s="168">
        <f t="shared" si="86"/>
        <v>0</v>
      </c>
      <c r="AC62" s="166">
        <f t="shared" si="86"/>
        <v>0</v>
      </c>
      <c r="AD62" s="167">
        <f t="shared" si="86"/>
        <v>0</v>
      </c>
      <c r="AE62" s="167">
        <f t="shared" si="86"/>
        <v>0</v>
      </c>
      <c r="AF62" s="167">
        <f t="shared" si="86"/>
        <v>0</v>
      </c>
      <c r="AG62" s="168">
        <f t="shared" si="86"/>
        <v>0</v>
      </c>
      <c r="AH62" s="166">
        <f t="shared" si="86"/>
        <v>0</v>
      </c>
      <c r="AI62" s="167">
        <f t="shared" si="86"/>
        <v>0</v>
      </c>
      <c r="AJ62" s="167">
        <f t="shared" si="86"/>
        <v>0</v>
      </c>
      <c r="AK62" s="167">
        <f t="shared" si="86"/>
        <v>0</v>
      </c>
      <c r="AL62" s="167">
        <f t="shared" si="86"/>
        <v>0</v>
      </c>
      <c r="AM62" s="167">
        <f t="shared" si="86"/>
        <v>0</v>
      </c>
      <c r="AN62" s="167">
        <f t="shared" si="86"/>
        <v>0</v>
      </c>
      <c r="AO62" s="167">
        <f t="shared" si="86"/>
        <v>0</v>
      </c>
      <c r="AP62" s="167">
        <f t="shared" ref="AP62:AQ62" si="87">SUM(AP55:AP61)</f>
        <v>0</v>
      </c>
      <c r="AQ62" s="167">
        <f t="shared" si="87"/>
        <v>0</v>
      </c>
      <c r="AR62" s="167">
        <f t="shared" si="86"/>
        <v>0</v>
      </c>
      <c r="AS62" s="167">
        <f t="shared" si="86"/>
        <v>0</v>
      </c>
      <c r="AT62" s="167">
        <f t="shared" si="86"/>
        <v>0</v>
      </c>
      <c r="AU62" s="168">
        <f t="shared" si="86"/>
        <v>0</v>
      </c>
    </row>
    <row r="63" spans="3:47" ht="16.5" thickBot="1" x14ac:dyDescent="0.3">
      <c r="K63" s="163" t="e">
        <f>K62/$I62</f>
        <v>#DIV/0!</v>
      </c>
      <c r="L63" s="164" t="e">
        <f t="shared" ref="L63" si="88">L62/$I62</f>
        <v>#DIV/0!</v>
      </c>
      <c r="M63" s="164" t="e">
        <f t="shared" ref="M63" si="89">M62/$I62</f>
        <v>#DIV/0!</v>
      </c>
      <c r="N63" s="164" t="e">
        <f t="shared" ref="N63" si="90">N62/$I62</f>
        <v>#DIV/0!</v>
      </c>
      <c r="O63" s="164" t="e">
        <f t="shared" ref="O63" si="91">O62/$I62</f>
        <v>#DIV/0!</v>
      </c>
      <c r="P63" s="164" t="e">
        <f t="shared" ref="P63" si="92">P62/$I62</f>
        <v>#DIV/0!</v>
      </c>
      <c r="Q63" s="164" t="e">
        <f t="shared" ref="Q63" si="93">Q62/$I62</f>
        <v>#DIV/0!</v>
      </c>
      <c r="R63" s="164" t="e">
        <f t="shared" ref="R63" si="94">R62/$I62</f>
        <v>#DIV/0!</v>
      </c>
      <c r="S63" s="163" t="e">
        <f t="shared" ref="S63" si="95">S62/$I62</f>
        <v>#DIV/0!</v>
      </c>
      <c r="T63" s="164" t="e">
        <f t="shared" ref="T63" si="96">T62/$I62</f>
        <v>#DIV/0!</v>
      </c>
      <c r="U63" s="164" t="e">
        <f t="shared" ref="U63" si="97">U62/$I62</f>
        <v>#DIV/0!</v>
      </c>
      <c r="V63" s="165" t="e">
        <f t="shared" ref="V63" si="98">V62/$I62</f>
        <v>#DIV/0!</v>
      </c>
      <c r="W63" s="164" t="e">
        <f t="shared" ref="W63" si="99">W62/$I62</f>
        <v>#DIV/0!</v>
      </c>
      <c r="X63" s="164" t="e">
        <f t="shared" ref="X63" si="100">X62/$I62</f>
        <v>#DIV/0!</v>
      </c>
      <c r="Y63" s="164" t="e">
        <f t="shared" ref="Y63" si="101">Y62/$I62</f>
        <v>#DIV/0!</v>
      </c>
      <c r="Z63" s="164" t="e">
        <f t="shared" ref="Z63" si="102">Z62/$I62</f>
        <v>#DIV/0!</v>
      </c>
      <c r="AA63" s="164" t="e">
        <f t="shared" ref="AA63" si="103">AA62/$I62</f>
        <v>#DIV/0!</v>
      </c>
      <c r="AB63" s="164" t="e">
        <f t="shared" ref="AB63" si="104">AB62/$I62</f>
        <v>#DIV/0!</v>
      </c>
      <c r="AC63" s="163" t="e">
        <f t="shared" ref="AC63" si="105">AC62/$I62</f>
        <v>#DIV/0!</v>
      </c>
      <c r="AD63" s="164" t="e">
        <f t="shared" ref="AD63" si="106">AD62/$I62</f>
        <v>#DIV/0!</v>
      </c>
      <c r="AE63" s="164" t="e">
        <f t="shared" ref="AE63" si="107">AE62/$I62</f>
        <v>#DIV/0!</v>
      </c>
      <c r="AF63" s="164" t="e">
        <f t="shared" ref="AF63" si="108">AF62/$I62</f>
        <v>#DIV/0!</v>
      </c>
      <c r="AG63" s="165" t="e">
        <f t="shared" ref="AG63" si="109">AG62/$I62</f>
        <v>#DIV/0!</v>
      </c>
      <c r="AH63" s="164" t="e">
        <f t="shared" ref="AH63" si="110">AH62/$I62</f>
        <v>#DIV/0!</v>
      </c>
      <c r="AI63" s="164" t="e">
        <f t="shared" ref="AI63" si="111">AI62/$I62</f>
        <v>#DIV/0!</v>
      </c>
      <c r="AJ63" s="164" t="e">
        <f t="shared" ref="AJ63" si="112">AJ62/$I62</f>
        <v>#DIV/0!</v>
      </c>
      <c r="AK63" s="164" t="e">
        <f t="shared" ref="AK63" si="113">AK62/$I62</f>
        <v>#DIV/0!</v>
      </c>
      <c r="AL63" s="164" t="e">
        <f t="shared" ref="AL63" si="114">AL62/$I62</f>
        <v>#DIV/0!</v>
      </c>
      <c r="AM63" s="164" t="e">
        <f t="shared" ref="AM63" si="115">AM62/$I62</f>
        <v>#DIV/0!</v>
      </c>
      <c r="AN63" s="164" t="e">
        <f t="shared" ref="AN63" si="116">AN62/$I62</f>
        <v>#DIV/0!</v>
      </c>
      <c r="AO63" s="164" t="e">
        <f t="shared" ref="AO63:AQ63" si="117">AO62/$I62</f>
        <v>#DIV/0!</v>
      </c>
      <c r="AP63" s="164" t="e">
        <f t="shared" si="117"/>
        <v>#DIV/0!</v>
      </c>
      <c r="AQ63" s="164" t="e">
        <f t="shared" si="117"/>
        <v>#DIV/0!</v>
      </c>
      <c r="AR63" s="164" t="e">
        <f t="shared" ref="AR63" si="118">AR62/$I62</f>
        <v>#DIV/0!</v>
      </c>
      <c r="AS63" s="164" t="e">
        <f t="shared" ref="AS63" si="119">AS62/$I62</f>
        <v>#DIV/0!</v>
      </c>
      <c r="AT63" s="164" t="e">
        <f t="shared" ref="AT63" si="120">AT62/$I62</f>
        <v>#DIV/0!</v>
      </c>
      <c r="AU63" s="165" t="e">
        <f t="shared" ref="AU63" si="121">AU62/$I62</f>
        <v>#DIV/0!</v>
      </c>
    </row>
    <row r="64" spans="3:47" ht="16.5" thickBot="1" x14ac:dyDescent="0.3"/>
    <row r="65" spans="3:47" x14ac:dyDescent="0.25">
      <c r="C65" s="154">
        <f>C61+1</f>
        <v>45537</v>
      </c>
      <c r="D65" s="278"/>
      <c r="E65" s="155"/>
      <c r="F65" s="103"/>
      <c r="G65" s="156"/>
      <c r="H65" s="310">
        <v>1.4</v>
      </c>
      <c r="I65" s="104"/>
      <c r="J65" s="118"/>
      <c r="K65" s="157"/>
      <c r="L65" s="158"/>
      <c r="M65" s="158"/>
      <c r="N65" s="158"/>
      <c r="O65" s="158"/>
      <c r="P65" s="158"/>
      <c r="Q65" s="158"/>
      <c r="R65" s="158"/>
      <c r="S65" s="157"/>
      <c r="T65" s="158"/>
      <c r="U65" s="158"/>
      <c r="V65" s="159"/>
      <c r="W65" s="157"/>
      <c r="X65" s="158"/>
      <c r="Y65" s="158"/>
      <c r="Z65" s="158"/>
      <c r="AA65" s="158"/>
      <c r="AB65" s="159"/>
      <c r="AC65" s="157"/>
      <c r="AD65" s="158"/>
      <c r="AE65" s="158"/>
      <c r="AF65" s="158"/>
      <c r="AG65" s="159"/>
      <c r="AH65" s="158"/>
      <c r="AI65" s="158"/>
      <c r="AJ65" s="158"/>
      <c r="AK65" s="158"/>
      <c r="AL65" s="158"/>
      <c r="AM65" s="158"/>
      <c r="AN65" s="158"/>
      <c r="AO65" s="158"/>
      <c r="AP65" s="158"/>
      <c r="AQ65" s="158"/>
      <c r="AR65" s="158"/>
      <c r="AS65" s="158"/>
      <c r="AT65" s="158"/>
      <c r="AU65" s="159"/>
    </row>
    <row r="66" spans="3:47" x14ac:dyDescent="0.25">
      <c r="C66" s="127">
        <f t="shared" ref="C66:C71" si="122">C65+1</f>
        <v>45538</v>
      </c>
      <c r="D66" s="274"/>
      <c r="E66" s="54"/>
      <c r="F66" s="53"/>
      <c r="G66" s="129"/>
      <c r="H66" s="297">
        <f>'Boat Expansion'!I152</f>
        <v>0</v>
      </c>
      <c r="I66" s="98"/>
      <c r="J66" s="118"/>
      <c r="K66" s="95"/>
      <c r="L66" s="41"/>
      <c r="M66" s="41"/>
      <c r="N66" s="41"/>
      <c r="O66" s="41"/>
      <c r="P66" s="41"/>
      <c r="Q66" s="41"/>
      <c r="R66" s="41"/>
      <c r="S66" s="95"/>
      <c r="T66" s="41"/>
      <c r="U66" s="41"/>
      <c r="V66" s="42"/>
      <c r="W66" s="95"/>
      <c r="X66" s="41"/>
      <c r="Y66" s="41"/>
      <c r="Z66" s="41"/>
      <c r="AA66" s="41"/>
      <c r="AB66" s="42"/>
      <c r="AC66" s="95"/>
      <c r="AD66" s="41"/>
      <c r="AE66" s="41"/>
      <c r="AF66" s="41"/>
      <c r="AG66" s="42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2"/>
    </row>
    <row r="67" spans="3:47" x14ac:dyDescent="0.25">
      <c r="C67" s="127">
        <f t="shared" si="122"/>
        <v>45539</v>
      </c>
      <c r="D67" s="274"/>
      <c r="E67" s="54">
        <v>6</v>
      </c>
      <c r="F67" s="53">
        <v>12</v>
      </c>
      <c r="G67" s="129">
        <v>88.13</v>
      </c>
      <c r="H67" s="297">
        <f>'Boat Expansion'!I158</f>
        <v>8.7637</v>
      </c>
      <c r="I67" s="98"/>
      <c r="J67" s="118"/>
      <c r="K67" s="95"/>
      <c r="L67" s="41"/>
      <c r="M67" s="41"/>
      <c r="N67" s="41"/>
      <c r="O67" s="41"/>
      <c r="P67" s="41"/>
      <c r="Q67" s="41"/>
      <c r="R67" s="41"/>
      <c r="S67" s="95"/>
      <c r="T67" s="41"/>
      <c r="U67" s="41"/>
      <c r="V67" s="42"/>
      <c r="W67" s="95">
        <v>1</v>
      </c>
      <c r="X67" s="41"/>
      <c r="Y67" s="41"/>
      <c r="Z67" s="41"/>
      <c r="AA67" s="41"/>
      <c r="AB67" s="42"/>
      <c r="AC67" s="95"/>
      <c r="AD67" s="41"/>
      <c r="AE67" s="41"/>
      <c r="AF67" s="41"/>
      <c r="AG67" s="42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2"/>
    </row>
    <row r="68" spans="3:47" x14ac:dyDescent="0.25">
      <c r="C68" s="127">
        <f t="shared" si="122"/>
        <v>45540</v>
      </c>
      <c r="D68" s="274"/>
      <c r="E68" s="54"/>
      <c r="F68" s="53"/>
      <c r="G68" s="129"/>
      <c r="H68" s="297">
        <f>'Boat Expansion'!I164</f>
        <v>0</v>
      </c>
      <c r="I68" s="98"/>
      <c r="J68" s="118"/>
      <c r="K68" s="95"/>
      <c r="L68" s="41"/>
      <c r="M68" s="41"/>
      <c r="N68" s="41"/>
      <c r="O68" s="41"/>
      <c r="P68" s="41"/>
      <c r="Q68" s="41"/>
      <c r="R68" s="41"/>
      <c r="S68" s="95"/>
      <c r="T68" s="41"/>
      <c r="U68" s="41"/>
      <c r="V68" s="42"/>
      <c r="W68" s="95"/>
      <c r="X68" s="41"/>
      <c r="Y68" s="41"/>
      <c r="Z68" s="41"/>
      <c r="AA68" s="41"/>
      <c r="AB68" s="42"/>
      <c r="AC68" s="95"/>
      <c r="AD68" s="41"/>
      <c r="AE68" s="41"/>
      <c r="AF68" s="41"/>
      <c r="AG68" s="42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2"/>
    </row>
    <row r="69" spans="3:47" x14ac:dyDescent="0.25">
      <c r="C69" s="127">
        <f t="shared" si="122"/>
        <v>45541</v>
      </c>
      <c r="D69" s="274"/>
      <c r="E69" s="54">
        <v>7</v>
      </c>
      <c r="F69" s="53">
        <v>11</v>
      </c>
      <c r="G69" s="129">
        <v>56.02</v>
      </c>
      <c r="H69" s="297">
        <f>'Boat Expansion'!I170</f>
        <v>16.961999999999996</v>
      </c>
      <c r="I69" s="98"/>
      <c r="J69" s="118"/>
      <c r="K69" s="95"/>
      <c r="L69" s="41"/>
      <c r="M69" s="41"/>
      <c r="N69" s="41"/>
      <c r="O69" s="41">
        <v>1</v>
      </c>
      <c r="P69" s="41"/>
      <c r="Q69" s="41"/>
      <c r="R69" s="41"/>
      <c r="S69" s="95"/>
      <c r="T69" s="41"/>
      <c r="U69" s="41"/>
      <c r="V69" s="42"/>
      <c r="W69" s="95"/>
      <c r="X69" s="41"/>
      <c r="Y69" s="41"/>
      <c r="Z69" s="41"/>
      <c r="AA69" s="41"/>
      <c r="AB69" s="42"/>
      <c r="AC69" s="95"/>
      <c r="AD69" s="41"/>
      <c r="AE69" s="41"/>
      <c r="AF69" s="41"/>
      <c r="AG69" s="42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2"/>
    </row>
    <row r="70" spans="3:47" x14ac:dyDescent="0.25">
      <c r="C70" s="127">
        <f t="shared" si="122"/>
        <v>45542</v>
      </c>
      <c r="D70" s="274"/>
      <c r="E70" s="54">
        <v>11</v>
      </c>
      <c r="F70" s="53">
        <v>22</v>
      </c>
      <c r="G70" s="129">
        <v>104.36</v>
      </c>
      <c r="H70" s="297">
        <f>'Boat Expansion'!I176</f>
        <v>16.962</v>
      </c>
      <c r="I70" s="98"/>
      <c r="J70" s="118"/>
      <c r="K70" s="95"/>
      <c r="L70" s="41"/>
      <c r="M70" s="41"/>
      <c r="N70" s="41"/>
      <c r="O70" s="41"/>
      <c r="P70" s="41"/>
      <c r="Q70" s="41">
        <v>1</v>
      </c>
      <c r="R70" s="41"/>
      <c r="S70" s="95"/>
      <c r="T70" s="41"/>
      <c r="U70" s="41"/>
      <c r="V70" s="42"/>
      <c r="W70" s="95">
        <v>1</v>
      </c>
      <c r="X70" s="41">
        <v>1</v>
      </c>
      <c r="Y70" s="41"/>
      <c r="Z70" s="41"/>
      <c r="AA70" s="41"/>
      <c r="AB70" s="42"/>
      <c r="AC70" s="95"/>
      <c r="AD70" s="41"/>
      <c r="AE70" s="41"/>
      <c r="AF70" s="41"/>
      <c r="AG70" s="42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2"/>
    </row>
    <row r="71" spans="3:47" ht="16.5" thickBot="1" x14ac:dyDescent="0.3">
      <c r="C71" s="130">
        <f t="shared" si="122"/>
        <v>45543</v>
      </c>
      <c r="D71" s="275"/>
      <c r="E71" s="99">
        <v>9</v>
      </c>
      <c r="F71" s="100">
        <v>16</v>
      </c>
      <c r="G71" s="131">
        <v>73.91</v>
      </c>
      <c r="H71" s="299">
        <f>'Boat Expansion'!I182</f>
        <v>14.135000000000002</v>
      </c>
      <c r="I71" s="102"/>
      <c r="J71" s="118"/>
      <c r="K71" s="96"/>
      <c r="L71" s="76"/>
      <c r="M71" s="76"/>
      <c r="N71" s="76"/>
      <c r="O71" s="76"/>
      <c r="P71" s="76"/>
      <c r="Q71" s="76">
        <v>1</v>
      </c>
      <c r="R71" s="76"/>
      <c r="S71" s="96"/>
      <c r="T71" s="76"/>
      <c r="U71" s="76"/>
      <c r="V71" s="77"/>
      <c r="W71" s="96"/>
      <c r="X71" s="76">
        <v>1</v>
      </c>
      <c r="Y71" s="76"/>
      <c r="Z71" s="76"/>
      <c r="AA71" s="76"/>
      <c r="AB71" s="77"/>
      <c r="AC71" s="96"/>
      <c r="AD71" s="76"/>
      <c r="AE71" s="76"/>
      <c r="AF71" s="76"/>
      <c r="AG71" s="77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7"/>
    </row>
    <row r="72" spans="3:47" ht="17.25" thickTop="1" thickBot="1" x14ac:dyDescent="0.3">
      <c r="C72" s="132" t="s">
        <v>17</v>
      </c>
      <c r="D72" s="276"/>
      <c r="E72" s="133">
        <f t="shared" ref="E72:G72" si="123">SUM(E65:E71)</f>
        <v>33</v>
      </c>
      <c r="F72" s="101">
        <f t="shared" si="123"/>
        <v>61</v>
      </c>
      <c r="G72" s="134">
        <f t="shared" si="123"/>
        <v>322.41999999999996</v>
      </c>
      <c r="H72" s="300">
        <f>SUM(H65:H71)</f>
        <v>58.222700000000003</v>
      </c>
      <c r="I72" s="56">
        <f>E72/H72</f>
        <v>0.56678924199667824</v>
      </c>
      <c r="J72" s="146"/>
      <c r="K72" s="166">
        <f t="shared" ref="K72:AU72" si="124">SUM(K65:K71)</f>
        <v>0</v>
      </c>
      <c r="L72" s="167">
        <f t="shared" si="124"/>
        <v>0</v>
      </c>
      <c r="M72" s="167">
        <f t="shared" si="124"/>
        <v>0</v>
      </c>
      <c r="N72" s="167">
        <f t="shared" si="124"/>
        <v>0</v>
      </c>
      <c r="O72" s="167">
        <f t="shared" si="124"/>
        <v>1</v>
      </c>
      <c r="P72" s="167">
        <f t="shared" si="124"/>
        <v>0</v>
      </c>
      <c r="Q72" s="167">
        <f t="shared" si="124"/>
        <v>2</v>
      </c>
      <c r="R72" s="168">
        <f t="shared" si="124"/>
        <v>0</v>
      </c>
      <c r="S72" s="166">
        <f t="shared" si="124"/>
        <v>0</v>
      </c>
      <c r="T72" s="167">
        <f t="shared" si="124"/>
        <v>0</v>
      </c>
      <c r="U72" s="167">
        <f t="shared" si="124"/>
        <v>0</v>
      </c>
      <c r="V72" s="168">
        <f t="shared" si="124"/>
        <v>0</v>
      </c>
      <c r="W72" s="166">
        <f t="shared" si="124"/>
        <v>2</v>
      </c>
      <c r="X72" s="167">
        <f t="shared" si="124"/>
        <v>2</v>
      </c>
      <c r="Y72" s="167">
        <f t="shared" si="124"/>
        <v>0</v>
      </c>
      <c r="Z72" s="167">
        <f t="shared" si="124"/>
        <v>0</v>
      </c>
      <c r="AA72" s="167">
        <f t="shared" si="124"/>
        <v>0</v>
      </c>
      <c r="AB72" s="168">
        <f t="shared" si="124"/>
        <v>0</v>
      </c>
      <c r="AC72" s="166">
        <f t="shared" si="124"/>
        <v>0</v>
      </c>
      <c r="AD72" s="167">
        <f t="shared" si="124"/>
        <v>0</v>
      </c>
      <c r="AE72" s="167">
        <f t="shared" si="124"/>
        <v>0</v>
      </c>
      <c r="AF72" s="167">
        <f t="shared" si="124"/>
        <v>0</v>
      </c>
      <c r="AG72" s="168">
        <f t="shared" si="124"/>
        <v>0</v>
      </c>
      <c r="AH72" s="166">
        <f t="shared" si="124"/>
        <v>0</v>
      </c>
      <c r="AI72" s="167">
        <f t="shared" si="124"/>
        <v>0</v>
      </c>
      <c r="AJ72" s="167">
        <f t="shared" si="124"/>
        <v>0</v>
      </c>
      <c r="AK72" s="167">
        <f t="shared" si="124"/>
        <v>0</v>
      </c>
      <c r="AL72" s="167">
        <f t="shared" si="124"/>
        <v>0</v>
      </c>
      <c r="AM72" s="167">
        <f t="shared" si="124"/>
        <v>0</v>
      </c>
      <c r="AN72" s="167">
        <f t="shared" si="124"/>
        <v>0</v>
      </c>
      <c r="AO72" s="167">
        <f t="shared" si="124"/>
        <v>0</v>
      </c>
      <c r="AP72" s="167">
        <f t="shared" ref="AP72:AQ72" si="125">SUM(AP65:AP71)</f>
        <v>0</v>
      </c>
      <c r="AQ72" s="167">
        <f t="shared" si="125"/>
        <v>0</v>
      </c>
      <c r="AR72" s="167">
        <f t="shared" si="124"/>
        <v>0</v>
      </c>
      <c r="AS72" s="167">
        <f t="shared" si="124"/>
        <v>0</v>
      </c>
      <c r="AT72" s="167">
        <f t="shared" si="124"/>
        <v>0</v>
      </c>
      <c r="AU72" s="168">
        <f t="shared" si="124"/>
        <v>0</v>
      </c>
    </row>
    <row r="73" spans="3:47" ht="16.5" thickBot="1" x14ac:dyDescent="0.3">
      <c r="K73" s="163">
        <f>K72/$I72</f>
        <v>0</v>
      </c>
      <c r="L73" s="164">
        <f t="shared" ref="L73:AU73" si="126">L72/$I72</f>
        <v>0</v>
      </c>
      <c r="M73" s="164">
        <f t="shared" si="126"/>
        <v>0</v>
      </c>
      <c r="N73" s="164">
        <f t="shared" si="126"/>
        <v>0</v>
      </c>
      <c r="O73" s="164">
        <f t="shared" si="126"/>
        <v>1.7643242424242425</v>
      </c>
      <c r="P73" s="164">
        <f t="shared" si="126"/>
        <v>0</v>
      </c>
      <c r="Q73" s="164">
        <f t="shared" si="126"/>
        <v>3.5286484848484849</v>
      </c>
      <c r="R73" s="164">
        <f t="shared" si="126"/>
        <v>0</v>
      </c>
      <c r="S73" s="163">
        <f t="shared" si="126"/>
        <v>0</v>
      </c>
      <c r="T73" s="164">
        <f t="shared" si="126"/>
        <v>0</v>
      </c>
      <c r="U73" s="164">
        <f t="shared" si="126"/>
        <v>0</v>
      </c>
      <c r="V73" s="165">
        <f t="shared" si="126"/>
        <v>0</v>
      </c>
      <c r="W73" s="164">
        <f t="shared" si="126"/>
        <v>3.5286484848484849</v>
      </c>
      <c r="X73" s="164">
        <f t="shared" si="126"/>
        <v>3.5286484848484849</v>
      </c>
      <c r="Y73" s="164">
        <f t="shared" si="126"/>
        <v>0</v>
      </c>
      <c r="Z73" s="164">
        <f t="shared" si="126"/>
        <v>0</v>
      </c>
      <c r="AA73" s="164">
        <f t="shared" si="126"/>
        <v>0</v>
      </c>
      <c r="AB73" s="164">
        <f t="shared" si="126"/>
        <v>0</v>
      </c>
      <c r="AC73" s="163">
        <f t="shared" si="126"/>
        <v>0</v>
      </c>
      <c r="AD73" s="164">
        <f t="shared" si="126"/>
        <v>0</v>
      </c>
      <c r="AE73" s="164">
        <f t="shared" si="126"/>
        <v>0</v>
      </c>
      <c r="AF73" s="164">
        <f t="shared" si="126"/>
        <v>0</v>
      </c>
      <c r="AG73" s="165">
        <f t="shared" si="126"/>
        <v>0</v>
      </c>
      <c r="AH73" s="164">
        <f t="shared" si="126"/>
        <v>0</v>
      </c>
      <c r="AI73" s="164">
        <f t="shared" si="126"/>
        <v>0</v>
      </c>
      <c r="AJ73" s="164">
        <f t="shared" si="126"/>
        <v>0</v>
      </c>
      <c r="AK73" s="164">
        <f t="shared" si="126"/>
        <v>0</v>
      </c>
      <c r="AL73" s="164">
        <f t="shared" si="126"/>
        <v>0</v>
      </c>
      <c r="AM73" s="164">
        <f t="shared" si="126"/>
        <v>0</v>
      </c>
      <c r="AN73" s="164">
        <f t="shared" si="126"/>
        <v>0</v>
      </c>
      <c r="AO73" s="164">
        <f t="shared" si="126"/>
        <v>0</v>
      </c>
      <c r="AP73" s="164">
        <f t="shared" ref="AP73:AQ73" si="127">AP72/$I72</f>
        <v>0</v>
      </c>
      <c r="AQ73" s="164">
        <f t="shared" si="127"/>
        <v>0</v>
      </c>
      <c r="AR73" s="164">
        <f t="shared" si="126"/>
        <v>0</v>
      </c>
      <c r="AS73" s="164">
        <f t="shared" si="126"/>
        <v>0</v>
      </c>
      <c r="AT73" s="164">
        <f t="shared" si="126"/>
        <v>0</v>
      </c>
      <c r="AU73" s="165">
        <f t="shared" si="126"/>
        <v>0</v>
      </c>
    </row>
    <row r="74" spans="3:47" ht="16.5" thickBot="1" x14ac:dyDescent="0.3"/>
    <row r="75" spans="3:47" x14ac:dyDescent="0.25">
      <c r="C75" s="154">
        <f>C71+1</f>
        <v>45544</v>
      </c>
      <c r="D75" s="278"/>
      <c r="E75" s="155">
        <v>4</v>
      </c>
      <c r="F75" s="103">
        <v>16</v>
      </c>
      <c r="G75" s="156">
        <v>33.46</v>
      </c>
      <c r="H75" s="302">
        <f>'Boat Expansion'!I188</f>
        <v>9.8945000000000007</v>
      </c>
      <c r="I75" s="104"/>
      <c r="J75" s="118"/>
      <c r="K75" s="157"/>
      <c r="L75" s="158"/>
      <c r="M75" s="158"/>
      <c r="N75" s="158"/>
      <c r="O75" s="158"/>
      <c r="P75" s="158"/>
      <c r="Q75" s="158"/>
      <c r="R75" s="158"/>
      <c r="S75" s="157"/>
      <c r="T75" s="158"/>
      <c r="U75" s="158"/>
      <c r="V75" s="159"/>
      <c r="W75" s="157"/>
      <c r="X75" s="158"/>
      <c r="Y75" s="158"/>
      <c r="Z75" s="158"/>
      <c r="AA75" s="158"/>
      <c r="AB75" s="159"/>
      <c r="AC75" s="157"/>
      <c r="AD75" s="158"/>
      <c r="AE75" s="158"/>
      <c r="AF75" s="158"/>
      <c r="AG75" s="159"/>
      <c r="AH75" s="158"/>
      <c r="AI75" s="158"/>
      <c r="AJ75" s="158"/>
      <c r="AK75" s="158"/>
      <c r="AL75" s="158"/>
      <c r="AM75" s="158"/>
      <c r="AN75" s="158"/>
      <c r="AO75" s="158"/>
      <c r="AP75" s="158"/>
      <c r="AQ75" s="158"/>
      <c r="AR75" s="158"/>
      <c r="AS75" s="158"/>
      <c r="AT75" s="158"/>
      <c r="AU75" s="159">
        <v>2</v>
      </c>
    </row>
    <row r="76" spans="3:47" x14ac:dyDescent="0.25">
      <c r="C76" s="127">
        <f t="shared" ref="C76:C81" si="128">C75+1</f>
        <v>45545</v>
      </c>
      <c r="D76" s="274"/>
      <c r="E76" s="54">
        <v>4</v>
      </c>
      <c r="F76" s="53">
        <v>9</v>
      </c>
      <c r="G76" s="129">
        <v>37.07</v>
      </c>
      <c r="H76" s="297">
        <f>'Boat Expansion'!I194</f>
        <v>9.8945000000000007</v>
      </c>
      <c r="I76" s="98"/>
      <c r="J76" s="118"/>
      <c r="K76" s="95"/>
      <c r="L76" s="41"/>
      <c r="M76" s="41"/>
      <c r="N76" s="41"/>
      <c r="O76" s="41"/>
      <c r="P76" s="41"/>
      <c r="Q76" s="41"/>
      <c r="R76" s="41"/>
      <c r="S76" s="95"/>
      <c r="T76" s="41"/>
      <c r="U76" s="41"/>
      <c r="V76" s="42"/>
      <c r="W76" s="95"/>
      <c r="X76" s="41"/>
      <c r="Y76" s="41"/>
      <c r="Z76" s="41"/>
      <c r="AA76" s="41"/>
      <c r="AB76" s="42"/>
      <c r="AC76" s="95"/>
      <c r="AD76" s="41"/>
      <c r="AE76" s="41"/>
      <c r="AF76" s="41"/>
      <c r="AG76" s="42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2"/>
    </row>
    <row r="77" spans="3:47" x14ac:dyDescent="0.25">
      <c r="C77" s="127">
        <f t="shared" si="128"/>
        <v>45546</v>
      </c>
      <c r="D77" s="274"/>
      <c r="E77" s="54">
        <v>4</v>
      </c>
      <c r="F77" s="53">
        <v>6</v>
      </c>
      <c r="G77" s="129">
        <v>21.29</v>
      </c>
      <c r="H77" s="297">
        <f>'Boat Expansion'!I200</f>
        <v>4.2404999999999999</v>
      </c>
      <c r="I77" s="98"/>
      <c r="J77" s="118"/>
      <c r="K77" s="95"/>
      <c r="L77" s="41"/>
      <c r="M77" s="41"/>
      <c r="N77" s="41"/>
      <c r="O77" s="41"/>
      <c r="P77" s="41"/>
      <c r="Q77" s="41"/>
      <c r="R77" s="41"/>
      <c r="S77" s="95"/>
      <c r="T77" s="41"/>
      <c r="U77" s="41"/>
      <c r="V77" s="42"/>
      <c r="W77" s="95"/>
      <c r="X77" s="41"/>
      <c r="Y77" s="41"/>
      <c r="Z77" s="41"/>
      <c r="AA77" s="41"/>
      <c r="AB77" s="42"/>
      <c r="AC77" s="95"/>
      <c r="AD77" s="41"/>
      <c r="AE77" s="41"/>
      <c r="AF77" s="41"/>
      <c r="AG77" s="42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2"/>
    </row>
    <row r="78" spans="3:47" x14ac:dyDescent="0.25">
      <c r="C78" s="127">
        <f t="shared" si="128"/>
        <v>45547</v>
      </c>
      <c r="D78" s="274"/>
      <c r="E78" s="54"/>
      <c r="F78" s="53"/>
      <c r="G78" s="129"/>
      <c r="H78" s="297">
        <f>'Boat Expansion'!I284</f>
        <v>5.6539999999999999</v>
      </c>
      <c r="I78" s="98"/>
      <c r="J78" s="118"/>
      <c r="K78" s="95"/>
      <c r="L78" s="41"/>
      <c r="M78" s="41"/>
      <c r="N78" s="41"/>
      <c r="O78" s="41"/>
      <c r="P78" s="41"/>
      <c r="Q78" s="41"/>
      <c r="R78" s="41"/>
      <c r="S78" s="95"/>
      <c r="T78" s="41"/>
      <c r="U78" s="41"/>
      <c r="V78" s="42"/>
      <c r="W78" s="95"/>
      <c r="X78" s="41"/>
      <c r="Y78" s="41"/>
      <c r="Z78" s="41"/>
      <c r="AA78" s="41"/>
      <c r="AB78" s="42"/>
      <c r="AC78" s="95"/>
      <c r="AD78" s="41"/>
      <c r="AE78" s="41"/>
      <c r="AF78" s="41"/>
      <c r="AG78" s="42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2"/>
    </row>
    <row r="79" spans="3:47" x14ac:dyDescent="0.25">
      <c r="C79" s="127">
        <f t="shared" si="128"/>
        <v>45548</v>
      </c>
      <c r="D79" s="274"/>
      <c r="E79" s="54"/>
      <c r="F79" s="53"/>
      <c r="G79" s="129"/>
      <c r="H79" s="297">
        <f>'Boat Expansion'!I290</f>
        <v>9.8945000000000007</v>
      </c>
      <c r="I79" s="98"/>
      <c r="J79" s="118"/>
      <c r="K79" s="95"/>
      <c r="L79" s="41"/>
      <c r="M79" s="41"/>
      <c r="N79" s="41"/>
      <c r="O79" s="41"/>
      <c r="P79" s="41"/>
      <c r="Q79" s="41"/>
      <c r="R79" s="41"/>
      <c r="S79" s="95"/>
      <c r="T79" s="41"/>
      <c r="U79" s="41"/>
      <c r="V79" s="42"/>
      <c r="W79" s="95"/>
      <c r="X79" s="41"/>
      <c r="Y79" s="41"/>
      <c r="Z79" s="41"/>
      <c r="AA79" s="41"/>
      <c r="AB79" s="42"/>
      <c r="AC79" s="95"/>
      <c r="AD79" s="41"/>
      <c r="AE79" s="41"/>
      <c r="AF79" s="41"/>
      <c r="AG79" s="42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2"/>
    </row>
    <row r="80" spans="3:47" x14ac:dyDescent="0.25">
      <c r="C80" s="127">
        <f t="shared" si="128"/>
        <v>45549</v>
      </c>
      <c r="D80" s="274"/>
      <c r="E80" s="54">
        <v>14</v>
      </c>
      <c r="F80" s="53">
        <v>30</v>
      </c>
      <c r="G80" s="129">
        <v>126.59</v>
      </c>
      <c r="H80" s="297">
        <f>'Boat Expansion'!I218</f>
        <v>26.8565</v>
      </c>
      <c r="I80" s="98"/>
      <c r="J80" s="118"/>
      <c r="K80" s="95"/>
      <c r="L80" s="41"/>
      <c r="M80" s="41"/>
      <c r="N80" s="41"/>
      <c r="O80" s="41"/>
      <c r="P80" s="41"/>
      <c r="Q80" s="41"/>
      <c r="R80" s="41"/>
      <c r="S80" s="95"/>
      <c r="T80" s="41"/>
      <c r="U80" s="41"/>
      <c r="V80" s="42"/>
      <c r="W80" s="95"/>
      <c r="X80" s="41"/>
      <c r="Y80" s="41"/>
      <c r="Z80" s="41"/>
      <c r="AA80" s="41"/>
      <c r="AB80" s="42"/>
      <c r="AC80" s="95"/>
      <c r="AD80" s="41"/>
      <c r="AE80" s="41"/>
      <c r="AF80" s="41"/>
      <c r="AG80" s="42"/>
      <c r="AH80" s="41"/>
      <c r="AI80" s="41"/>
      <c r="AJ80" s="41"/>
      <c r="AK80" s="41"/>
      <c r="AL80" s="41"/>
      <c r="AM80" s="41">
        <v>2</v>
      </c>
      <c r="AN80" s="41"/>
      <c r="AO80" s="41"/>
      <c r="AP80" s="41"/>
      <c r="AQ80" s="41"/>
      <c r="AR80" s="41"/>
      <c r="AS80" s="41"/>
      <c r="AT80" s="41"/>
      <c r="AU80" s="42"/>
    </row>
    <row r="81" spans="3:47" ht="16.5" thickBot="1" x14ac:dyDescent="0.3">
      <c r="C81" s="130">
        <f t="shared" si="128"/>
        <v>45550</v>
      </c>
      <c r="D81" s="275"/>
      <c r="E81" s="99">
        <v>8</v>
      </c>
      <c r="F81" s="100">
        <v>20</v>
      </c>
      <c r="G81" s="131">
        <v>74.680000000000007</v>
      </c>
      <c r="H81" s="299">
        <f>+'Boat Expansion'!I224</f>
        <v>19.789000000000001</v>
      </c>
      <c r="I81" s="102"/>
      <c r="J81" s="118"/>
      <c r="K81" s="96"/>
      <c r="L81" s="76"/>
      <c r="M81" s="76"/>
      <c r="N81" s="76"/>
      <c r="O81" s="76"/>
      <c r="P81" s="76"/>
      <c r="Q81" s="76"/>
      <c r="R81" s="76"/>
      <c r="S81" s="96"/>
      <c r="T81" s="76"/>
      <c r="U81" s="76"/>
      <c r="V81" s="77"/>
      <c r="W81" s="96"/>
      <c r="X81" s="76"/>
      <c r="Y81" s="76"/>
      <c r="Z81" s="76"/>
      <c r="AA81" s="76"/>
      <c r="AB81" s="77"/>
      <c r="AC81" s="96"/>
      <c r="AD81" s="76"/>
      <c r="AE81" s="76"/>
      <c r="AF81" s="76"/>
      <c r="AG81" s="77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7"/>
    </row>
    <row r="82" spans="3:47" ht="17.25" thickTop="1" thickBot="1" x14ac:dyDescent="0.3">
      <c r="C82" s="132" t="s">
        <v>17</v>
      </c>
      <c r="D82" s="276"/>
      <c r="E82" s="133">
        <f t="shared" ref="E82:G82" si="129">SUM(E75:E81)</f>
        <v>34</v>
      </c>
      <c r="F82" s="101">
        <f t="shared" si="129"/>
        <v>81</v>
      </c>
      <c r="G82" s="134">
        <f t="shared" si="129"/>
        <v>293.09000000000003</v>
      </c>
      <c r="H82" s="300">
        <f>SUM(H75:H81)</f>
        <v>86.223500000000001</v>
      </c>
      <c r="I82" s="56">
        <f>E82/H82</f>
        <v>0.39432405318735608</v>
      </c>
      <c r="J82" s="146"/>
      <c r="K82" s="166">
        <f t="shared" ref="K82:AU82" si="130">SUM(K75:K81)</f>
        <v>0</v>
      </c>
      <c r="L82" s="167">
        <f t="shared" si="130"/>
        <v>0</v>
      </c>
      <c r="M82" s="167">
        <f t="shared" si="130"/>
        <v>0</v>
      </c>
      <c r="N82" s="167">
        <f t="shared" si="130"/>
        <v>0</v>
      </c>
      <c r="O82" s="167">
        <f t="shared" si="130"/>
        <v>0</v>
      </c>
      <c r="P82" s="167">
        <f t="shared" si="130"/>
        <v>0</v>
      </c>
      <c r="Q82" s="167">
        <f t="shared" si="130"/>
        <v>0</v>
      </c>
      <c r="R82" s="168">
        <f t="shared" si="130"/>
        <v>0</v>
      </c>
      <c r="S82" s="166">
        <f t="shared" si="130"/>
        <v>0</v>
      </c>
      <c r="T82" s="167">
        <f t="shared" si="130"/>
        <v>0</v>
      </c>
      <c r="U82" s="167">
        <f t="shared" si="130"/>
        <v>0</v>
      </c>
      <c r="V82" s="168">
        <f t="shared" si="130"/>
        <v>0</v>
      </c>
      <c r="W82" s="166">
        <f t="shared" si="130"/>
        <v>0</v>
      </c>
      <c r="X82" s="167">
        <f t="shared" si="130"/>
        <v>0</v>
      </c>
      <c r="Y82" s="167">
        <f t="shared" si="130"/>
        <v>0</v>
      </c>
      <c r="Z82" s="167">
        <f t="shared" si="130"/>
        <v>0</v>
      </c>
      <c r="AA82" s="167">
        <f t="shared" si="130"/>
        <v>0</v>
      </c>
      <c r="AB82" s="168">
        <f t="shared" si="130"/>
        <v>0</v>
      </c>
      <c r="AC82" s="166">
        <f t="shared" si="130"/>
        <v>0</v>
      </c>
      <c r="AD82" s="167">
        <f t="shared" si="130"/>
        <v>0</v>
      </c>
      <c r="AE82" s="167">
        <f t="shared" si="130"/>
        <v>0</v>
      </c>
      <c r="AF82" s="167">
        <f t="shared" si="130"/>
        <v>0</v>
      </c>
      <c r="AG82" s="168">
        <f t="shared" si="130"/>
        <v>0</v>
      </c>
      <c r="AH82" s="166">
        <f t="shared" si="130"/>
        <v>0</v>
      </c>
      <c r="AI82" s="167">
        <f t="shared" si="130"/>
        <v>0</v>
      </c>
      <c r="AJ82" s="167">
        <f t="shared" si="130"/>
        <v>0</v>
      </c>
      <c r="AK82" s="167">
        <f t="shared" si="130"/>
        <v>0</v>
      </c>
      <c r="AL82" s="167">
        <f t="shared" si="130"/>
        <v>0</v>
      </c>
      <c r="AM82" s="167">
        <f t="shared" si="130"/>
        <v>2</v>
      </c>
      <c r="AN82" s="167">
        <f t="shared" si="130"/>
        <v>0</v>
      </c>
      <c r="AO82" s="167">
        <f t="shared" si="130"/>
        <v>0</v>
      </c>
      <c r="AP82" s="167">
        <f t="shared" ref="AP82:AQ82" si="131">SUM(AP75:AP81)</f>
        <v>0</v>
      </c>
      <c r="AQ82" s="167">
        <f t="shared" si="131"/>
        <v>0</v>
      </c>
      <c r="AR82" s="167">
        <f t="shared" si="130"/>
        <v>0</v>
      </c>
      <c r="AS82" s="167">
        <f t="shared" si="130"/>
        <v>0</v>
      </c>
      <c r="AT82" s="167">
        <f t="shared" si="130"/>
        <v>0</v>
      </c>
      <c r="AU82" s="168">
        <f t="shared" si="130"/>
        <v>2</v>
      </c>
    </row>
    <row r="83" spans="3:47" ht="16.5" thickBot="1" x14ac:dyDescent="0.3">
      <c r="K83" s="163">
        <f>K82/$I82</f>
        <v>0</v>
      </c>
      <c r="L83" s="164">
        <f t="shared" ref="L83:AU83" si="132">L82/$I82</f>
        <v>0</v>
      </c>
      <c r="M83" s="164">
        <f t="shared" si="132"/>
        <v>0</v>
      </c>
      <c r="N83" s="164">
        <f t="shared" si="132"/>
        <v>0</v>
      </c>
      <c r="O83" s="164">
        <f t="shared" si="132"/>
        <v>0</v>
      </c>
      <c r="P83" s="164">
        <f t="shared" si="132"/>
        <v>0</v>
      </c>
      <c r="Q83" s="164">
        <f t="shared" si="132"/>
        <v>0</v>
      </c>
      <c r="R83" s="164">
        <f t="shared" si="132"/>
        <v>0</v>
      </c>
      <c r="S83" s="163">
        <f t="shared" si="132"/>
        <v>0</v>
      </c>
      <c r="T83" s="164">
        <f t="shared" si="132"/>
        <v>0</v>
      </c>
      <c r="U83" s="164">
        <f t="shared" si="132"/>
        <v>0</v>
      </c>
      <c r="V83" s="165">
        <f t="shared" si="132"/>
        <v>0</v>
      </c>
      <c r="W83" s="164">
        <f t="shared" si="132"/>
        <v>0</v>
      </c>
      <c r="X83" s="164">
        <f t="shared" si="132"/>
        <v>0</v>
      </c>
      <c r="Y83" s="164">
        <f t="shared" si="132"/>
        <v>0</v>
      </c>
      <c r="Z83" s="164">
        <f t="shared" si="132"/>
        <v>0</v>
      </c>
      <c r="AA83" s="164">
        <f t="shared" si="132"/>
        <v>0</v>
      </c>
      <c r="AB83" s="164">
        <f t="shared" si="132"/>
        <v>0</v>
      </c>
      <c r="AC83" s="163">
        <f t="shared" si="132"/>
        <v>0</v>
      </c>
      <c r="AD83" s="164">
        <f t="shared" si="132"/>
        <v>0</v>
      </c>
      <c r="AE83" s="164">
        <f t="shared" si="132"/>
        <v>0</v>
      </c>
      <c r="AF83" s="164">
        <f t="shared" si="132"/>
        <v>0</v>
      </c>
      <c r="AG83" s="165">
        <f t="shared" si="132"/>
        <v>0</v>
      </c>
      <c r="AH83" s="164">
        <f t="shared" si="132"/>
        <v>0</v>
      </c>
      <c r="AI83" s="164">
        <f t="shared" si="132"/>
        <v>0</v>
      </c>
      <c r="AJ83" s="164">
        <f t="shared" si="132"/>
        <v>0</v>
      </c>
      <c r="AK83" s="164">
        <f t="shared" si="132"/>
        <v>0</v>
      </c>
      <c r="AL83" s="164">
        <f t="shared" si="132"/>
        <v>0</v>
      </c>
      <c r="AM83" s="164">
        <f t="shared" si="132"/>
        <v>5.0719705882352946</v>
      </c>
      <c r="AN83" s="164">
        <f t="shared" si="132"/>
        <v>0</v>
      </c>
      <c r="AO83" s="164">
        <f t="shared" si="132"/>
        <v>0</v>
      </c>
      <c r="AP83" s="164">
        <f t="shared" ref="AP83:AQ83" si="133">AP82/$I82</f>
        <v>0</v>
      </c>
      <c r="AQ83" s="164">
        <f t="shared" si="133"/>
        <v>0</v>
      </c>
      <c r="AR83" s="164">
        <f t="shared" si="132"/>
        <v>0</v>
      </c>
      <c r="AS83" s="164">
        <f t="shared" si="132"/>
        <v>0</v>
      </c>
      <c r="AT83" s="164">
        <f t="shared" si="132"/>
        <v>0</v>
      </c>
      <c r="AU83" s="165">
        <f t="shared" si="132"/>
        <v>5.0719705882352946</v>
      </c>
    </row>
    <row r="84" spans="3:47" ht="16.5" thickBot="1" x14ac:dyDescent="0.3"/>
    <row r="85" spans="3:47" x14ac:dyDescent="0.25">
      <c r="C85" s="154">
        <f>C81+1</f>
        <v>45551</v>
      </c>
      <c r="D85" s="278"/>
      <c r="E85" s="155"/>
      <c r="F85" s="103"/>
      <c r="G85" s="156"/>
      <c r="H85" s="302">
        <f>'Boat Expansion'!I308</f>
        <v>11.308</v>
      </c>
      <c r="I85" s="104"/>
      <c r="J85" s="118"/>
      <c r="K85" s="157"/>
      <c r="L85" s="158"/>
      <c r="M85" s="158"/>
      <c r="N85" s="158"/>
      <c r="O85" s="158"/>
      <c r="P85" s="158"/>
      <c r="Q85" s="158"/>
      <c r="R85" s="158"/>
      <c r="S85" s="157"/>
      <c r="T85" s="158"/>
      <c r="U85" s="158"/>
      <c r="V85" s="159"/>
      <c r="W85" s="157"/>
      <c r="X85" s="158"/>
      <c r="Y85" s="158"/>
      <c r="Z85" s="158"/>
      <c r="AA85" s="158"/>
      <c r="AB85" s="159"/>
      <c r="AC85" s="157"/>
      <c r="AD85" s="158"/>
      <c r="AE85" s="158"/>
      <c r="AF85" s="158"/>
      <c r="AG85" s="159"/>
      <c r="AH85" s="158"/>
      <c r="AI85" s="158"/>
      <c r="AJ85" s="158"/>
      <c r="AK85" s="158"/>
      <c r="AL85" s="158"/>
      <c r="AM85" s="158"/>
      <c r="AN85" s="158"/>
      <c r="AO85" s="158"/>
      <c r="AP85" s="158"/>
      <c r="AQ85" s="158"/>
      <c r="AR85" s="158"/>
      <c r="AS85" s="158"/>
      <c r="AT85" s="158"/>
      <c r="AU85" s="159"/>
    </row>
    <row r="86" spans="3:47" x14ac:dyDescent="0.25">
      <c r="C86" s="127">
        <f t="shared" ref="C86:C91" si="134">C85+1</f>
        <v>45552</v>
      </c>
      <c r="D86" s="274"/>
      <c r="E86" s="54">
        <f>'Boat Expansion'!I236</f>
        <v>0</v>
      </c>
      <c r="F86" s="53">
        <v>0</v>
      </c>
      <c r="G86" s="129">
        <v>0</v>
      </c>
      <c r="H86" s="297">
        <v>0</v>
      </c>
      <c r="I86" s="98"/>
      <c r="J86" s="118"/>
      <c r="K86" s="95"/>
      <c r="L86" s="41"/>
      <c r="M86" s="41"/>
      <c r="N86" s="41"/>
      <c r="O86" s="41"/>
      <c r="P86" s="41"/>
      <c r="Q86" s="41"/>
      <c r="R86" s="41"/>
      <c r="S86" s="95"/>
      <c r="T86" s="41"/>
      <c r="U86" s="41"/>
      <c r="V86" s="42"/>
      <c r="W86" s="95"/>
      <c r="X86" s="41"/>
      <c r="Y86" s="41"/>
      <c r="Z86" s="41"/>
      <c r="AA86" s="41"/>
      <c r="AB86" s="42"/>
      <c r="AC86" s="95"/>
      <c r="AD86" s="41"/>
      <c r="AE86" s="41"/>
      <c r="AF86" s="41"/>
      <c r="AG86" s="42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2"/>
    </row>
    <row r="87" spans="3:47" x14ac:dyDescent="0.25">
      <c r="C87" s="127">
        <f t="shared" si="134"/>
        <v>45553</v>
      </c>
      <c r="D87" s="274"/>
      <c r="E87" s="54"/>
      <c r="F87" s="53"/>
      <c r="G87" s="129"/>
      <c r="H87" s="297"/>
      <c r="I87" s="98"/>
      <c r="J87" s="118"/>
      <c r="K87" s="95"/>
      <c r="L87" s="41"/>
      <c r="M87" s="41"/>
      <c r="N87" s="41"/>
      <c r="O87" s="41"/>
      <c r="P87" s="41"/>
      <c r="Q87" s="41"/>
      <c r="R87" s="41"/>
      <c r="S87" s="95"/>
      <c r="T87" s="41"/>
      <c r="U87" s="41"/>
      <c r="V87" s="42"/>
      <c r="W87" s="95"/>
      <c r="X87" s="41"/>
      <c r="Y87" s="41"/>
      <c r="Z87" s="41"/>
      <c r="AA87" s="41"/>
      <c r="AB87" s="42"/>
      <c r="AC87" s="95"/>
      <c r="AD87" s="41"/>
      <c r="AE87" s="41"/>
      <c r="AF87" s="41"/>
      <c r="AG87" s="42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2"/>
    </row>
    <row r="88" spans="3:47" x14ac:dyDescent="0.25">
      <c r="C88" s="127">
        <f t="shared" si="134"/>
        <v>45554</v>
      </c>
      <c r="D88" s="274"/>
      <c r="E88" s="340"/>
      <c r="F88" s="341"/>
      <c r="G88" s="342"/>
      <c r="H88" s="304">
        <v>4</v>
      </c>
      <c r="I88" s="98"/>
      <c r="J88" s="118"/>
      <c r="K88" s="95"/>
      <c r="L88" s="41"/>
      <c r="M88" s="41"/>
      <c r="N88" s="41"/>
      <c r="O88" s="41"/>
      <c r="P88" s="41"/>
      <c r="Q88" s="41"/>
      <c r="R88" s="41"/>
      <c r="S88" s="95"/>
      <c r="T88" s="41"/>
      <c r="U88" s="41"/>
      <c r="V88" s="42"/>
      <c r="W88" s="95"/>
      <c r="X88" s="41"/>
      <c r="Y88" s="41"/>
      <c r="Z88" s="41"/>
      <c r="AA88" s="41"/>
      <c r="AB88" s="42"/>
      <c r="AC88" s="95"/>
      <c r="AD88" s="41"/>
      <c r="AE88" s="41"/>
      <c r="AF88" s="41"/>
      <c r="AG88" s="42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2"/>
    </row>
    <row r="89" spans="3:47" x14ac:dyDescent="0.25">
      <c r="C89" s="127">
        <f t="shared" si="134"/>
        <v>45555</v>
      </c>
      <c r="D89" s="274"/>
      <c r="E89" s="339">
        <v>9</v>
      </c>
      <c r="F89" s="53">
        <v>14</v>
      </c>
      <c r="G89" s="129">
        <v>61.58</v>
      </c>
      <c r="H89" s="297">
        <f>'Boat Expansion'!I254</f>
        <v>8.4809999999999999</v>
      </c>
      <c r="I89" s="98"/>
      <c r="J89" s="118"/>
      <c r="K89" s="95"/>
      <c r="L89" s="41"/>
      <c r="M89" s="41"/>
      <c r="N89" s="41"/>
      <c r="O89" s="41"/>
      <c r="P89" s="41"/>
      <c r="Q89" s="41"/>
      <c r="R89" s="41"/>
      <c r="S89" s="95"/>
      <c r="T89" s="41"/>
      <c r="U89" s="41"/>
      <c r="V89" s="42"/>
      <c r="W89" s="95"/>
      <c r="X89" s="41"/>
      <c r="Y89" s="41"/>
      <c r="Z89" s="41"/>
      <c r="AA89" s="41"/>
      <c r="AB89" s="42"/>
      <c r="AC89" s="95"/>
      <c r="AD89" s="41"/>
      <c r="AE89" s="41"/>
      <c r="AF89" s="41"/>
      <c r="AG89" s="42"/>
      <c r="AH89" s="41"/>
      <c r="AI89" s="41"/>
      <c r="AJ89" s="41"/>
      <c r="AK89" s="41"/>
      <c r="AL89" s="41"/>
      <c r="AM89" s="41">
        <v>1</v>
      </c>
      <c r="AN89" s="41"/>
      <c r="AO89" s="41"/>
      <c r="AP89" s="41"/>
      <c r="AQ89" s="41"/>
      <c r="AR89" s="41"/>
      <c r="AS89" s="41"/>
      <c r="AT89" s="41"/>
      <c r="AU89" s="42"/>
    </row>
    <row r="90" spans="3:47" x14ac:dyDescent="0.25">
      <c r="C90" s="127">
        <f t="shared" si="134"/>
        <v>45556</v>
      </c>
      <c r="D90" s="274"/>
      <c r="E90" s="54">
        <v>13</v>
      </c>
      <c r="F90" s="53">
        <v>23</v>
      </c>
      <c r="G90" s="129">
        <v>117.91</v>
      </c>
      <c r="H90" s="297">
        <f>'Boat Expansion'!I260</f>
        <v>24.029500000000002</v>
      </c>
      <c r="I90" s="98"/>
      <c r="J90" s="118"/>
      <c r="K90" s="95"/>
      <c r="L90" s="41"/>
      <c r="M90" s="41"/>
      <c r="N90" s="41"/>
      <c r="O90" s="41"/>
      <c r="P90" s="41"/>
      <c r="Q90" s="41">
        <v>1</v>
      </c>
      <c r="R90" s="41"/>
      <c r="S90" s="95"/>
      <c r="T90" s="41"/>
      <c r="U90" s="41"/>
      <c r="V90" s="42"/>
      <c r="W90" s="95"/>
      <c r="X90" s="41">
        <v>1</v>
      </c>
      <c r="Y90" s="41"/>
      <c r="Z90" s="41"/>
      <c r="AA90" s="41"/>
      <c r="AB90" s="42"/>
      <c r="AC90" s="95"/>
      <c r="AD90" s="41"/>
      <c r="AE90" s="41"/>
      <c r="AF90" s="41"/>
      <c r="AG90" s="42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2"/>
    </row>
    <row r="91" spans="3:47" ht="16.5" thickBot="1" x14ac:dyDescent="0.3">
      <c r="C91" s="130">
        <f t="shared" si="134"/>
        <v>45557</v>
      </c>
      <c r="D91" s="275"/>
      <c r="E91" s="99">
        <v>7</v>
      </c>
      <c r="F91" s="100">
        <v>12</v>
      </c>
      <c r="G91" s="343">
        <v>56.42</v>
      </c>
      <c r="H91" s="344">
        <f>'Boat Expansion'!I266</f>
        <v>11.308</v>
      </c>
      <c r="I91" s="102"/>
      <c r="J91" s="118"/>
      <c r="K91" s="96"/>
      <c r="L91" s="76"/>
      <c r="M91" s="76"/>
      <c r="N91" s="76"/>
      <c r="O91" s="76"/>
      <c r="P91" s="76"/>
      <c r="Q91" s="76"/>
      <c r="R91" s="76"/>
      <c r="S91" s="96"/>
      <c r="T91" s="76"/>
      <c r="U91" s="76"/>
      <c r="V91" s="77"/>
      <c r="W91" s="96"/>
      <c r="X91" s="76">
        <v>1</v>
      </c>
      <c r="Y91" s="76"/>
      <c r="Z91" s="76">
        <v>1</v>
      </c>
      <c r="AA91" s="76"/>
      <c r="AB91" s="77"/>
      <c r="AC91" s="96"/>
      <c r="AD91" s="76"/>
      <c r="AE91" s="76"/>
      <c r="AF91" s="76"/>
      <c r="AG91" s="77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7"/>
    </row>
    <row r="92" spans="3:47" ht="17.25" thickTop="1" thickBot="1" x14ac:dyDescent="0.3">
      <c r="C92" s="132" t="s">
        <v>17</v>
      </c>
      <c r="D92" s="276"/>
      <c r="E92" s="133">
        <f t="shared" ref="E92:G92" si="135">SUM(E85:E91)</f>
        <v>29</v>
      </c>
      <c r="F92" s="101">
        <f t="shared" si="135"/>
        <v>49</v>
      </c>
      <c r="G92" s="134">
        <f t="shared" si="135"/>
        <v>235.91000000000003</v>
      </c>
      <c r="H92" s="300">
        <f>SUM(H85:H91)</f>
        <v>59.1265</v>
      </c>
      <c r="I92" s="56">
        <f>E92/H92</f>
        <v>0.49047381461781098</v>
      </c>
      <c r="J92" s="146"/>
      <c r="K92" s="166">
        <f t="shared" ref="K92:AU92" si="136">SUM(K85:K91)</f>
        <v>0</v>
      </c>
      <c r="L92" s="167">
        <f t="shared" si="136"/>
        <v>0</v>
      </c>
      <c r="M92" s="167">
        <f t="shared" si="136"/>
        <v>0</v>
      </c>
      <c r="N92" s="167">
        <f t="shared" si="136"/>
        <v>0</v>
      </c>
      <c r="O92" s="167">
        <f t="shared" si="136"/>
        <v>0</v>
      </c>
      <c r="P92" s="167">
        <f t="shared" si="136"/>
        <v>0</v>
      </c>
      <c r="Q92" s="167">
        <f t="shared" si="136"/>
        <v>1</v>
      </c>
      <c r="R92" s="168">
        <f t="shared" si="136"/>
        <v>0</v>
      </c>
      <c r="S92" s="166">
        <f t="shared" si="136"/>
        <v>0</v>
      </c>
      <c r="T92" s="167">
        <f t="shared" si="136"/>
        <v>0</v>
      </c>
      <c r="U92" s="167">
        <f t="shared" si="136"/>
        <v>0</v>
      </c>
      <c r="V92" s="168">
        <f t="shared" si="136"/>
        <v>0</v>
      </c>
      <c r="W92" s="166">
        <f t="shared" si="136"/>
        <v>0</v>
      </c>
      <c r="X92" s="167">
        <f t="shared" si="136"/>
        <v>2</v>
      </c>
      <c r="Y92" s="167">
        <f t="shared" si="136"/>
        <v>0</v>
      </c>
      <c r="Z92" s="167">
        <f t="shared" si="136"/>
        <v>1</v>
      </c>
      <c r="AA92" s="167">
        <f t="shared" si="136"/>
        <v>0</v>
      </c>
      <c r="AB92" s="168">
        <f t="shared" si="136"/>
        <v>0</v>
      </c>
      <c r="AC92" s="166">
        <f t="shared" si="136"/>
        <v>0</v>
      </c>
      <c r="AD92" s="167">
        <f t="shared" si="136"/>
        <v>0</v>
      </c>
      <c r="AE92" s="167">
        <f t="shared" si="136"/>
        <v>0</v>
      </c>
      <c r="AF92" s="167">
        <f t="shared" si="136"/>
        <v>0</v>
      </c>
      <c r="AG92" s="168">
        <f t="shared" si="136"/>
        <v>0</v>
      </c>
      <c r="AH92" s="166">
        <f t="shared" si="136"/>
        <v>0</v>
      </c>
      <c r="AI92" s="167">
        <f t="shared" si="136"/>
        <v>0</v>
      </c>
      <c r="AJ92" s="167">
        <f t="shared" si="136"/>
        <v>0</v>
      </c>
      <c r="AK92" s="167">
        <f t="shared" si="136"/>
        <v>0</v>
      </c>
      <c r="AL92" s="167">
        <f t="shared" si="136"/>
        <v>0</v>
      </c>
      <c r="AM92" s="167">
        <f t="shared" si="136"/>
        <v>1</v>
      </c>
      <c r="AN92" s="167">
        <f t="shared" si="136"/>
        <v>0</v>
      </c>
      <c r="AO92" s="167">
        <f t="shared" si="136"/>
        <v>0</v>
      </c>
      <c r="AP92" s="167">
        <f t="shared" ref="AP92:AQ92" si="137">SUM(AP85:AP91)</f>
        <v>0</v>
      </c>
      <c r="AQ92" s="167">
        <f t="shared" si="137"/>
        <v>0</v>
      </c>
      <c r="AR92" s="167">
        <f t="shared" si="136"/>
        <v>0</v>
      </c>
      <c r="AS92" s="167">
        <f t="shared" si="136"/>
        <v>0</v>
      </c>
      <c r="AT92" s="167">
        <f t="shared" si="136"/>
        <v>0</v>
      </c>
      <c r="AU92" s="168">
        <f t="shared" si="136"/>
        <v>0</v>
      </c>
    </row>
    <row r="93" spans="3:47" ht="16.5" thickBot="1" x14ac:dyDescent="0.3">
      <c r="K93" s="163">
        <f>K92/$I92</f>
        <v>0</v>
      </c>
      <c r="L93" s="164">
        <f t="shared" ref="L93:AU93" si="138">L92/$I92</f>
        <v>0</v>
      </c>
      <c r="M93" s="164">
        <f t="shared" si="138"/>
        <v>0</v>
      </c>
      <c r="N93" s="164">
        <f t="shared" si="138"/>
        <v>0</v>
      </c>
      <c r="O93" s="164">
        <f t="shared" si="138"/>
        <v>0</v>
      </c>
      <c r="P93" s="164">
        <f t="shared" si="138"/>
        <v>0</v>
      </c>
      <c r="Q93" s="164">
        <f t="shared" si="138"/>
        <v>2.0388448275862068</v>
      </c>
      <c r="R93" s="164">
        <f t="shared" si="138"/>
        <v>0</v>
      </c>
      <c r="S93" s="163">
        <f t="shared" si="138"/>
        <v>0</v>
      </c>
      <c r="T93" s="164">
        <f t="shared" si="138"/>
        <v>0</v>
      </c>
      <c r="U93" s="164">
        <f t="shared" si="138"/>
        <v>0</v>
      </c>
      <c r="V93" s="165">
        <f t="shared" si="138"/>
        <v>0</v>
      </c>
      <c r="W93" s="164">
        <f t="shared" si="138"/>
        <v>0</v>
      </c>
      <c r="X93" s="164">
        <f t="shared" si="138"/>
        <v>4.0776896551724136</v>
      </c>
      <c r="Y93" s="164">
        <f t="shared" si="138"/>
        <v>0</v>
      </c>
      <c r="Z93" s="164">
        <f t="shared" si="138"/>
        <v>2.0388448275862068</v>
      </c>
      <c r="AA93" s="164">
        <f t="shared" si="138"/>
        <v>0</v>
      </c>
      <c r="AB93" s="164">
        <f t="shared" si="138"/>
        <v>0</v>
      </c>
      <c r="AC93" s="163">
        <f t="shared" si="138"/>
        <v>0</v>
      </c>
      <c r="AD93" s="164">
        <f t="shared" si="138"/>
        <v>0</v>
      </c>
      <c r="AE93" s="164">
        <f t="shared" si="138"/>
        <v>0</v>
      </c>
      <c r="AF93" s="164">
        <f t="shared" si="138"/>
        <v>0</v>
      </c>
      <c r="AG93" s="165">
        <f t="shared" si="138"/>
        <v>0</v>
      </c>
      <c r="AH93" s="164">
        <f t="shared" si="138"/>
        <v>0</v>
      </c>
      <c r="AI93" s="164">
        <f t="shared" si="138"/>
        <v>0</v>
      </c>
      <c r="AJ93" s="164">
        <f t="shared" si="138"/>
        <v>0</v>
      </c>
      <c r="AK93" s="164">
        <f t="shared" si="138"/>
        <v>0</v>
      </c>
      <c r="AL93" s="164">
        <f t="shared" si="138"/>
        <v>0</v>
      </c>
      <c r="AM93" s="164">
        <f t="shared" si="138"/>
        <v>2.0388448275862068</v>
      </c>
      <c r="AN93" s="164">
        <f t="shared" si="138"/>
        <v>0</v>
      </c>
      <c r="AO93" s="164">
        <f t="shared" si="138"/>
        <v>0</v>
      </c>
      <c r="AP93" s="164">
        <f t="shared" ref="AP93:AQ93" si="139">AP92/$I92</f>
        <v>0</v>
      </c>
      <c r="AQ93" s="164">
        <f t="shared" si="139"/>
        <v>0</v>
      </c>
      <c r="AR93" s="164">
        <f t="shared" si="138"/>
        <v>0</v>
      </c>
      <c r="AS93" s="164">
        <f t="shared" si="138"/>
        <v>0</v>
      </c>
      <c r="AT93" s="164">
        <f t="shared" si="138"/>
        <v>0</v>
      </c>
      <c r="AU93" s="165">
        <f t="shared" si="138"/>
        <v>0</v>
      </c>
    </row>
    <row r="94" spans="3:47" ht="16.5" thickBot="1" x14ac:dyDescent="0.3"/>
    <row r="95" spans="3:47" x14ac:dyDescent="0.25">
      <c r="C95" s="154">
        <f>C91+1</f>
        <v>45558</v>
      </c>
      <c r="D95" s="278"/>
      <c r="E95" s="155">
        <v>7</v>
      </c>
      <c r="F95" s="103">
        <v>16</v>
      </c>
      <c r="G95" s="156">
        <v>69.72</v>
      </c>
      <c r="H95" s="302">
        <f>'Boat Expansion'!I272</f>
        <v>11.308</v>
      </c>
      <c r="I95" s="104"/>
      <c r="J95" s="118"/>
      <c r="K95" s="157"/>
      <c r="L95" s="158"/>
      <c r="M95" s="158"/>
      <c r="N95" s="158"/>
      <c r="O95" s="158"/>
      <c r="P95" s="158"/>
      <c r="Q95" s="158"/>
      <c r="R95" s="158"/>
      <c r="S95" s="157"/>
      <c r="T95" s="158"/>
      <c r="U95" s="158"/>
      <c r="V95" s="159"/>
      <c r="W95" s="157"/>
      <c r="X95" s="158"/>
      <c r="Y95" s="158"/>
      <c r="Z95" s="158"/>
      <c r="AA95" s="158"/>
      <c r="AB95" s="159">
        <v>1</v>
      </c>
      <c r="AC95" s="157"/>
      <c r="AD95" s="158"/>
      <c r="AE95" s="158"/>
      <c r="AF95" s="158"/>
      <c r="AG95" s="159"/>
      <c r="AH95" s="158"/>
      <c r="AI95" s="158"/>
      <c r="AJ95" s="158"/>
      <c r="AK95" s="158"/>
      <c r="AL95" s="158"/>
      <c r="AM95" s="158"/>
      <c r="AN95" s="158"/>
      <c r="AO95" s="158"/>
      <c r="AP95" s="158"/>
      <c r="AQ95" s="158"/>
      <c r="AR95" s="158"/>
      <c r="AS95" s="158"/>
      <c r="AT95" s="158"/>
      <c r="AU95" s="159"/>
    </row>
    <row r="96" spans="3:47" x14ac:dyDescent="0.25">
      <c r="C96" s="127">
        <f t="shared" ref="C96:C101" si="140">C95+1</f>
        <v>45559</v>
      </c>
      <c r="D96" s="274"/>
      <c r="E96" s="54"/>
      <c r="F96" s="53"/>
      <c r="G96" s="129"/>
      <c r="H96" s="297"/>
      <c r="I96" s="98"/>
      <c r="J96" s="118"/>
      <c r="K96" s="95"/>
      <c r="L96" s="41"/>
      <c r="M96" s="41"/>
      <c r="N96" s="41"/>
      <c r="O96" s="41"/>
      <c r="P96" s="41"/>
      <c r="Q96" s="41"/>
      <c r="R96" s="41"/>
      <c r="S96" s="95"/>
      <c r="T96" s="41"/>
      <c r="U96" s="41"/>
      <c r="V96" s="42"/>
      <c r="W96" s="95"/>
      <c r="X96" s="41"/>
      <c r="Y96" s="41"/>
      <c r="Z96" s="41"/>
      <c r="AA96" s="41"/>
      <c r="AB96" s="42"/>
      <c r="AC96" s="95"/>
      <c r="AD96" s="41"/>
      <c r="AE96" s="41"/>
      <c r="AF96" s="41"/>
      <c r="AG96" s="42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2"/>
    </row>
    <row r="97" spans="3:47" x14ac:dyDescent="0.25">
      <c r="C97" s="127">
        <f t="shared" si="140"/>
        <v>45560</v>
      </c>
      <c r="D97" s="274"/>
      <c r="E97" s="54">
        <v>4</v>
      </c>
      <c r="F97" s="53">
        <v>5</v>
      </c>
      <c r="G97" s="129">
        <v>18.68</v>
      </c>
      <c r="H97" s="297">
        <f>'Boat Expansion'!I284</f>
        <v>5.6539999999999999</v>
      </c>
      <c r="I97" s="98"/>
      <c r="J97" s="118"/>
      <c r="K97" s="95"/>
      <c r="L97" s="41"/>
      <c r="M97" s="41"/>
      <c r="N97" s="41"/>
      <c r="O97" s="41"/>
      <c r="P97" s="41"/>
      <c r="Q97" s="41"/>
      <c r="R97" s="41"/>
      <c r="S97" s="95"/>
      <c r="T97" s="41"/>
      <c r="U97" s="41"/>
      <c r="V97" s="42">
        <v>1</v>
      </c>
      <c r="W97" s="95"/>
      <c r="X97" s="41"/>
      <c r="Y97" s="41"/>
      <c r="Z97" s="41"/>
      <c r="AA97" s="41"/>
      <c r="AB97" s="42"/>
      <c r="AC97" s="95"/>
      <c r="AD97" s="41"/>
      <c r="AE97" s="41"/>
      <c r="AF97" s="41"/>
      <c r="AG97" s="42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2"/>
    </row>
    <row r="98" spans="3:47" x14ac:dyDescent="0.25">
      <c r="C98" s="127">
        <f t="shared" si="140"/>
        <v>45561</v>
      </c>
      <c r="D98" s="274"/>
      <c r="E98" s="54">
        <v>4</v>
      </c>
      <c r="F98" s="53">
        <v>6</v>
      </c>
      <c r="G98" s="129">
        <v>32.35</v>
      </c>
      <c r="H98" s="297">
        <f>'Boat Expansion'!I290</f>
        <v>9.8945000000000007</v>
      </c>
      <c r="I98" s="98"/>
      <c r="J98" s="118"/>
      <c r="K98" s="95"/>
      <c r="L98" s="41"/>
      <c r="M98" s="41"/>
      <c r="N98" s="41"/>
      <c r="O98" s="41"/>
      <c r="P98" s="41"/>
      <c r="Q98" s="41"/>
      <c r="R98" s="41"/>
      <c r="S98" s="95"/>
      <c r="T98" s="41"/>
      <c r="U98" s="41"/>
      <c r="V98" s="42"/>
      <c r="W98" s="95"/>
      <c r="X98" s="41"/>
      <c r="Y98" s="41"/>
      <c r="Z98" s="41"/>
      <c r="AA98" s="41"/>
      <c r="AB98" s="42"/>
      <c r="AC98" s="95"/>
      <c r="AD98" s="41"/>
      <c r="AE98" s="41"/>
      <c r="AF98" s="41"/>
      <c r="AG98" s="42"/>
      <c r="AH98" s="41"/>
      <c r="AI98" s="41"/>
      <c r="AJ98" s="41"/>
      <c r="AK98" s="41"/>
      <c r="AL98" s="41"/>
      <c r="AM98" s="41">
        <v>1</v>
      </c>
      <c r="AN98" s="41"/>
      <c r="AO98" s="41"/>
      <c r="AP98" s="41"/>
      <c r="AQ98" s="41"/>
      <c r="AR98" s="41"/>
      <c r="AS98" s="41"/>
      <c r="AT98" s="41"/>
      <c r="AU98" s="42"/>
    </row>
    <row r="99" spans="3:47" x14ac:dyDescent="0.25">
      <c r="C99" s="127">
        <f t="shared" si="140"/>
        <v>45562</v>
      </c>
      <c r="D99" s="274"/>
      <c r="E99" s="54"/>
      <c r="F99" s="53"/>
      <c r="G99" s="129"/>
      <c r="H99" s="297"/>
      <c r="I99" s="98"/>
      <c r="J99" s="118"/>
      <c r="K99" s="95"/>
      <c r="L99" s="41"/>
      <c r="M99" s="41"/>
      <c r="N99" s="41"/>
      <c r="O99" s="41"/>
      <c r="P99" s="41"/>
      <c r="Q99" s="41"/>
      <c r="R99" s="41"/>
      <c r="S99" s="95"/>
      <c r="T99" s="41"/>
      <c r="U99" s="41"/>
      <c r="V99" s="42"/>
      <c r="W99" s="95"/>
      <c r="X99" s="41"/>
      <c r="Y99" s="41"/>
      <c r="Z99" s="41"/>
      <c r="AA99" s="41"/>
      <c r="AB99" s="42"/>
      <c r="AC99" s="95"/>
      <c r="AD99" s="41"/>
      <c r="AE99" s="41"/>
      <c r="AF99" s="41"/>
      <c r="AG99" s="42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2"/>
    </row>
    <row r="100" spans="3:47" x14ac:dyDescent="0.25">
      <c r="C100" s="127">
        <f t="shared" si="140"/>
        <v>45563</v>
      </c>
      <c r="D100" s="274"/>
      <c r="E100" s="54">
        <v>14</v>
      </c>
      <c r="F100" s="53">
        <v>28</v>
      </c>
      <c r="G100" s="129">
        <v>127.79</v>
      </c>
      <c r="H100" s="297">
        <f>'Boat Expansion'!I302</f>
        <v>19.789000000000001</v>
      </c>
      <c r="I100" s="98"/>
      <c r="J100" s="118"/>
      <c r="K100" s="95"/>
      <c r="L100" s="41"/>
      <c r="M100" s="41"/>
      <c r="N100" s="41"/>
      <c r="O100" s="41"/>
      <c r="P100" s="41"/>
      <c r="Q100" s="41"/>
      <c r="R100" s="41"/>
      <c r="S100" s="95"/>
      <c r="T100" s="41"/>
      <c r="U100" s="41"/>
      <c r="V100" s="42"/>
      <c r="W100" s="95">
        <v>1</v>
      </c>
      <c r="X100" s="41"/>
      <c r="Y100" s="41">
        <v>1</v>
      </c>
      <c r="Z100" s="41"/>
      <c r="AA100" s="41"/>
      <c r="AB100" s="42"/>
      <c r="AC100" s="95"/>
      <c r="AD100" s="41"/>
      <c r="AE100" s="41"/>
      <c r="AF100" s="41"/>
      <c r="AG100" s="42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2"/>
    </row>
    <row r="101" spans="3:47" ht="16.5" thickBot="1" x14ac:dyDescent="0.3">
      <c r="C101" s="130">
        <f t="shared" si="140"/>
        <v>45564</v>
      </c>
      <c r="D101" s="275"/>
      <c r="E101" s="351"/>
      <c r="F101" s="352"/>
      <c r="G101" s="353"/>
      <c r="H101" s="334">
        <f>'Boat Expansion'!I308</f>
        <v>11.308</v>
      </c>
      <c r="I101" s="102"/>
      <c r="J101" s="118"/>
      <c r="K101" s="96"/>
      <c r="L101" s="76"/>
      <c r="M101" s="76"/>
      <c r="N101" s="76"/>
      <c r="O101" s="76"/>
      <c r="P101" s="76"/>
      <c r="Q101" s="76"/>
      <c r="R101" s="76"/>
      <c r="S101" s="96"/>
      <c r="T101" s="76"/>
      <c r="U101" s="76"/>
      <c r="V101" s="77"/>
      <c r="W101" s="96"/>
      <c r="X101" s="76"/>
      <c r="Y101" s="76"/>
      <c r="Z101" s="76"/>
      <c r="AA101" s="76"/>
      <c r="AB101" s="77"/>
      <c r="AC101" s="96"/>
      <c r="AD101" s="76"/>
      <c r="AE101" s="76"/>
      <c r="AF101" s="76"/>
      <c r="AG101" s="77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7"/>
    </row>
    <row r="102" spans="3:47" ht="17.25" thickTop="1" thickBot="1" x14ac:dyDescent="0.3">
      <c r="C102" s="132" t="s">
        <v>17</v>
      </c>
      <c r="D102" s="276"/>
      <c r="E102" s="133">
        <f t="shared" ref="E102:G102" si="141">SUM(E95:E101)</f>
        <v>29</v>
      </c>
      <c r="F102" s="101">
        <f t="shared" si="141"/>
        <v>55</v>
      </c>
      <c r="G102" s="134">
        <f t="shared" si="141"/>
        <v>248.54000000000002</v>
      </c>
      <c r="H102" s="300">
        <f>SUM(H95:H101)</f>
        <v>57.953499999999998</v>
      </c>
      <c r="I102" s="56">
        <f>E102/H102</f>
        <v>0.50040118370762765</v>
      </c>
      <c r="J102" s="146"/>
      <c r="K102" s="166">
        <f t="shared" ref="K102:AU102" si="142">SUM(K95:K101)</f>
        <v>0</v>
      </c>
      <c r="L102" s="167">
        <f t="shared" si="142"/>
        <v>0</v>
      </c>
      <c r="M102" s="167">
        <f t="shared" si="142"/>
        <v>0</v>
      </c>
      <c r="N102" s="167">
        <f t="shared" si="142"/>
        <v>0</v>
      </c>
      <c r="O102" s="167">
        <f t="shared" si="142"/>
        <v>0</v>
      </c>
      <c r="P102" s="167">
        <f t="shared" si="142"/>
        <v>0</v>
      </c>
      <c r="Q102" s="167">
        <f t="shared" si="142"/>
        <v>0</v>
      </c>
      <c r="R102" s="168">
        <f t="shared" si="142"/>
        <v>0</v>
      </c>
      <c r="S102" s="166">
        <f t="shared" si="142"/>
        <v>0</v>
      </c>
      <c r="T102" s="167">
        <f t="shared" si="142"/>
        <v>0</v>
      </c>
      <c r="U102" s="167">
        <f t="shared" si="142"/>
        <v>0</v>
      </c>
      <c r="V102" s="168">
        <f t="shared" si="142"/>
        <v>1</v>
      </c>
      <c r="W102" s="166">
        <f t="shared" si="142"/>
        <v>1</v>
      </c>
      <c r="X102" s="167">
        <f t="shared" si="142"/>
        <v>0</v>
      </c>
      <c r="Y102" s="167">
        <f t="shared" si="142"/>
        <v>1</v>
      </c>
      <c r="Z102" s="167">
        <f t="shared" si="142"/>
        <v>0</v>
      </c>
      <c r="AA102" s="167">
        <f t="shared" si="142"/>
        <v>0</v>
      </c>
      <c r="AB102" s="168">
        <f t="shared" si="142"/>
        <v>1</v>
      </c>
      <c r="AC102" s="166">
        <f t="shared" si="142"/>
        <v>0</v>
      </c>
      <c r="AD102" s="167">
        <f t="shared" si="142"/>
        <v>0</v>
      </c>
      <c r="AE102" s="167">
        <f t="shared" si="142"/>
        <v>0</v>
      </c>
      <c r="AF102" s="167">
        <f t="shared" si="142"/>
        <v>0</v>
      </c>
      <c r="AG102" s="168">
        <f t="shared" si="142"/>
        <v>0</v>
      </c>
      <c r="AH102" s="166">
        <f t="shared" si="142"/>
        <v>0</v>
      </c>
      <c r="AI102" s="167">
        <f t="shared" si="142"/>
        <v>0</v>
      </c>
      <c r="AJ102" s="167">
        <f t="shared" si="142"/>
        <v>0</v>
      </c>
      <c r="AK102" s="167">
        <f t="shared" si="142"/>
        <v>0</v>
      </c>
      <c r="AL102" s="167">
        <f t="shared" si="142"/>
        <v>0</v>
      </c>
      <c r="AM102" s="167">
        <f t="shared" si="142"/>
        <v>1</v>
      </c>
      <c r="AN102" s="167">
        <f t="shared" si="142"/>
        <v>0</v>
      </c>
      <c r="AO102" s="167">
        <f t="shared" si="142"/>
        <v>0</v>
      </c>
      <c r="AP102" s="167">
        <f t="shared" ref="AP102:AQ102" si="143">SUM(AP95:AP101)</f>
        <v>0</v>
      </c>
      <c r="AQ102" s="167">
        <f t="shared" si="143"/>
        <v>0</v>
      </c>
      <c r="AR102" s="167">
        <f t="shared" si="142"/>
        <v>0</v>
      </c>
      <c r="AS102" s="167">
        <f t="shared" si="142"/>
        <v>0</v>
      </c>
      <c r="AT102" s="167">
        <f t="shared" si="142"/>
        <v>0</v>
      </c>
      <c r="AU102" s="168">
        <f t="shared" si="142"/>
        <v>0</v>
      </c>
    </row>
    <row r="103" spans="3:47" ht="16.5" thickBot="1" x14ac:dyDescent="0.3">
      <c r="K103" s="163">
        <f>K102/$I102</f>
        <v>0</v>
      </c>
      <c r="L103" s="164">
        <f t="shared" ref="L103:AU103" si="144">L102/$I102</f>
        <v>0</v>
      </c>
      <c r="M103" s="164">
        <f t="shared" si="144"/>
        <v>0</v>
      </c>
      <c r="N103" s="164">
        <f t="shared" si="144"/>
        <v>0</v>
      </c>
      <c r="O103" s="164">
        <f t="shared" si="144"/>
        <v>0</v>
      </c>
      <c r="P103" s="164">
        <f t="shared" si="144"/>
        <v>0</v>
      </c>
      <c r="Q103" s="164">
        <f t="shared" si="144"/>
        <v>0</v>
      </c>
      <c r="R103" s="164">
        <f t="shared" si="144"/>
        <v>0</v>
      </c>
      <c r="S103" s="163">
        <f t="shared" si="144"/>
        <v>0</v>
      </c>
      <c r="T103" s="164">
        <f t="shared" si="144"/>
        <v>0</v>
      </c>
      <c r="U103" s="164">
        <f t="shared" si="144"/>
        <v>0</v>
      </c>
      <c r="V103" s="165">
        <f t="shared" si="144"/>
        <v>1.998396551724138</v>
      </c>
      <c r="W103" s="164">
        <f t="shared" si="144"/>
        <v>1.998396551724138</v>
      </c>
      <c r="X103" s="164">
        <f t="shared" si="144"/>
        <v>0</v>
      </c>
      <c r="Y103" s="164">
        <f t="shared" si="144"/>
        <v>1.998396551724138</v>
      </c>
      <c r="Z103" s="164">
        <f t="shared" si="144"/>
        <v>0</v>
      </c>
      <c r="AA103" s="164">
        <f t="shared" si="144"/>
        <v>0</v>
      </c>
      <c r="AB103" s="164">
        <f t="shared" si="144"/>
        <v>1.998396551724138</v>
      </c>
      <c r="AC103" s="163">
        <f t="shared" si="144"/>
        <v>0</v>
      </c>
      <c r="AD103" s="164">
        <f t="shared" si="144"/>
        <v>0</v>
      </c>
      <c r="AE103" s="164">
        <f t="shared" si="144"/>
        <v>0</v>
      </c>
      <c r="AF103" s="164">
        <f t="shared" si="144"/>
        <v>0</v>
      </c>
      <c r="AG103" s="165">
        <f t="shared" si="144"/>
        <v>0</v>
      </c>
      <c r="AH103" s="164">
        <f t="shared" si="144"/>
        <v>0</v>
      </c>
      <c r="AI103" s="164">
        <f t="shared" si="144"/>
        <v>0</v>
      </c>
      <c r="AJ103" s="164">
        <f t="shared" si="144"/>
        <v>0</v>
      </c>
      <c r="AK103" s="164">
        <f t="shared" si="144"/>
        <v>0</v>
      </c>
      <c r="AL103" s="164">
        <f t="shared" si="144"/>
        <v>0</v>
      </c>
      <c r="AM103" s="164">
        <f t="shared" si="144"/>
        <v>1.998396551724138</v>
      </c>
      <c r="AN103" s="164">
        <f t="shared" si="144"/>
        <v>0</v>
      </c>
      <c r="AO103" s="164">
        <f t="shared" si="144"/>
        <v>0</v>
      </c>
      <c r="AP103" s="164">
        <f t="shared" ref="AP103:AQ103" si="145">AP102/$I102</f>
        <v>0</v>
      </c>
      <c r="AQ103" s="164">
        <f t="shared" si="145"/>
        <v>0</v>
      </c>
      <c r="AR103" s="164">
        <f t="shared" si="144"/>
        <v>0</v>
      </c>
      <c r="AS103" s="164">
        <f t="shared" si="144"/>
        <v>0</v>
      </c>
      <c r="AT103" s="164">
        <f t="shared" si="144"/>
        <v>0</v>
      </c>
      <c r="AU103" s="165">
        <f t="shared" si="144"/>
        <v>0</v>
      </c>
    </row>
    <row r="104" spans="3:47" ht="16.5" thickBot="1" x14ac:dyDescent="0.3"/>
    <row r="105" spans="3:47" x14ac:dyDescent="0.25">
      <c r="C105" s="154">
        <f>C101+1</f>
        <v>45565</v>
      </c>
      <c r="D105" s="278"/>
      <c r="E105" s="155"/>
      <c r="F105" s="103"/>
      <c r="G105" s="156"/>
      <c r="H105" s="302"/>
      <c r="I105" s="104"/>
      <c r="J105" s="118"/>
      <c r="K105" s="157"/>
      <c r="L105" s="158"/>
      <c r="M105" s="158"/>
      <c r="N105" s="158"/>
      <c r="O105" s="158"/>
      <c r="P105" s="158"/>
      <c r="Q105" s="158"/>
      <c r="R105" s="158"/>
      <c r="S105" s="157"/>
      <c r="T105" s="158"/>
      <c r="U105" s="158"/>
      <c r="V105" s="159"/>
      <c r="W105" s="157"/>
      <c r="X105" s="158"/>
      <c r="Y105" s="158"/>
      <c r="Z105" s="158"/>
      <c r="AA105" s="158"/>
      <c r="AB105" s="159"/>
      <c r="AC105" s="157"/>
      <c r="AD105" s="158"/>
      <c r="AE105" s="158"/>
      <c r="AF105" s="158"/>
      <c r="AG105" s="159"/>
      <c r="AH105" s="158"/>
      <c r="AI105" s="158"/>
      <c r="AJ105" s="158"/>
      <c r="AK105" s="158"/>
      <c r="AL105" s="158"/>
      <c r="AM105" s="158"/>
      <c r="AN105" s="158"/>
      <c r="AO105" s="158"/>
      <c r="AP105" s="158"/>
      <c r="AQ105" s="158"/>
      <c r="AR105" s="158"/>
      <c r="AS105" s="158"/>
      <c r="AT105" s="158"/>
      <c r="AU105" s="159"/>
    </row>
    <row r="106" spans="3:47" x14ac:dyDescent="0.25">
      <c r="C106" s="127">
        <f t="shared" ref="C106:C111" si="146">C105+1</f>
        <v>45566</v>
      </c>
      <c r="D106" s="274"/>
      <c r="E106" s="54"/>
      <c r="F106" s="53"/>
      <c r="G106" s="129"/>
      <c r="H106" s="304">
        <f>'Boat Expansion'!I320</f>
        <v>5.6539999999999999</v>
      </c>
      <c r="I106" s="98"/>
      <c r="J106" s="118"/>
      <c r="K106" s="95"/>
      <c r="L106" s="41"/>
      <c r="M106" s="41"/>
      <c r="N106" s="41"/>
      <c r="O106" s="41"/>
      <c r="P106" s="41"/>
      <c r="Q106" s="41"/>
      <c r="R106" s="41"/>
      <c r="S106" s="95"/>
      <c r="T106" s="41"/>
      <c r="U106" s="41"/>
      <c r="V106" s="42"/>
      <c r="W106" s="95"/>
      <c r="X106" s="41"/>
      <c r="Y106" s="41"/>
      <c r="Z106" s="41"/>
      <c r="AA106" s="41"/>
      <c r="AB106" s="42"/>
      <c r="AC106" s="95"/>
      <c r="AD106" s="41"/>
      <c r="AE106" s="41"/>
      <c r="AF106" s="41"/>
      <c r="AG106" s="42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2"/>
    </row>
    <row r="107" spans="3:47" x14ac:dyDescent="0.25">
      <c r="C107" s="127">
        <f t="shared" si="146"/>
        <v>45567</v>
      </c>
      <c r="D107" s="274"/>
      <c r="E107" s="54">
        <v>2</v>
      </c>
      <c r="F107" s="53">
        <v>4</v>
      </c>
      <c r="G107" s="129">
        <v>22.16</v>
      </c>
      <c r="H107" s="297">
        <f>'Boat Expansion'!I326</f>
        <v>5.6539999999999999</v>
      </c>
      <c r="I107" s="98"/>
      <c r="J107" s="118"/>
      <c r="K107" s="95"/>
      <c r="L107" s="41"/>
      <c r="M107" s="41"/>
      <c r="N107" s="41"/>
      <c r="O107" s="41"/>
      <c r="P107" s="41"/>
      <c r="Q107" s="41"/>
      <c r="R107" s="41"/>
      <c r="S107" s="95"/>
      <c r="T107" s="41"/>
      <c r="U107" s="41"/>
      <c r="V107" s="42"/>
      <c r="W107" s="95"/>
      <c r="X107" s="41"/>
      <c r="Y107" s="41"/>
      <c r="Z107" s="41"/>
      <c r="AA107" s="41"/>
      <c r="AB107" s="42"/>
      <c r="AC107" s="95"/>
      <c r="AD107" s="41"/>
      <c r="AE107" s="41"/>
      <c r="AF107" s="41"/>
      <c r="AG107" s="42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2"/>
    </row>
    <row r="108" spans="3:47" x14ac:dyDescent="0.25">
      <c r="C108" s="127">
        <f t="shared" si="146"/>
        <v>45568</v>
      </c>
      <c r="D108" s="274"/>
      <c r="E108" s="54"/>
      <c r="F108" s="53"/>
      <c r="G108" s="129"/>
      <c r="H108" s="297"/>
      <c r="I108" s="98"/>
      <c r="J108" s="118"/>
      <c r="K108" s="95"/>
      <c r="L108" s="41"/>
      <c r="M108" s="41"/>
      <c r="N108" s="41"/>
      <c r="O108" s="41"/>
      <c r="P108" s="41"/>
      <c r="Q108" s="41"/>
      <c r="R108" s="41"/>
      <c r="S108" s="95"/>
      <c r="T108" s="41"/>
      <c r="U108" s="41"/>
      <c r="V108" s="42"/>
      <c r="W108" s="95"/>
      <c r="X108" s="41"/>
      <c r="Y108" s="41"/>
      <c r="Z108" s="41"/>
      <c r="AA108" s="41"/>
      <c r="AB108" s="42"/>
      <c r="AC108" s="95"/>
      <c r="AD108" s="41"/>
      <c r="AE108" s="41"/>
      <c r="AF108" s="41"/>
      <c r="AG108" s="42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2"/>
    </row>
    <row r="109" spans="3:47" x14ac:dyDescent="0.25">
      <c r="C109" s="127">
        <f t="shared" si="146"/>
        <v>45569</v>
      </c>
      <c r="D109" s="274"/>
      <c r="E109" s="54">
        <v>3</v>
      </c>
      <c r="F109" s="53">
        <v>5</v>
      </c>
      <c r="G109" s="129">
        <v>16.68</v>
      </c>
      <c r="H109" s="297">
        <f>'Boat Expansion'!I338</f>
        <v>7.0675000000000008</v>
      </c>
      <c r="I109" s="98"/>
      <c r="J109" s="118"/>
      <c r="K109" s="95"/>
      <c r="L109" s="41"/>
      <c r="M109" s="41"/>
      <c r="N109" s="41"/>
      <c r="O109" s="41"/>
      <c r="P109" s="41"/>
      <c r="Q109" s="41">
        <v>1</v>
      </c>
      <c r="R109" s="41"/>
      <c r="S109" s="95"/>
      <c r="T109" s="41"/>
      <c r="U109" s="41"/>
      <c r="V109" s="42"/>
      <c r="W109" s="95"/>
      <c r="X109" s="41"/>
      <c r="Y109" s="41">
        <v>1</v>
      </c>
      <c r="Z109" s="41">
        <v>1</v>
      </c>
      <c r="AA109" s="41"/>
      <c r="AB109" s="42"/>
      <c r="AC109" s="95"/>
      <c r="AD109" s="41"/>
      <c r="AE109" s="41"/>
      <c r="AF109" s="41"/>
      <c r="AG109" s="42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2">
        <v>1</v>
      </c>
    </row>
    <row r="110" spans="3:47" x14ac:dyDescent="0.25">
      <c r="C110" s="127">
        <f t="shared" si="146"/>
        <v>45570</v>
      </c>
      <c r="D110" s="274"/>
      <c r="E110" s="54">
        <v>6</v>
      </c>
      <c r="F110" s="53">
        <v>10</v>
      </c>
      <c r="G110" s="129">
        <v>38.54</v>
      </c>
      <c r="H110" s="297">
        <f>'Boat Expansion'!I344</f>
        <v>15.548500000000001</v>
      </c>
      <c r="I110" s="98"/>
      <c r="J110" s="118"/>
      <c r="K110" s="95"/>
      <c r="L110" s="41"/>
      <c r="M110" s="41"/>
      <c r="N110" s="41"/>
      <c r="O110" s="41"/>
      <c r="P110" s="41"/>
      <c r="Q110" s="41">
        <v>1</v>
      </c>
      <c r="R110" s="41"/>
      <c r="S110" s="95"/>
      <c r="T110" s="41"/>
      <c r="U110" s="41"/>
      <c r="V110" s="42"/>
      <c r="W110" s="95"/>
      <c r="X110" s="41"/>
      <c r="Y110" s="41"/>
      <c r="Z110" s="41"/>
      <c r="AA110" s="41"/>
      <c r="AB110" s="42"/>
      <c r="AC110" s="95"/>
      <c r="AD110" s="41"/>
      <c r="AE110" s="41"/>
      <c r="AF110" s="41"/>
      <c r="AG110" s="42"/>
      <c r="AH110" s="41"/>
      <c r="AI110" s="41"/>
      <c r="AJ110" s="41"/>
      <c r="AK110" s="41"/>
      <c r="AL110" s="41"/>
      <c r="AM110" s="41">
        <v>1</v>
      </c>
      <c r="AN110" s="41"/>
      <c r="AO110" s="41"/>
      <c r="AP110" s="41"/>
      <c r="AQ110" s="41"/>
      <c r="AR110" s="41"/>
      <c r="AS110" s="41"/>
      <c r="AT110" s="41"/>
      <c r="AU110" s="42"/>
    </row>
    <row r="111" spans="3:47" ht="16.5" thickBot="1" x14ac:dyDescent="0.3">
      <c r="C111" s="130">
        <f t="shared" si="146"/>
        <v>45571</v>
      </c>
      <c r="D111" s="275"/>
      <c r="E111" s="99">
        <v>6</v>
      </c>
      <c r="F111" s="100">
        <v>13</v>
      </c>
      <c r="G111" s="131">
        <v>65.98</v>
      </c>
      <c r="H111" s="299">
        <f>'Boat Expansion'!I350</f>
        <v>9.8945000000000007</v>
      </c>
      <c r="I111" s="102"/>
      <c r="J111" s="118"/>
      <c r="K111" s="96"/>
      <c r="L111" s="76"/>
      <c r="M111" s="76"/>
      <c r="N111" s="76"/>
      <c r="O111" s="76"/>
      <c r="P111" s="76"/>
      <c r="Q111" s="76"/>
      <c r="R111" s="76"/>
      <c r="S111" s="96"/>
      <c r="T111" s="76"/>
      <c r="U111" s="76"/>
      <c r="V111" s="77"/>
      <c r="W111" s="96"/>
      <c r="X111" s="76"/>
      <c r="Y111" s="76"/>
      <c r="Z111" s="76"/>
      <c r="AA111" s="76"/>
      <c r="AB111" s="77"/>
      <c r="AC111" s="96"/>
      <c r="AD111" s="76"/>
      <c r="AE111" s="76"/>
      <c r="AF111" s="76"/>
      <c r="AG111" s="77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  <c r="AR111" s="76"/>
      <c r="AS111" s="76"/>
      <c r="AT111" s="76"/>
      <c r="AU111" s="77"/>
    </row>
    <row r="112" spans="3:47" ht="17.25" thickTop="1" thickBot="1" x14ac:dyDescent="0.3">
      <c r="C112" s="132" t="s">
        <v>17</v>
      </c>
      <c r="D112" s="276"/>
      <c r="E112" s="133">
        <f t="shared" ref="E112:G112" si="147">SUM(E105:E111)</f>
        <v>17</v>
      </c>
      <c r="F112" s="101">
        <f t="shared" si="147"/>
        <v>32</v>
      </c>
      <c r="G112" s="134">
        <f t="shared" si="147"/>
        <v>143.36000000000001</v>
      </c>
      <c r="H112" s="300">
        <f>SUM(H105:H111)</f>
        <v>43.818500000000007</v>
      </c>
      <c r="I112" s="56">
        <f>E112/H112</f>
        <v>0.38796398781336644</v>
      </c>
      <c r="J112" s="146"/>
      <c r="K112" s="166">
        <f t="shared" ref="K112:AU112" si="148">SUM(K105:K111)</f>
        <v>0</v>
      </c>
      <c r="L112" s="167">
        <f t="shared" si="148"/>
        <v>0</v>
      </c>
      <c r="M112" s="167">
        <f t="shared" si="148"/>
        <v>0</v>
      </c>
      <c r="N112" s="167">
        <f t="shared" si="148"/>
        <v>0</v>
      </c>
      <c r="O112" s="167">
        <f t="shared" si="148"/>
        <v>0</v>
      </c>
      <c r="P112" s="167">
        <f t="shared" si="148"/>
        <v>0</v>
      </c>
      <c r="Q112" s="167">
        <f t="shared" si="148"/>
        <v>2</v>
      </c>
      <c r="R112" s="168">
        <f t="shared" si="148"/>
        <v>0</v>
      </c>
      <c r="S112" s="166">
        <f t="shared" si="148"/>
        <v>0</v>
      </c>
      <c r="T112" s="167">
        <f t="shared" si="148"/>
        <v>0</v>
      </c>
      <c r="U112" s="167">
        <f t="shared" si="148"/>
        <v>0</v>
      </c>
      <c r="V112" s="168">
        <f t="shared" si="148"/>
        <v>0</v>
      </c>
      <c r="W112" s="166">
        <f t="shared" si="148"/>
        <v>0</v>
      </c>
      <c r="X112" s="167">
        <f t="shared" si="148"/>
        <v>0</v>
      </c>
      <c r="Y112" s="167">
        <f t="shared" si="148"/>
        <v>1</v>
      </c>
      <c r="Z112" s="167">
        <f t="shared" si="148"/>
        <v>1</v>
      </c>
      <c r="AA112" s="167">
        <f t="shared" si="148"/>
        <v>0</v>
      </c>
      <c r="AB112" s="168">
        <f t="shared" si="148"/>
        <v>0</v>
      </c>
      <c r="AC112" s="166">
        <f t="shared" si="148"/>
        <v>0</v>
      </c>
      <c r="AD112" s="167">
        <f t="shared" si="148"/>
        <v>0</v>
      </c>
      <c r="AE112" s="167">
        <f t="shared" si="148"/>
        <v>0</v>
      </c>
      <c r="AF112" s="167">
        <f t="shared" si="148"/>
        <v>0</v>
      </c>
      <c r="AG112" s="168">
        <f t="shared" si="148"/>
        <v>0</v>
      </c>
      <c r="AH112" s="166">
        <f t="shared" si="148"/>
        <v>0</v>
      </c>
      <c r="AI112" s="167">
        <f t="shared" si="148"/>
        <v>0</v>
      </c>
      <c r="AJ112" s="167">
        <f t="shared" si="148"/>
        <v>0</v>
      </c>
      <c r="AK112" s="167">
        <f t="shared" si="148"/>
        <v>0</v>
      </c>
      <c r="AL112" s="167">
        <f t="shared" si="148"/>
        <v>0</v>
      </c>
      <c r="AM112" s="167">
        <f t="shared" si="148"/>
        <v>1</v>
      </c>
      <c r="AN112" s="167">
        <f t="shared" si="148"/>
        <v>0</v>
      </c>
      <c r="AO112" s="167">
        <f t="shared" si="148"/>
        <v>0</v>
      </c>
      <c r="AP112" s="167">
        <f t="shared" ref="AP112:AQ112" si="149">SUM(AP105:AP111)</f>
        <v>0</v>
      </c>
      <c r="AQ112" s="167">
        <f t="shared" si="149"/>
        <v>0</v>
      </c>
      <c r="AR112" s="167">
        <f t="shared" si="148"/>
        <v>0</v>
      </c>
      <c r="AS112" s="167">
        <f t="shared" si="148"/>
        <v>0</v>
      </c>
      <c r="AT112" s="167">
        <f t="shared" si="148"/>
        <v>0</v>
      </c>
      <c r="AU112" s="168">
        <f t="shared" si="148"/>
        <v>1</v>
      </c>
    </row>
    <row r="113" spans="3:47" ht="16.5" thickBot="1" x14ac:dyDescent="0.3">
      <c r="K113" s="163">
        <f>K112/$I112</f>
        <v>0</v>
      </c>
      <c r="L113" s="164">
        <f t="shared" ref="L113:AU113" si="150">L112/$I112</f>
        <v>0</v>
      </c>
      <c r="M113" s="164">
        <f t="shared" si="150"/>
        <v>0</v>
      </c>
      <c r="N113" s="164">
        <f t="shared" si="150"/>
        <v>0</v>
      </c>
      <c r="O113" s="164">
        <f t="shared" si="150"/>
        <v>0</v>
      </c>
      <c r="P113" s="164">
        <f t="shared" si="150"/>
        <v>0</v>
      </c>
      <c r="Q113" s="164">
        <f t="shared" si="150"/>
        <v>5.155117647058824</v>
      </c>
      <c r="R113" s="164">
        <f t="shared" si="150"/>
        <v>0</v>
      </c>
      <c r="S113" s="163">
        <f t="shared" si="150"/>
        <v>0</v>
      </c>
      <c r="T113" s="164">
        <f t="shared" si="150"/>
        <v>0</v>
      </c>
      <c r="U113" s="164">
        <f t="shared" si="150"/>
        <v>0</v>
      </c>
      <c r="V113" s="165">
        <f t="shared" si="150"/>
        <v>0</v>
      </c>
      <c r="W113" s="164">
        <f t="shared" si="150"/>
        <v>0</v>
      </c>
      <c r="X113" s="164">
        <f t="shared" si="150"/>
        <v>0</v>
      </c>
      <c r="Y113" s="164">
        <f t="shared" si="150"/>
        <v>2.577558823529412</v>
      </c>
      <c r="Z113" s="164">
        <f t="shared" si="150"/>
        <v>2.577558823529412</v>
      </c>
      <c r="AA113" s="164">
        <f t="shared" si="150"/>
        <v>0</v>
      </c>
      <c r="AB113" s="164">
        <f t="shared" si="150"/>
        <v>0</v>
      </c>
      <c r="AC113" s="163">
        <f t="shared" si="150"/>
        <v>0</v>
      </c>
      <c r="AD113" s="164">
        <f t="shared" si="150"/>
        <v>0</v>
      </c>
      <c r="AE113" s="164">
        <f t="shared" si="150"/>
        <v>0</v>
      </c>
      <c r="AF113" s="164">
        <f t="shared" si="150"/>
        <v>0</v>
      </c>
      <c r="AG113" s="165">
        <f t="shared" si="150"/>
        <v>0</v>
      </c>
      <c r="AH113" s="164">
        <f t="shared" si="150"/>
        <v>0</v>
      </c>
      <c r="AI113" s="164">
        <f t="shared" si="150"/>
        <v>0</v>
      </c>
      <c r="AJ113" s="164">
        <f t="shared" si="150"/>
        <v>0</v>
      </c>
      <c r="AK113" s="164">
        <f t="shared" si="150"/>
        <v>0</v>
      </c>
      <c r="AL113" s="164">
        <f t="shared" si="150"/>
        <v>0</v>
      </c>
      <c r="AM113" s="164">
        <f t="shared" si="150"/>
        <v>2.577558823529412</v>
      </c>
      <c r="AN113" s="164">
        <f t="shared" si="150"/>
        <v>0</v>
      </c>
      <c r="AO113" s="164">
        <f t="shared" si="150"/>
        <v>0</v>
      </c>
      <c r="AP113" s="164">
        <f t="shared" ref="AP113:AQ113" si="151">AP112/$I112</f>
        <v>0</v>
      </c>
      <c r="AQ113" s="164">
        <f t="shared" si="151"/>
        <v>0</v>
      </c>
      <c r="AR113" s="164">
        <f t="shared" si="150"/>
        <v>0</v>
      </c>
      <c r="AS113" s="164">
        <f t="shared" si="150"/>
        <v>0</v>
      </c>
      <c r="AT113" s="164">
        <f t="shared" si="150"/>
        <v>0</v>
      </c>
      <c r="AU113" s="165">
        <f t="shared" si="150"/>
        <v>2.577558823529412</v>
      </c>
    </row>
    <row r="114" spans="3:47" ht="16.5" thickBot="1" x14ac:dyDescent="0.3"/>
    <row r="115" spans="3:47" x14ac:dyDescent="0.25">
      <c r="C115" s="154">
        <f>C111+1</f>
        <v>45572</v>
      </c>
      <c r="D115" s="278"/>
      <c r="E115" s="155">
        <v>10</v>
      </c>
      <c r="F115" s="103">
        <v>15</v>
      </c>
      <c r="G115" s="156">
        <v>81.63</v>
      </c>
      <c r="H115" s="302">
        <f>'Boat Expansion'!I356</f>
        <v>11.308</v>
      </c>
      <c r="I115" s="104"/>
      <c r="J115" s="118"/>
      <c r="K115" s="157"/>
      <c r="L115" s="158"/>
      <c r="M115" s="158"/>
      <c r="N115" s="158"/>
      <c r="O115" s="158"/>
      <c r="P115" s="158"/>
      <c r="Q115" s="158">
        <v>1</v>
      </c>
      <c r="R115" s="158"/>
      <c r="S115" s="157">
        <v>1</v>
      </c>
      <c r="T115" s="158"/>
      <c r="U115" s="158"/>
      <c r="V115" s="159"/>
      <c r="W115" s="157"/>
      <c r="X115" s="158">
        <v>1</v>
      </c>
      <c r="Y115" s="158"/>
      <c r="Z115" s="158"/>
      <c r="AA115" s="158"/>
      <c r="AB115" s="159"/>
      <c r="AC115" s="157"/>
      <c r="AD115" s="158"/>
      <c r="AE115" s="158"/>
      <c r="AF115" s="158"/>
      <c r="AG115" s="159"/>
      <c r="AH115" s="158"/>
      <c r="AI115" s="158"/>
      <c r="AJ115" s="158"/>
      <c r="AK115" s="158"/>
      <c r="AL115" s="158"/>
      <c r="AM115" s="158"/>
      <c r="AN115" s="158"/>
      <c r="AO115" s="158"/>
      <c r="AP115" s="158"/>
      <c r="AQ115" s="158"/>
      <c r="AR115" s="158"/>
      <c r="AS115" s="158"/>
      <c r="AT115" s="158"/>
      <c r="AU115" s="159">
        <v>3</v>
      </c>
    </row>
    <row r="116" spans="3:47" x14ac:dyDescent="0.25">
      <c r="C116" s="127">
        <f t="shared" ref="C116:C121" si="152">C115+1</f>
        <v>45573</v>
      </c>
      <c r="D116" s="274"/>
      <c r="E116" s="54">
        <v>4</v>
      </c>
      <c r="F116" s="53">
        <v>6</v>
      </c>
      <c r="G116" s="129">
        <v>28.36</v>
      </c>
      <c r="H116" s="297">
        <f>'Boat Expansion'!I362</f>
        <v>5.6539999999999999</v>
      </c>
      <c r="I116" s="98"/>
      <c r="J116" s="118"/>
      <c r="K116" s="95">
        <v>1</v>
      </c>
      <c r="L116" s="41"/>
      <c r="M116" s="41"/>
      <c r="N116" s="41"/>
      <c r="O116" s="41"/>
      <c r="P116" s="41"/>
      <c r="Q116" s="41"/>
      <c r="R116" s="41"/>
      <c r="S116" s="95"/>
      <c r="T116" s="41">
        <v>1</v>
      </c>
      <c r="U116" s="41"/>
      <c r="V116" s="42"/>
      <c r="W116" s="95">
        <v>2</v>
      </c>
      <c r="X116" s="41"/>
      <c r="Y116" s="41"/>
      <c r="Z116" s="41"/>
      <c r="AA116" s="41"/>
      <c r="AB116" s="42"/>
      <c r="AC116" s="95"/>
      <c r="AD116" s="41"/>
      <c r="AE116" s="41"/>
      <c r="AF116" s="41"/>
      <c r="AG116" s="42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2"/>
    </row>
    <row r="117" spans="3:47" x14ac:dyDescent="0.25">
      <c r="C117" s="127">
        <f t="shared" si="152"/>
        <v>45574</v>
      </c>
      <c r="D117" s="274"/>
      <c r="E117" s="54">
        <v>1</v>
      </c>
      <c r="F117" s="53">
        <v>3</v>
      </c>
      <c r="G117" s="129">
        <v>17.04</v>
      </c>
      <c r="H117" s="297">
        <f>'Boat Expansion'!I368</f>
        <v>2.827</v>
      </c>
      <c r="I117" s="98"/>
      <c r="J117" s="118"/>
      <c r="K117" s="95"/>
      <c r="L117" s="41"/>
      <c r="M117" s="41"/>
      <c r="N117" s="41"/>
      <c r="O117" s="41"/>
      <c r="P117" s="41"/>
      <c r="Q117" s="41"/>
      <c r="R117" s="41"/>
      <c r="S117" s="95"/>
      <c r="T117" s="41"/>
      <c r="U117" s="41"/>
      <c r="V117" s="42"/>
      <c r="W117" s="95">
        <v>1</v>
      </c>
      <c r="X117" s="41"/>
      <c r="Y117" s="41"/>
      <c r="Z117" s="41"/>
      <c r="AA117" s="41"/>
      <c r="AB117" s="42"/>
      <c r="AC117" s="95"/>
      <c r="AD117" s="41"/>
      <c r="AE117" s="41"/>
      <c r="AF117" s="41"/>
      <c r="AG117" s="42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2"/>
    </row>
    <row r="118" spans="3:47" x14ac:dyDescent="0.25">
      <c r="C118" s="127">
        <f t="shared" si="152"/>
        <v>45575</v>
      </c>
      <c r="D118" s="274"/>
      <c r="E118" s="54"/>
      <c r="F118" s="53"/>
      <c r="G118" s="129"/>
      <c r="H118" s="297"/>
      <c r="I118" s="98"/>
      <c r="J118" s="118"/>
      <c r="K118" s="95"/>
      <c r="L118" s="41"/>
      <c r="M118" s="41"/>
      <c r="N118" s="41"/>
      <c r="O118" s="41"/>
      <c r="P118" s="41"/>
      <c r="Q118" s="41"/>
      <c r="R118" s="41"/>
      <c r="S118" s="95"/>
      <c r="T118" s="41"/>
      <c r="U118" s="41"/>
      <c r="V118" s="42"/>
      <c r="W118" s="95"/>
      <c r="X118" s="41"/>
      <c r="Y118" s="41"/>
      <c r="Z118" s="41"/>
      <c r="AA118" s="41"/>
      <c r="AB118" s="42"/>
      <c r="AC118" s="95"/>
      <c r="AD118" s="41"/>
      <c r="AE118" s="41"/>
      <c r="AF118" s="41"/>
      <c r="AG118" s="42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2"/>
    </row>
    <row r="119" spans="3:47" x14ac:dyDescent="0.25">
      <c r="C119" s="127">
        <f t="shared" si="152"/>
        <v>45576</v>
      </c>
      <c r="D119" s="274"/>
      <c r="E119" s="54"/>
      <c r="F119" s="53"/>
      <c r="G119" s="129"/>
      <c r="H119" s="297"/>
      <c r="I119" s="98"/>
      <c r="J119" s="118"/>
      <c r="K119" s="95"/>
      <c r="L119" s="41"/>
      <c r="M119" s="41"/>
      <c r="N119" s="41"/>
      <c r="O119" s="41"/>
      <c r="P119" s="41"/>
      <c r="Q119" s="41"/>
      <c r="R119" s="41"/>
      <c r="S119" s="95"/>
      <c r="T119" s="41"/>
      <c r="U119" s="41"/>
      <c r="V119" s="42"/>
      <c r="W119" s="95"/>
      <c r="X119" s="41"/>
      <c r="Y119" s="41"/>
      <c r="Z119" s="41"/>
      <c r="AA119" s="41"/>
      <c r="AB119" s="42"/>
      <c r="AC119" s="95"/>
      <c r="AD119" s="41"/>
      <c r="AE119" s="41"/>
      <c r="AF119" s="41"/>
      <c r="AG119" s="42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2"/>
    </row>
    <row r="120" spans="3:47" x14ac:dyDescent="0.25">
      <c r="C120" s="127">
        <f t="shared" si="152"/>
        <v>45577</v>
      </c>
      <c r="D120" s="274"/>
      <c r="E120" s="54">
        <v>4</v>
      </c>
      <c r="F120" s="53">
        <v>15</v>
      </c>
      <c r="G120" s="129">
        <v>65.91</v>
      </c>
      <c r="H120" s="297">
        <f>'Boat Expansion'!I386</f>
        <v>7.9155999999999995</v>
      </c>
      <c r="I120" s="98"/>
      <c r="J120" s="118"/>
      <c r="K120" s="95"/>
      <c r="L120" s="41"/>
      <c r="M120" s="41"/>
      <c r="N120" s="41"/>
      <c r="O120" s="41"/>
      <c r="P120" s="41"/>
      <c r="Q120" s="41">
        <v>1</v>
      </c>
      <c r="R120" s="41"/>
      <c r="S120" s="95"/>
      <c r="T120" s="41"/>
      <c r="U120" s="41"/>
      <c r="V120" s="42"/>
      <c r="W120" s="95"/>
      <c r="X120" s="41"/>
      <c r="Y120" s="41">
        <v>1</v>
      </c>
      <c r="Z120" s="41">
        <v>2</v>
      </c>
      <c r="AA120" s="41"/>
      <c r="AB120" s="42">
        <v>1</v>
      </c>
      <c r="AC120" s="95"/>
      <c r="AD120" s="41"/>
      <c r="AE120" s="41"/>
      <c r="AF120" s="41"/>
      <c r="AG120" s="42"/>
      <c r="AH120" s="41"/>
      <c r="AI120" s="41"/>
      <c r="AJ120" s="41"/>
      <c r="AK120" s="41"/>
      <c r="AL120" s="41"/>
      <c r="AM120" s="41">
        <v>4</v>
      </c>
      <c r="AN120" s="41"/>
      <c r="AO120" s="41"/>
      <c r="AP120" s="41"/>
      <c r="AQ120" s="41"/>
      <c r="AR120" s="41"/>
      <c r="AS120" s="41"/>
      <c r="AT120" s="41"/>
      <c r="AU120" s="42"/>
    </row>
    <row r="121" spans="3:47" ht="16.5" thickBot="1" x14ac:dyDescent="0.3">
      <c r="C121" s="130">
        <f t="shared" si="152"/>
        <v>45578</v>
      </c>
      <c r="D121" s="275"/>
      <c r="E121" s="99">
        <v>7</v>
      </c>
      <c r="F121" s="100">
        <v>17</v>
      </c>
      <c r="G121" s="131">
        <v>109.37</v>
      </c>
      <c r="H121" s="299">
        <f>'Boat Expansion'!I392</f>
        <v>9.8945000000000007</v>
      </c>
      <c r="I121" s="102"/>
      <c r="J121" s="118"/>
      <c r="K121" s="96"/>
      <c r="L121" s="76"/>
      <c r="M121" s="76"/>
      <c r="N121" s="76"/>
      <c r="O121" s="76"/>
      <c r="P121" s="76"/>
      <c r="Q121" s="76">
        <v>1</v>
      </c>
      <c r="R121" s="76"/>
      <c r="S121" s="96"/>
      <c r="T121" s="76"/>
      <c r="U121" s="76"/>
      <c r="V121" s="77"/>
      <c r="W121" s="96"/>
      <c r="X121" s="76"/>
      <c r="Y121" s="76"/>
      <c r="Z121" s="76"/>
      <c r="AA121" s="76"/>
      <c r="AB121" s="77"/>
      <c r="AC121" s="96"/>
      <c r="AD121" s="76"/>
      <c r="AE121" s="76"/>
      <c r="AF121" s="76"/>
      <c r="AG121" s="77"/>
      <c r="AH121" s="76"/>
      <c r="AI121" s="76"/>
      <c r="AJ121" s="76"/>
      <c r="AK121" s="76"/>
      <c r="AL121" s="76"/>
      <c r="AM121" s="76"/>
      <c r="AN121" s="76"/>
      <c r="AO121" s="76"/>
      <c r="AP121" s="76"/>
      <c r="AQ121" s="76"/>
      <c r="AR121" s="76"/>
      <c r="AS121" s="76"/>
      <c r="AT121" s="76"/>
      <c r="AU121" s="77"/>
    </row>
    <row r="122" spans="3:47" ht="17.25" thickTop="1" thickBot="1" x14ac:dyDescent="0.3">
      <c r="C122" s="132" t="s">
        <v>17</v>
      </c>
      <c r="D122" s="276"/>
      <c r="E122" s="133">
        <f t="shared" ref="E122:G122" si="153">SUM(E115:E121)</f>
        <v>26</v>
      </c>
      <c r="F122" s="101">
        <f t="shared" si="153"/>
        <v>56</v>
      </c>
      <c r="G122" s="134">
        <f t="shared" si="153"/>
        <v>302.31</v>
      </c>
      <c r="H122" s="300">
        <f>SUM(H115:H121)</f>
        <v>37.5991</v>
      </c>
      <c r="I122" s="56">
        <f>E122/H122</f>
        <v>0.69150591370538128</v>
      </c>
      <c r="J122" s="146"/>
      <c r="K122" s="166">
        <f t="shared" ref="K122:AU122" si="154">SUM(K115:K121)</f>
        <v>1</v>
      </c>
      <c r="L122" s="167">
        <f t="shared" si="154"/>
        <v>0</v>
      </c>
      <c r="M122" s="167">
        <f t="shared" si="154"/>
        <v>0</v>
      </c>
      <c r="N122" s="167">
        <f t="shared" si="154"/>
        <v>0</v>
      </c>
      <c r="O122" s="167">
        <f t="shared" si="154"/>
        <v>0</v>
      </c>
      <c r="P122" s="167">
        <f t="shared" si="154"/>
        <v>0</v>
      </c>
      <c r="Q122" s="167">
        <f t="shared" si="154"/>
        <v>3</v>
      </c>
      <c r="R122" s="168">
        <f t="shared" si="154"/>
        <v>0</v>
      </c>
      <c r="S122" s="166">
        <f t="shared" si="154"/>
        <v>1</v>
      </c>
      <c r="T122" s="167">
        <f t="shared" si="154"/>
        <v>1</v>
      </c>
      <c r="U122" s="167">
        <f t="shared" si="154"/>
        <v>0</v>
      </c>
      <c r="V122" s="168">
        <f t="shared" si="154"/>
        <v>0</v>
      </c>
      <c r="W122" s="166">
        <f t="shared" si="154"/>
        <v>3</v>
      </c>
      <c r="X122" s="167">
        <f t="shared" si="154"/>
        <v>1</v>
      </c>
      <c r="Y122" s="167">
        <f t="shared" si="154"/>
        <v>1</v>
      </c>
      <c r="Z122" s="167">
        <f t="shared" si="154"/>
        <v>2</v>
      </c>
      <c r="AA122" s="167">
        <f t="shared" si="154"/>
        <v>0</v>
      </c>
      <c r="AB122" s="168">
        <f t="shared" si="154"/>
        <v>1</v>
      </c>
      <c r="AC122" s="166">
        <f t="shared" si="154"/>
        <v>0</v>
      </c>
      <c r="AD122" s="167">
        <f t="shared" si="154"/>
        <v>0</v>
      </c>
      <c r="AE122" s="167">
        <f t="shared" si="154"/>
        <v>0</v>
      </c>
      <c r="AF122" s="167">
        <f t="shared" si="154"/>
        <v>0</v>
      </c>
      <c r="AG122" s="168">
        <f t="shared" si="154"/>
        <v>0</v>
      </c>
      <c r="AH122" s="166">
        <f t="shared" si="154"/>
        <v>0</v>
      </c>
      <c r="AI122" s="167">
        <f t="shared" si="154"/>
        <v>0</v>
      </c>
      <c r="AJ122" s="167">
        <f t="shared" si="154"/>
        <v>0</v>
      </c>
      <c r="AK122" s="167">
        <f t="shared" si="154"/>
        <v>0</v>
      </c>
      <c r="AL122" s="167">
        <f t="shared" si="154"/>
        <v>0</v>
      </c>
      <c r="AM122" s="167">
        <f t="shared" si="154"/>
        <v>4</v>
      </c>
      <c r="AN122" s="167">
        <f t="shared" si="154"/>
        <v>0</v>
      </c>
      <c r="AO122" s="167">
        <f t="shared" si="154"/>
        <v>0</v>
      </c>
      <c r="AP122" s="167">
        <f t="shared" ref="AP122:AQ122" si="155">SUM(AP115:AP121)</f>
        <v>0</v>
      </c>
      <c r="AQ122" s="167">
        <f t="shared" si="155"/>
        <v>0</v>
      </c>
      <c r="AR122" s="167">
        <f t="shared" si="154"/>
        <v>0</v>
      </c>
      <c r="AS122" s="167">
        <f t="shared" si="154"/>
        <v>0</v>
      </c>
      <c r="AT122" s="167">
        <f t="shared" si="154"/>
        <v>0</v>
      </c>
      <c r="AU122" s="168">
        <f t="shared" si="154"/>
        <v>3</v>
      </c>
    </row>
    <row r="123" spans="3:47" ht="16.5" thickBot="1" x14ac:dyDescent="0.3">
      <c r="K123" s="163">
        <f>K122/$I122</f>
        <v>1.4461192307692308</v>
      </c>
      <c r="L123" s="164">
        <f t="shared" ref="L123:AU123" si="156">L122/$I122</f>
        <v>0</v>
      </c>
      <c r="M123" s="164">
        <f t="shared" si="156"/>
        <v>0</v>
      </c>
      <c r="N123" s="164">
        <f t="shared" si="156"/>
        <v>0</v>
      </c>
      <c r="O123" s="164">
        <f t="shared" si="156"/>
        <v>0</v>
      </c>
      <c r="P123" s="164">
        <f t="shared" si="156"/>
        <v>0</v>
      </c>
      <c r="Q123" s="164">
        <f t="shared" si="156"/>
        <v>4.3383576923076923</v>
      </c>
      <c r="R123" s="164">
        <f t="shared" si="156"/>
        <v>0</v>
      </c>
      <c r="S123" s="163">
        <f t="shared" si="156"/>
        <v>1.4461192307692308</v>
      </c>
      <c r="T123" s="164">
        <f t="shared" si="156"/>
        <v>1.4461192307692308</v>
      </c>
      <c r="U123" s="164">
        <f t="shared" si="156"/>
        <v>0</v>
      </c>
      <c r="V123" s="165">
        <f t="shared" si="156"/>
        <v>0</v>
      </c>
      <c r="W123" s="164">
        <f t="shared" si="156"/>
        <v>4.3383576923076923</v>
      </c>
      <c r="X123" s="164">
        <f t="shared" si="156"/>
        <v>1.4461192307692308</v>
      </c>
      <c r="Y123" s="164">
        <f t="shared" si="156"/>
        <v>1.4461192307692308</v>
      </c>
      <c r="Z123" s="164">
        <f t="shared" si="156"/>
        <v>2.8922384615384615</v>
      </c>
      <c r="AA123" s="164">
        <f t="shared" si="156"/>
        <v>0</v>
      </c>
      <c r="AB123" s="164">
        <f t="shared" si="156"/>
        <v>1.4461192307692308</v>
      </c>
      <c r="AC123" s="163">
        <f t="shared" si="156"/>
        <v>0</v>
      </c>
      <c r="AD123" s="164">
        <f t="shared" si="156"/>
        <v>0</v>
      </c>
      <c r="AE123" s="164">
        <f t="shared" si="156"/>
        <v>0</v>
      </c>
      <c r="AF123" s="164">
        <f t="shared" si="156"/>
        <v>0</v>
      </c>
      <c r="AG123" s="165">
        <f t="shared" si="156"/>
        <v>0</v>
      </c>
      <c r="AH123" s="164">
        <f t="shared" si="156"/>
        <v>0</v>
      </c>
      <c r="AI123" s="164">
        <f t="shared" si="156"/>
        <v>0</v>
      </c>
      <c r="AJ123" s="164">
        <f t="shared" si="156"/>
        <v>0</v>
      </c>
      <c r="AK123" s="164">
        <f t="shared" si="156"/>
        <v>0</v>
      </c>
      <c r="AL123" s="164">
        <f t="shared" si="156"/>
        <v>0</v>
      </c>
      <c r="AM123" s="164">
        <f t="shared" si="156"/>
        <v>5.7844769230769231</v>
      </c>
      <c r="AN123" s="164">
        <f t="shared" si="156"/>
        <v>0</v>
      </c>
      <c r="AO123" s="164">
        <f t="shared" si="156"/>
        <v>0</v>
      </c>
      <c r="AP123" s="164">
        <f t="shared" ref="AP123:AQ123" si="157">AP122/$I122</f>
        <v>0</v>
      </c>
      <c r="AQ123" s="164">
        <f t="shared" si="157"/>
        <v>0</v>
      </c>
      <c r="AR123" s="164">
        <f t="shared" si="156"/>
        <v>0</v>
      </c>
      <c r="AS123" s="164">
        <f t="shared" si="156"/>
        <v>0</v>
      </c>
      <c r="AT123" s="164">
        <f t="shared" si="156"/>
        <v>0</v>
      </c>
      <c r="AU123" s="165">
        <f t="shared" si="156"/>
        <v>4.3383576923076923</v>
      </c>
    </row>
    <row r="124" spans="3:47" ht="16.5" thickBot="1" x14ac:dyDescent="0.3"/>
    <row r="125" spans="3:47" ht="16.5" thickBot="1" x14ac:dyDescent="0.3">
      <c r="C125" s="154">
        <f>C121+1</f>
        <v>45579</v>
      </c>
      <c r="D125" s="278"/>
      <c r="E125" s="155"/>
      <c r="F125" s="103"/>
      <c r="G125" s="156"/>
      <c r="H125" s="310">
        <f>'Boat Expansion'!I398</f>
        <v>8.4809999999999999</v>
      </c>
      <c r="I125" s="104"/>
      <c r="J125" s="118"/>
      <c r="K125" s="157"/>
      <c r="L125" s="158"/>
      <c r="M125" s="158"/>
      <c r="N125" s="158"/>
      <c r="O125" s="158"/>
      <c r="P125" s="158"/>
      <c r="Q125" s="158"/>
      <c r="R125" s="158"/>
      <c r="S125" s="157"/>
      <c r="T125" s="158"/>
      <c r="U125" s="158"/>
      <c r="V125" s="159"/>
      <c r="W125" s="157"/>
      <c r="X125" s="158"/>
      <c r="Y125" s="158"/>
      <c r="Z125" s="158"/>
      <c r="AA125" s="158"/>
      <c r="AB125" s="159"/>
      <c r="AC125" s="157"/>
      <c r="AD125" s="158"/>
      <c r="AE125" s="158"/>
      <c r="AF125" s="158"/>
      <c r="AG125" s="159"/>
      <c r="AH125" s="158"/>
      <c r="AI125" s="158"/>
      <c r="AJ125" s="158"/>
      <c r="AK125" s="158"/>
      <c r="AL125" s="158"/>
      <c r="AM125" s="158"/>
      <c r="AN125" s="158"/>
      <c r="AO125" s="158"/>
      <c r="AP125" s="158"/>
      <c r="AQ125" s="158"/>
      <c r="AR125" s="158"/>
      <c r="AS125" s="158"/>
      <c r="AT125" s="158"/>
      <c r="AU125" s="159"/>
    </row>
    <row r="126" spans="3:47" x14ac:dyDescent="0.25">
      <c r="C126" s="127">
        <f t="shared" ref="C126:C131" si="158">C125+1</f>
        <v>45580</v>
      </c>
      <c r="D126" s="274"/>
      <c r="E126" s="54"/>
      <c r="F126" s="53"/>
      <c r="G126" s="129"/>
      <c r="H126" s="302">
        <f>'Boat Expansion'!I482</f>
        <v>0</v>
      </c>
      <c r="I126" s="98"/>
      <c r="J126" s="118"/>
      <c r="K126" s="95"/>
      <c r="L126" s="41"/>
      <c r="M126" s="41"/>
      <c r="N126" s="41"/>
      <c r="O126" s="41"/>
      <c r="P126" s="41"/>
      <c r="Q126" s="41"/>
      <c r="R126" s="41"/>
      <c r="S126" s="95"/>
      <c r="T126" s="41"/>
      <c r="U126" s="41"/>
      <c r="V126" s="42"/>
      <c r="W126" s="95"/>
      <c r="X126" s="41"/>
      <c r="Y126" s="41"/>
      <c r="Z126" s="41"/>
      <c r="AA126" s="41"/>
      <c r="AB126" s="42"/>
      <c r="AC126" s="95"/>
      <c r="AD126" s="41"/>
      <c r="AE126" s="41"/>
      <c r="AF126" s="41"/>
      <c r="AG126" s="42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2"/>
    </row>
    <row r="127" spans="3:47" x14ac:dyDescent="0.25">
      <c r="C127" s="127">
        <f t="shared" si="158"/>
        <v>45581</v>
      </c>
      <c r="D127" s="274"/>
      <c r="E127" s="54"/>
      <c r="F127" s="53"/>
      <c r="G127" s="129"/>
      <c r="H127" s="304">
        <f>'Boat Expansion'!I410</f>
        <v>8.4809999999999999</v>
      </c>
      <c r="I127" s="98"/>
      <c r="J127" s="118"/>
      <c r="K127" s="95"/>
      <c r="L127" s="41"/>
      <c r="M127" s="41"/>
      <c r="N127" s="41"/>
      <c r="O127" s="41"/>
      <c r="P127" s="41"/>
      <c r="Q127" s="41"/>
      <c r="R127" s="41"/>
      <c r="S127" s="95"/>
      <c r="T127" s="41"/>
      <c r="U127" s="41"/>
      <c r="V127" s="42"/>
      <c r="W127" s="95"/>
      <c r="X127" s="41"/>
      <c r="Y127" s="41"/>
      <c r="Z127" s="41"/>
      <c r="AA127" s="41"/>
      <c r="AB127" s="42"/>
      <c r="AC127" s="95"/>
      <c r="AD127" s="41"/>
      <c r="AE127" s="41"/>
      <c r="AF127" s="41"/>
      <c r="AG127" s="42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2"/>
    </row>
    <row r="128" spans="3:47" x14ac:dyDescent="0.25">
      <c r="C128" s="127">
        <f t="shared" si="158"/>
        <v>45582</v>
      </c>
      <c r="D128" s="274"/>
      <c r="E128" s="54"/>
      <c r="F128" s="53"/>
      <c r="G128" s="129"/>
      <c r="H128" s="297">
        <f>'Boat Expansion'!I494</f>
        <v>4.2404999999999999</v>
      </c>
      <c r="I128" s="98"/>
      <c r="J128" s="118"/>
      <c r="K128" s="95"/>
      <c r="L128" s="41"/>
      <c r="M128" s="41"/>
      <c r="N128" s="41"/>
      <c r="O128" s="41"/>
      <c r="P128" s="41"/>
      <c r="Q128" s="41"/>
      <c r="R128" s="41"/>
      <c r="S128" s="95"/>
      <c r="T128" s="41"/>
      <c r="U128" s="41"/>
      <c r="V128" s="42"/>
      <c r="W128" s="95"/>
      <c r="X128" s="41"/>
      <c r="Y128" s="41"/>
      <c r="Z128" s="41"/>
      <c r="AA128" s="41"/>
      <c r="AB128" s="42"/>
      <c r="AC128" s="95"/>
      <c r="AD128" s="41"/>
      <c r="AE128" s="41"/>
      <c r="AF128" s="41"/>
      <c r="AG128" s="42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2"/>
    </row>
    <row r="129" spans="3:47" x14ac:dyDescent="0.25">
      <c r="C129" s="127">
        <f t="shared" si="158"/>
        <v>45583</v>
      </c>
      <c r="D129" s="274"/>
      <c r="E129" s="54">
        <v>5</v>
      </c>
      <c r="F129" s="53">
        <v>7</v>
      </c>
      <c r="G129" s="129">
        <v>32.630000000000003</v>
      </c>
      <c r="H129" s="297">
        <f>'Boat Expansion'!I422</f>
        <v>9.8945000000000007</v>
      </c>
      <c r="I129" s="98"/>
      <c r="J129" s="118"/>
      <c r="K129" s="95"/>
      <c r="L129" s="41"/>
      <c r="M129" s="41"/>
      <c r="N129" s="41"/>
      <c r="O129" s="41"/>
      <c r="P129" s="41"/>
      <c r="Q129" s="41"/>
      <c r="R129" s="41"/>
      <c r="S129" s="95">
        <v>2</v>
      </c>
      <c r="T129" s="41">
        <v>1</v>
      </c>
      <c r="U129" s="41"/>
      <c r="V129" s="42"/>
      <c r="W129" s="95"/>
      <c r="X129" s="41"/>
      <c r="Y129" s="41"/>
      <c r="Z129" s="41"/>
      <c r="AA129" s="41"/>
      <c r="AB129" s="42"/>
      <c r="AC129" s="95"/>
      <c r="AD129" s="41"/>
      <c r="AE129" s="41"/>
      <c r="AF129" s="41"/>
      <c r="AG129" s="42"/>
      <c r="AH129" s="41"/>
      <c r="AI129" s="41"/>
      <c r="AJ129" s="41"/>
      <c r="AK129" s="41"/>
      <c r="AL129" s="41"/>
      <c r="AM129" s="41">
        <v>1</v>
      </c>
      <c r="AN129" s="41"/>
      <c r="AO129" s="41"/>
      <c r="AP129" s="41"/>
      <c r="AQ129" s="41"/>
      <c r="AR129" s="41"/>
      <c r="AS129" s="41"/>
      <c r="AT129" s="41"/>
      <c r="AU129" s="42"/>
    </row>
    <row r="130" spans="3:47" x14ac:dyDescent="0.25">
      <c r="C130" s="127">
        <f t="shared" si="158"/>
        <v>45584</v>
      </c>
      <c r="D130" s="274"/>
      <c r="E130" s="54">
        <v>6</v>
      </c>
      <c r="F130" s="53">
        <v>13</v>
      </c>
      <c r="G130" s="129">
        <v>46.04</v>
      </c>
      <c r="H130" s="297">
        <f>'Boat Expansion'!I428</f>
        <v>5.6539999999999999</v>
      </c>
      <c r="I130" s="98"/>
      <c r="J130" s="118"/>
      <c r="K130" s="95"/>
      <c r="L130" s="41"/>
      <c r="M130" s="41"/>
      <c r="N130" s="41"/>
      <c r="O130" s="41">
        <v>2</v>
      </c>
      <c r="P130" s="41"/>
      <c r="Q130" s="41">
        <v>1</v>
      </c>
      <c r="R130" s="41"/>
      <c r="S130" s="95"/>
      <c r="T130" s="41"/>
      <c r="U130" s="41"/>
      <c r="V130" s="42"/>
      <c r="W130" s="95"/>
      <c r="X130" s="41">
        <v>1</v>
      </c>
      <c r="Y130" s="41"/>
      <c r="Z130" s="41"/>
      <c r="AA130" s="41"/>
      <c r="AB130" s="42"/>
      <c r="AC130" s="95"/>
      <c r="AD130" s="41"/>
      <c r="AE130" s="41"/>
      <c r="AF130" s="41"/>
      <c r="AG130" s="42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2"/>
    </row>
    <row r="131" spans="3:47" ht="16.5" thickBot="1" x14ac:dyDescent="0.3">
      <c r="C131" s="130">
        <f t="shared" si="158"/>
        <v>45585</v>
      </c>
      <c r="D131" s="275"/>
      <c r="E131" s="99">
        <v>3</v>
      </c>
      <c r="F131" s="100">
        <v>5</v>
      </c>
      <c r="G131" s="131">
        <v>21.57</v>
      </c>
      <c r="H131" s="299">
        <f>'Boat Expansion'!I434</f>
        <v>5.6539999999999999</v>
      </c>
      <c r="I131" s="102"/>
      <c r="J131" s="118"/>
      <c r="K131" s="96"/>
      <c r="L131" s="76"/>
      <c r="M131" s="76"/>
      <c r="N131" s="76"/>
      <c r="O131" s="76"/>
      <c r="P131" s="76"/>
      <c r="Q131" s="76"/>
      <c r="R131" s="76"/>
      <c r="S131" s="96"/>
      <c r="T131" s="76"/>
      <c r="U131" s="76"/>
      <c r="V131" s="77"/>
      <c r="W131" s="96"/>
      <c r="X131" s="76"/>
      <c r="Y131" s="76"/>
      <c r="Z131" s="76"/>
      <c r="AA131" s="76"/>
      <c r="AB131" s="77"/>
      <c r="AC131" s="96"/>
      <c r="AD131" s="76"/>
      <c r="AE131" s="76"/>
      <c r="AF131" s="76"/>
      <c r="AG131" s="77"/>
      <c r="AH131" s="76"/>
      <c r="AI131" s="76">
        <v>1</v>
      </c>
      <c r="AJ131" s="76"/>
      <c r="AK131" s="76"/>
      <c r="AL131" s="76"/>
      <c r="AM131" s="76"/>
      <c r="AN131" s="76"/>
      <c r="AO131" s="76"/>
      <c r="AP131" s="76"/>
      <c r="AQ131" s="76"/>
      <c r="AR131" s="76"/>
      <c r="AS131" s="76"/>
      <c r="AT131" s="76"/>
      <c r="AU131" s="77">
        <v>1</v>
      </c>
    </row>
    <row r="132" spans="3:47" ht="17.25" thickTop="1" thickBot="1" x14ac:dyDescent="0.3">
      <c r="C132" s="132" t="s">
        <v>17</v>
      </c>
      <c r="D132" s="276"/>
      <c r="E132" s="133">
        <f t="shared" ref="E132:G132" si="159">SUM(E125:E131)</f>
        <v>14</v>
      </c>
      <c r="F132" s="101">
        <f t="shared" si="159"/>
        <v>25</v>
      </c>
      <c r="G132" s="134">
        <f t="shared" si="159"/>
        <v>100.24000000000001</v>
      </c>
      <c r="H132" s="300">
        <f>SUM(H125:H131)</f>
        <v>42.405000000000001</v>
      </c>
      <c r="I132" s="56">
        <f>E132/H132</f>
        <v>0.33014974649215895</v>
      </c>
      <c r="J132" s="146"/>
      <c r="K132" s="166">
        <f t="shared" ref="K132:AU132" si="160">SUM(K125:K131)</f>
        <v>0</v>
      </c>
      <c r="L132" s="167">
        <f t="shared" si="160"/>
        <v>0</v>
      </c>
      <c r="M132" s="167">
        <f t="shared" si="160"/>
        <v>0</v>
      </c>
      <c r="N132" s="167">
        <f t="shared" si="160"/>
        <v>0</v>
      </c>
      <c r="O132" s="167">
        <f t="shared" si="160"/>
        <v>2</v>
      </c>
      <c r="P132" s="167">
        <f t="shared" si="160"/>
        <v>0</v>
      </c>
      <c r="Q132" s="167">
        <f t="shared" si="160"/>
        <v>1</v>
      </c>
      <c r="R132" s="168">
        <f t="shared" si="160"/>
        <v>0</v>
      </c>
      <c r="S132" s="166">
        <f t="shared" si="160"/>
        <v>2</v>
      </c>
      <c r="T132" s="167">
        <f t="shared" si="160"/>
        <v>1</v>
      </c>
      <c r="U132" s="167">
        <f t="shared" si="160"/>
        <v>0</v>
      </c>
      <c r="V132" s="168">
        <f t="shared" si="160"/>
        <v>0</v>
      </c>
      <c r="W132" s="166">
        <f t="shared" si="160"/>
        <v>0</v>
      </c>
      <c r="X132" s="167">
        <f t="shared" si="160"/>
        <v>1</v>
      </c>
      <c r="Y132" s="167">
        <f t="shared" si="160"/>
        <v>0</v>
      </c>
      <c r="Z132" s="167">
        <f t="shared" si="160"/>
        <v>0</v>
      </c>
      <c r="AA132" s="167">
        <f t="shared" si="160"/>
        <v>0</v>
      </c>
      <c r="AB132" s="168">
        <f t="shared" si="160"/>
        <v>0</v>
      </c>
      <c r="AC132" s="166">
        <f t="shared" si="160"/>
        <v>0</v>
      </c>
      <c r="AD132" s="167">
        <f t="shared" si="160"/>
        <v>0</v>
      </c>
      <c r="AE132" s="167">
        <f t="shared" si="160"/>
        <v>0</v>
      </c>
      <c r="AF132" s="167">
        <f t="shared" si="160"/>
        <v>0</v>
      </c>
      <c r="AG132" s="168">
        <f t="shared" si="160"/>
        <v>0</v>
      </c>
      <c r="AH132" s="166">
        <f t="shared" si="160"/>
        <v>0</v>
      </c>
      <c r="AI132" s="167">
        <f t="shared" si="160"/>
        <v>1</v>
      </c>
      <c r="AJ132" s="167">
        <f t="shared" si="160"/>
        <v>0</v>
      </c>
      <c r="AK132" s="167">
        <f t="shared" si="160"/>
        <v>0</v>
      </c>
      <c r="AL132" s="167">
        <f t="shared" si="160"/>
        <v>0</v>
      </c>
      <c r="AM132" s="167">
        <f t="shared" si="160"/>
        <v>1</v>
      </c>
      <c r="AN132" s="167">
        <f t="shared" si="160"/>
        <v>0</v>
      </c>
      <c r="AO132" s="167">
        <f t="shared" si="160"/>
        <v>0</v>
      </c>
      <c r="AP132" s="167">
        <f t="shared" ref="AP132:AQ132" si="161">SUM(AP125:AP131)</f>
        <v>0</v>
      </c>
      <c r="AQ132" s="167">
        <f t="shared" si="161"/>
        <v>0</v>
      </c>
      <c r="AR132" s="167">
        <f t="shared" si="160"/>
        <v>0</v>
      </c>
      <c r="AS132" s="167">
        <f t="shared" si="160"/>
        <v>0</v>
      </c>
      <c r="AT132" s="167">
        <f t="shared" si="160"/>
        <v>0</v>
      </c>
      <c r="AU132" s="168">
        <f t="shared" si="160"/>
        <v>1</v>
      </c>
    </row>
    <row r="133" spans="3:47" ht="16.5" thickBot="1" x14ac:dyDescent="0.3">
      <c r="K133" s="163">
        <f>K132/$I132</f>
        <v>0</v>
      </c>
      <c r="L133" s="164">
        <f t="shared" ref="L133:AU133" si="162">L132/$I132</f>
        <v>0</v>
      </c>
      <c r="M133" s="164">
        <f t="shared" si="162"/>
        <v>0</v>
      </c>
      <c r="N133" s="164">
        <f t="shared" si="162"/>
        <v>0</v>
      </c>
      <c r="O133" s="164">
        <f t="shared" si="162"/>
        <v>6.0578571428571424</v>
      </c>
      <c r="P133" s="164">
        <f t="shared" si="162"/>
        <v>0</v>
      </c>
      <c r="Q133" s="164">
        <f t="shared" si="162"/>
        <v>3.0289285714285712</v>
      </c>
      <c r="R133" s="164">
        <f t="shared" si="162"/>
        <v>0</v>
      </c>
      <c r="S133" s="163">
        <f t="shared" si="162"/>
        <v>6.0578571428571424</v>
      </c>
      <c r="T133" s="164">
        <f t="shared" si="162"/>
        <v>3.0289285714285712</v>
      </c>
      <c r="U133" s="164">
        <f t="shared" si="162"/>
        <v>0</v>
      </c>
      <c r="V133" s="165">
        <f t="shared" si="162"/>
        <v>0</v>
      </c>
      <c r="W133" s="164">
        <f t="shared" si="162"/>
        <v>0</v>
      </c>
      <c r="X133" s="164">
        <f t="shared" si="162"/>
        <v>3.0289285714285712</v>
      </c>
      <c r="Y133" s="164">
        <f t="shared" si="162"/>
        <v>0</v>
      </c>
      <c r="Z133" s="164">
        <f t="shared" si="162"/>
        <v>0</v>
      </c>
      <c r="AA133" s="164">
        <f t="shared" si="162"/>
        <v>0</v>
      </c>
      <c r="AB133" s="164">
        <f t="shared" si="162"/>
        <v>0</v>
      </c>
      <c r="AC133" s="163">
        <f t="shared" si="162"/>
        <v>0</v>
      </c>
      <c r="AD133" s="164">
        <f t="shared" si="162"/>
        <v>0</v>
      </c>
      <c r="AE133" s="164">
        <f t="shared" si="162"/>
        <v>0</v>
      </c>
      <c r="AF133" s="164">
        <f t="shared" si="162"/>
        <v>0</v>
      </c>
      <c r="AG133" s="165">
        <f t="shared" si="162"/>
        <v>0</v>
      </c>
      <c r="AH133" s="164">
        <f t="shared" si="162"/>
        <v>0</v>
      </c>
      <c r="AI133" s="164">
        <f t="shared" si="162"/>
        <v>3.0289285714285712</v>
      </c>
      <c r="AJ133" s="164">
        <f t="shared" si="162"/>
        <v>0</v>
      </c>
      <c r="AK133" s="164">
        <f t="shared" si="162"/>
        <v>0</v>
      </c>
      <c r="AL133" s="164">
        <f t="shared" si="162"/>
        <v>0</v>
      </c>
      <c r="AM133" s="164">
        <f t="shared" si="162"/>
        <v>3.0289285714285712</v>
      </c>
      <c r="AN133" s="164">
        <f t="shared" si="162"/>
        <v>0</v>
      </c>
      <c r="AO133" s="164">
        <f t="shared" si="162"/>
        <v>0</v>
      </c>
      <c r="AP133" s="164">
        <f t="shared" ref="AP133:AQ133" si="163">AP132/$I132</f>
        <v>0</v>
      </c>
      <c r="AQ133" s="164">
        <f t="shared" si="163"/>
        <v>0</v>
      </c>
      <c r="AR133" s="164">
        <f t="shared" si="162"/>
        <v>0</v>
      </c>
      <c r="AS133" s="164">
        <f t="shared" si="162"/>
        <v>0</v>
      </c>
      <c r="AT133" s="164">
        <f t="shared" si="162"/>
        <v>0</v>
      </c>
      <c r="AU133" s="165">
        <f t="shared" si="162"/>
        <v>3.0289285714285712</v>
      </c>
    </row>
    <row r="134" spans="3:47" ht="16.5" thickBot="1" x14ac:dyDescent="0.3"/>
    <row r="135" spans="3:47" x14ac:dyDescent="0.25">
      <c r="C135" s="154">
        <f>C131+1</f>
        <v>45586</v>
      </c>
      <c r="D135" s="278"/>
      <c r="E135" s="155">
        <v>0</v>
      </c>
      <c r="F135" s="103">
        <v>0</v>
      </c>
      <c r="G135" s="156">
        <v>0</v>
      </c>
      <c r="H135" s="302">
        <f>'Boat Expansion'!I440</f>
        <v>0</v>
      </c>
      <c r="I135" s="104"/>
      <c r="J135" s="118"/>
      <c r="K135" s="157"/>
      <c r="L135" s="158"/>
      <c r="M135" s="158"/>
      <c r="N135" s="158"/>
      <c r="O135" s="158"/>
      <c r="P135" s="158"/>
      <c r="Q135" s="158"/>
      <c r="R135" s="158"/>
      <c r="S135" s="157"/>
      <c r="T135" s="158"/>
      <c r="U135" s="158"/>
      <c r="V135" s="159"/>
      <c r="W135" s="157"/>
      <c r="X135" s="158"/>
      <c r="Y135" s="158"/>
      <c r="Z135" s="158"/>
      <c r="AA135" s="158"/>
      <c r="AB135" s="159"/>
      <c r="AC135" s="157"/>
      <c r="AD135" s="158"/>
      <c r="AE135" s="158"/>
      <c r="AF135" s="158"/>
      <c r="AG135" s="159"/>
      <c r="AH135" s="158"/>
      <c r="AI135" s="158"/>
      <c r="AJ135" s="158"/>
      <c r="AK135" s="158"/>
      <c r="AL135" s="158"/>
      <c r="AM135" s="158"/>
      <c r="AN135" s="158"/>
      <c r="AO135" s="158"/>
      <c r="AP135" s="158"/>
      <c r="AQ135" s="158"/>
      <c r="AR135" s="158"/>
      <c r="AS135" s="158"/>
      <c r="AT135" s="158"/>
      <c r="AU135" s="159"/>
    </row>
    <row r="136" spans="3:47" x14ac:dyDescent="0.25">
      <c r="C136" s="127">
        <f t="shared" ref="C136:C141" si="164">C135+1</f>
        <v>45587</v>
      </c>
      <c r="D136" s="274"/>
      <c r="E136" s="54"/>
      <c r="F136" s="53"/>
      <c r="G136" s="129"/>
      <c r="H136" s="297"/>
      <c r="I136" s="98"/>
      <c r="J136" s="118"/>
      <c r="K136" s="95"/>
      <c r="L136" s="41"/>
      <c r="M136" s="41"/>
      <c r="N136" s="41"/>
      <c r="O136" s="41"/>
      <c r="P136" s="41"/>
      <c r="Q136" s="41"/>
      <c r="R136" s="41"/>
      <c r="S136" s="95"/>
      <c r="T136" s="41"/>
      <c r="U136" s="41"/>
      <c r="V136" s="42"/>
      <c r="W136" s="95"/>
      <c r="X136" s="41"/>
      <c r="Y136" s="41"/>
      <c r="Z136" s="41"/>
      <c r="AA136" s="41"/>
      <c r="AB136" s="42"/>
      <c r="AC136" s="95"/>
      <c r="AD136" s="41"/>
      <c r="AE136" s="41"/>
      <c r="AF136" s="41"/>
      <c r="AG136" s="42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2"/>
    </row>
    <row r="137" spans="3:47" x14ac:dyDescent="0.25">
      <c r="C137" s="127">
        <f t="shared" si="164"/>
        <v>45588</v>
      </c>
      <c r="D137" s="274"/>
      <c r="E137" s="339">
        <v>2</v>
      </c>
      <c r="F137" s="53">
        <v>2</v>
      </c>
      <c r="G137" s="129">
        <v>8.42</v>
      </c>
      <c r="H137" s="297">
        <f>'Boat Expansion'!I452</f>
        <v>4.2404999999999999</v>
      </c>
      <c r="I137" s="98"/>
      <c r="J137" s="118"/>
      <c r="K137" s="95"/>
      <c r="L137" s="41"/>
      <c r="M137" s="41"/>
      <c r="N137" s="41"/>
      <c r="O137" s="41"/>
      <c r="P137" s="41"/>
      <c r="Q137" s="41"/>
      <c r="R137" s="41"/>
      <c r="S137" s="95"/>
      <c r="T137" s="41">
        <v>1</v>
      </c>
      <c r="U137" s="41"/>
      <c r="V137" s="42"/>
      <c r="W137" s="95"/>
      <c r="X137" s="41"/>
      <c r="Y137" s="41"/>
      <c r="Z137" s="41"/>
      <c r="AA137" s="41"/>
      <c r="AB137" s="42">
        <v>1</v>
      </c>
      <c r="AC137" s="95"/>
      <c r="AD137" s="41"/>
      <c r="AE137" s="41"/>
      <c r="AF137" s="41"/>
      <c r="AG137" s="42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2"/>
    </row>
    <row r="138" spans="3:47" x14ac:dyDescent="0.25">
      <c r="C138" s="127">
        <f t="shared" si="164"/>
        <v>45589</v>
      </c>
      <c r="D138" s="274"/>
      <c r="E138" s="54">
        <v>2</v>
      </c>
      <c r="F138" s="53">
        <v>2</v>
      </c>
      <c r="G138" s="129">
        <v>8.4499999999999993</v>
      </c>
      <c r="H138" s="297">
        <f>'Boat Expansion'!I458</f>
        <v>4.2404999999999999</v>
      </c>
      <c r="I138" s="98"/>
      <c r="J138" s="118"/>
      <c r="K138" s="95"/>
      <c r="L138" s="41"/>
      <c r="M138" s="41"/>
      <c r="N138" s="41"/>
      <c r="O138" s="41"/>
      <c r="P138" s="41"/>
      <c r="Q138" s="41"/>
      <c r="R138" s="41"/>
      <c r="S138" s="95">
        <v>2</v>
      </c>
      <c r="T138" s="41"/>
      <c r="U138" s="41"/>
      <c r="V138" s="42"/>
      <c r="W138" s="95">
        <v>1</v>
      </c>
      <c r="X138" s="41"/>
      <c r="Y138" s="41"/>
      <c r="Z138" s="41"/>
      <c r="AA138" s="41"/>
      <c r="AB138" s="42"/>
      <c r="AC138" s="95"/>
      <c r="AD138" s="41"/>
      <c r="AE138" s="41"/>
      <c r="AF138" s="41"/>
      <c r="AG138" s="42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2"/>
    </row>
    <row r="139" spans="3:47" x14ac:dyDescent="0.25">
      <c r="C139" s="127">
        <f t="shared" si="164"/>
        <v>45590</v>
      </c>
      <c r="D139" s="274"/>
      <c r="E139" s="54"/>
      <c r="F139" s="53"/>
      <c r="G139" s="129"/>
      <c r="H139" s="304">
        <v>4</v>
      </c>
      <c r="I139" s="98"/>
      <c r="J139" s="118"/>
      <c r="K139" s="95"/>
      <c r="L139" s="41"/>
      <c r="M139" s="41"/>
      <c r="N139" s="41"/>
      <c r="O139" s="41"/>
      <c r="P139" s="41"/>
      <c r="Q139" s="41"/>
      <c r="R139" s="41"/>
      <c r="S139" s="95"/>
      <c r="T139" s="41"/>
      <c r="U139" s="41"/>
      <c r="V139" s="42"/>
      <c r="W139" s="95"/>
      <c r="X139" s="41"/>
      <c r="Y139" s="41"/>
      <c r="Z139" s="41"/>
      <c r="AA139" s="41"/>
      <c r="AB139" s="42"/>
      <c r="AC139" s="95"/>
      <c r="AD139" s="41"/>
      <c r="AE139" s="41"/>
      <c r="AF139" s="41"/>
      <c r="AG139" s="42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2"/>
    </row>
    <row r="140" spans="3:47" x14ac:dyDescent="0.25">
      <c r="C140" s="127">
        <f t="shared" si="164"/>
        <v>45591</v>
      </c>
      <c r="D140" s="274"/>
      <c r="E140" s="54"/>
      <c r="F140" s="53"/>
      <c r="G140" s="129"/>
      <c r="H140" s="304">
        <v>1</v>
      </c>
      <c r="I140" s="98"/>
      <c r="J140" s="118"/>
      <c r="K140" s="95"/>
      <c r="L140" s="41"/>
      <c r="M140" s="41"/>
      <c r="N140" s="41"/>
      <c r="O140" s="41"/>
      <c r="P140" s="41"/>
      <c r="Q140" s="41"/>
      <c r="R140" s="41"/>
      <c r="S140" s="95"/>
      <c r="T140" s="41"/>
      <c r="U140" s="41"/>
      <c r="V140" s="42"/>
      <c r="W140" s="95"/>
      <c r="X140" s="41"/>
      <c r="Y140" s="41"/>
      <c r="Z140" s="41"/>
      <c r="AA140" s="41"/>
      <c r="AB140" s="42"/>
      <c r="AC140" s="95"/>
      <c r="AD140" s="41"/>
      <c r="AE140" s="41"/>
      <c r="AF140" s="41"/>
      <c r="AG140" s="42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2"/>
    </row>
    <row r="141" spans="3:47" ht="16.5" thickBot="1" x14ac:dyDescent="0.3">
      <c r="C141" s="130">
        <f t="shared" si="164"/>
        <v>45592</v>
      </c>
      <c r="D141" s="275"/>
      <c r="E141" s="99">
        <v>0</v>
      </c>
      <c r="F141" s="100">
        <v>0</v>
      </c>
      <c r="G141" s="131">
        <v>0</v>
      </c>
      <c r="H141" s="299">
        <f>'Boat Expansion'!I476</f>
        <v>1.4135</v>
      </c>
      <c r="I141" s="102"/>
      <c r="J141" s="118"/>
      <c r="K141" s="96"/>
      <c r="L141" s="76"/>
      <c r="M141" s="76"/>
      <c r="N141" s="76"/>
      <c r="O141" s="76"/>
      <c r="P141" s="76"/>
      <c r="Q141" s="76"/>
      <c r="R141" s="76"/>
      <c r="S141" s="96"/>
      <c r="T141" s="76"/>
      <c r="U141" s="76"/>
      <c r="V141" s="77"/>
      <c r="W141" s="96"/>
      <c r="X141" s="76"/>
      <c r="Y141" s="76"/>
      <c r="Z141" s="76"/>
      <c r="AA141" s="76"/>
      <c r="AB141" s="77"/>
      <c r="AC141" s="96"/>
      <c r="AD141" s="76"/>
      <c r="AE141" s="76"/>
      <c r="AF141" s="76"/>
      <c r="AG141" s="77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  <c r="AR141" s="76"/>
      <c r="AS141" s="76"/>
      <c r="AT141" s="76"/>
      <c r="AU141" s="77"/>
    </row>
    <row r="142" spans="3:47" ht="17.25" thickTop="1" thickBot="1" x14ac:dyDescent="0.3">
      <c r="C142" s="132" t="s">
        <v>17</v>
      </c>
      <c r="D142" s="276"/>
      <c r="E142" s="133">
        <f t="shared" ref="E142:G142" si="165">SUM(E135:E141)</f>
        <v>4</v>
      </c>
      <c r="F142" s="101">
        <f t="shared" si="165"/>
        <v>4</v>
      </c>
      <c r="G142" s="134">
        <f t="shared" si="165"/>
        <v>16.869999999999997</v>
      </c>
      <c r="H142" s="300">
        <f>SUM(H135:H141)</f>
        <v>14.894500000000001</v>
      </c>
      <c r="I142" s="56">
        <f>E142/H142</f>
        <v>0.26855550706636677</v>
      </c>
      <c r="J142" s="146"/>
      <c r="K142" s="166">
        <f t="shared" ref="K142:AU142" si="166">SUM(K135:K141)</f>
        <v>0</v>
      </c>
      <c r="L142" s="167">
        <f t="shared" si="166"/>
        <v>0</v>
      </c>
      <c r="M142" s="167">
        <f t="shared" si="166"/>
        <v>0</v>
      </c>
      <c r="N142" s="167">
        <f t="shared" si="166"/>
        <v>0</v>
      </c>
      <c r="O142" s="167">
        <f t="shared" si="166"/>
        <v>0</v>
      </c>
      <c r="P142" s="167">
        <f t="shared" si="166"/>
        <v>0</v>
      </c>
      <c r="Q142" s="167">
        <f t="shared" si="166"/>
        <v>0</v>
      </c>
      <c r="R142" s="168">
        <f t="shared" si="166"/>
        <v>0</v>
      </c>
      <c r="S142" s="166">
        <f t="shared" si="166"/>
        <v>2</v>
      </c>
      <c r="T142" s="167">
        <f t="shared" si="166"/>
        <v>1</v>
      </c>
      <c r="U142" s="167">
        <f t="shared" si="166"/>
        <v>0</v>
      </c>
      <c r="V142" s="168">
        <f t="shared" si="166"/>
        <v>0</v>
      </c>
      <c r="W142" s="166">
        <f t="shared" si="166"/>
        <v>1</v>
      </c>
      <c r="X142" s="167">
        <f t="shared" si="166"/>
        <v>0</v>
      </c>
      <c r="Y142" s="167">
        <f t="shared" si="166"/>
        <v>0</v>
      </c>
      <c r="Z142" s="167">
        <f t="shared" si="166"/>
        <v>0</v>
      </c>
      <c r="AA142" s="167">
        <f t="shared" si="166"/>
        <v>0</v>
      </c>
      <c r="AB142" s="168">
        <f t="shared" si="166"/>
        <v>1</v>
      </c>
      <c r="AC142" s="166">
        <f t="shared" si="166"/>
        <v>0</v>
      </c>
      <c r="AD142" s="167">
        <f t="shared" si="166"/>
        <v>0</v>
      </c>
      <c r="AE142" s="167">
        <f t="shared" si="166"/>
        <v>0</v>
      </c>
      <c r="AF142" s="167">
        <f t="shared" si="166"/>
        <v>0</v>
      </c>
      <c r="AG142" s="168">
        <f t="shared" si="166"/>
        <v>0</v>
      </c>
      <c r="AH142" s="166">
        <f t="shared" si="166"/>
        <v>0</v>
      </c>
      <c r="AI142" s="167">
        <f t="shared" si="166"/>
        <v>0</v>
      </c>
      <c r="AJ142" s="167">
        <f t="shared" si="166"/>
        <v>0</v>
      </c>
      <c r="AK142" s="167">
        <f t="shared" si="166"/>
        <v>0</v>
      </c>
      <c r="AL142" s="167">
        <f t="shared" si="166"/>
        <v>0</v>
      </c>
      <c r="AM142" s="167">
        <f t="shared" si="166"/>
        <v>0</v>
      </c>
      <c r="AN142" s="167">
        <f t="shared" si="166"/>
        <v>0</v>
      </c>
      <c r="AO142" s="167">
        <f t="shared" si="166"/>
        <v>0</v>
      </c>
      <c r="AP142" s="167">
        <f t="shared" ref="AP142:AQ142" si="167">SUM(AP135:AP141)</f>
        <v>0</v>
      </c>
      <c r="AQ142" s="167">
        <f t="shared" si="167"/>
        <v>0</v>
      </c>
      <c r="AR142" s="167">
        <f t="shared" si="166"/>
        <v>0</v>
      </c>
      <c r="AS142" s="167">
        <f t="shared" si="166"/>
        <v>0</v>
      </c>
      <c r="AT142" s="167">
        <f t="shared" si="166"/>
        <v>0</v>
      </c>
      <c r="AU142" s="168">
        <f t="shared" si="166"/>
        <v>0</v>
      </c>
    </row>
    <row r="143" spans="3:47" ht="16.5" thickBot="1" x14ac:dyDescent="0.3">
      <c r="K143" s="163">
        <f>K142/$I142</f>
        <v>0</v>
      </c>
      <c r="L143" s="164">
        <f t="shared" ref="L143:AU143" si="168">L142/$I142</f>
        <v>0</v>
      </c>
      <c r="M143" s="164">
        <f t="shared" si="168"/>
        <v>0</v>
      </c>
      <c r="N143" s="164">
        <f t="shared" si="168"/>
        <v>0</v>
      </c>
      <c r="O143" s="164">
        <f t="shared" si="168"/>
        <v>0</v>
      </c>
      <c r="P143" s="164">
        <f t="shared" si="168"/>
        <v>0</v>
      </c>
      <c r="Q143" s="164">
        <f t="shared" si="168"/>
        <v>0</v>
      </c>
      <c r="R143" s="164">
        <f t="shared" si="168"/>
        <v>0</v>
      </c>
      <c r="S143" s="163">
        <f t="shared" si="168"/>
        <v>7.4472500000000004</v>
      </c>
      <c r="T143" s="164">
        <f t="shared" si="168"/>
        <v>3.7236250000000002</v>
      </c>
      <c r="U143" s="164">
        <f t="shared" si="168"/>
        <v>0</v>
      </c>
      <c r="V143" s="165">
        <f t="shared" si="168"/>
        <v>0</v>
      </c>
      <c r="W143" s="164">
        <f t="shared" si="168"/>
        <v>3.7236250000000002</v>
      </c>
      <c r="X143" s="164">
        <f t="shared" si="168"/>
        <v>0</v>
      </c>
      <c r="Y143" s="164">
        <f t="shared" si="168"/>
        <v>0</v>
      </c>
      <c r="Z143" s="164">
        <f t="shared" si="168"/>
        <v>0</v>
      </c>
      <c r="AA143" s="164">
        <f t="shared" si="168"/>
        <v>0</v>
      </c>
      <c r="AB143" s="164">
        <f t="shared" si="168"/>
        <v>3.7236250000000002</v>
      </c>
      <c r="AC143" s="163">
        <f t="shared" si="168"/>
        <v>0</v>
      </c>
      <c r="AD143" s="164">
        <f t="shared" si="168"/>
        <v>0</v>
      </c>
      <c r="AE143" s="164">
        <f t="shared" si="168"/>
        <v>0</v>
      </c>
      <c r="AF143" s="164">
        <f t="shared" si="168"/>
        <v>0</v>
      </c>
      <c r="AG143" s="165">
        <f t="shared" si="168"/>
        <v>0</v>
      </c>
      <c r="AH143" s="164">
        <f t="shared" si="168"/>
        <v>0</v>
      </c>
      <c r="AI143" s="164">
        <f t="shared" si="168"/>
        <v>0</v>
      </c>
      <c r="AJ143" s="164">
        <f t="shared" si="168"/>
        <v>0</v>
      </c>
      <c r="AK143" s="164">
        <f t="shared" si="168"/>
        <v>0</v>
      </c>
      <c r="AL143" s="164">
        <f t="shared" si="168"/>
        <v>0</v>
      </c>
      <c r="AM143" s="164">
        <f t="shared" si="168"/>
        <v>0</v>
      </c>
      <c r="AN143" s="164">
        <f t="shared" si="168"/>
        <v>0</v>
      </c>
      <c r="AO143" s="164">
        <f t="shared" si="168"/>
        <v>0</v>
      </c>
      <c r="AP143" s="164">
        <f t="shared" ref="AP143:AQ143" si="169">AP142/$I142</f>
        <v>0</v>
      </c>
      <c r="AQ143" s="164">
        <f t="shared" si="169"/>
        <v>0</v>
      </c>
      <c r="AR143" s="164">
        <f t="shared" si="168"/>
        <v>0</v>
      </c>
      <c r="AS143" s="164">
        <f t="shared" si="168"/>
        <v>0</v>
      </c>
      <c r="AT143" s="164">
        <f t="shared" si="168"/>
        <v>0</v>
      </c>
      <c r="AU143" s="165">
        <f t="shared" si="168"/>
        <v>0</v>
      </c>
    </row>
    <row r="144" spans="3:47" ht="16.5" thickBot="1" x14ac:dyDescent="0.3"/>
    <row r="145" spans="3:47" x14ac:dyDescent="0.25">
      <c r="C145" s="154">
        <f>C141+1</f>
        <v>45593</v>
      </c>
      <c r="D145" s="278"/>
      <c r="E145" s="155"/>
      <c r="F145" s="103"/>
      <c r="G145" s="156"/>
      <c r="H145" s="302"/>
      <c r="I145" s="104"/>
      <c r="J145" s="118"/>
      <c r="K145" s="157"/>
      <c r="L145" s="158"/>
      <c r="M145" s="158"/>
      <c r="N145" s="158"/>
      <c r="O145" s="158"/>
      <c r="P145" s="158"/>
      <c r="Q145" s="158"/>
      <c r="R145" s="158"/>
      <c r="S145" s="157"/>
      <c r="T145" s="158"/>
      <c r="U145" s="158"/>
      <c r="V145" s="159"/>
      <c r="W145" s="157"/>
      <c r="X145" s="158"/>
      <c r="Y145" s="158"/>
      <c r="Z145" s="158"/>
      <c r="AA145" s="158"/>
      <c r="AB145" s="159"/>
      <c r="AC145" s="157"/>
      <c r="AD145" s="158"/>
      <c r="AE145" s="158"/>
      <c r="AF145" s="158"/>
      <c r="AG145" s="159"/>
      <c r="AH145" s="158"/>
      <c r="AI145" s="158"/>
      <c r="AJ145" s="158"/>
      <c r="AK145" s="158"/>
      <c r="AL145" s="158"/>
      <c r="AM145" s="158"/>
      <c r="AN145" s="158"/>
      <c r="AO145" s="158"/>
      <c r="AP145" s="158"/>
      <c r="AQ145" s="158"/>
      <c r="AR145" s="158"/>
      <c r="AS145" s="158"/>
      <c r="AT145" s="158"/>
      <c r="AU145" s="159"/>
    </row>
    <row r="146" spans="3:47" x14ac:dyDescent="0.25">
      <c r="C146" s="127">
        <f t="shared" ref="C146:C151" si="170">C145+1</f>
        <v>45594</v>
      </c>
      <c r="D146" s="274"/>
      <c r="E146" s="54">
        <v>0</v>
      </c>
      <c r="F146" s="53">
        <v>0</v>
      </c>
      <c r="G146" s="129">
        <v>0</v>
      </c>
      <c r="H146" s="297">
        <f>'Boat Expansion'!I488</f>
        <v>0</v>
      </c>
      <c r="I146" s="98"/>
      <c r="J146" s="118"/>
      <c r="K146" s="95"/>
      <c r="L146" s="41"/>
      <c r="M146" s="41"/>
      <c r="N146" s="41"/>
      <c r="O146" s="41"/>
      <c r="P146" s="41"/>
      <c r="Q146" s="41"/>
      <c r="R146" s="41"/>
      <c r="S146" s="95"/>
      <c r="T146" s="41"/>
      <c r="U146" s="41"/>
      <c r="V146" s="42"/>
      <c r="W146" s="95"/>
      <c r="X146" s="41"/>
      <c r="Y146" s="41"/>
      <c r="Z146" s="41"/>
      <c r="AA146" s="41"/>
      <c r="AB146" s="42"/>
      <c r="AC146" s="95"/>
      <c r="AD146" s="41"/>
      <c r="AE146" s="41"/>
      <c r="AF146" s="41"/>
      <c r="AG146" s="42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2"/>
    </row>
    <row r="147" spans="3:47" x14ac:dyDescent="0.25">
      <c r="C147" s="127">
        <f t="shared" si="170"/>
        <v>45595</v>
      </c>
      <c r="D147" s="274"/>
      <c r="E147" s="54">
        <v>1</v>
      </c>
      <c r="F147" s="53">
        <v>1</v>
      </c>
      <c r="G147" s="129">
        <v>4</v>
      </c>
      <c r="H147" s="297">
        <f>'Boat Expansion'!I494</f>
        <v>4.2404999999999999</v>
      </c>
      <c r="I147" s="98"/>
      <c r="J147" s="118"/>
      <c r="K147" s="95"/>
      <c r="L147" s="41"/>
      <c r="M147" s="41"/>
      <c r="N147" s="41"/>
      <c r="O147" s="41"/>
      <c r="P147" s="41"/>
      <c r="Q147" s="41"/>
      <c r="R147" s="41"/>
      <c r="S147" s="95"/>
      <c r="T147" s="41"/>
      <c r="U147" s="41"/>
      <c r="V147" s="42"/>
      <c r="W147" s="95"/>
      <c r="X147" s="41"/>
      <c r="Y147" s="41"/>
      <c r="Z147" s="41"/>
      <c r="AA147" s="41"/>
      <c r="AB147" s="42"/>
      <c r="AC147" s="95"/>
      <c r="AD147" s="41"/>
      <c r="AE147" s="41"/>
      <c r="AF147" s="41"/>
      <c r="AG147" s="42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2"/>
    </row>
    <row r="148" spans="3:47" x14ac:dyDescent="0.25">
      <c r="C148" s="127">
        <f t="shared" si="170"/>
        <v>45596</v>
      </c>
      <c r="D148" s="274"/>
      <c r="E148" s="54"/>
      <c r="F148" s="53"/>
      <c r="G148" s="129"/>
      <c r="H148" s="297"/>
      <c r="I148" s="98"/>
      <c r="J148" s="118"/>
      <c r="K148" s="95"/>
      <c r="L148" s="41"/>
      <c r="M148" s="41"/>
      <c r="N148" s="41"/>
      <c r="O148" s="41"/>
      <c r="P148" s="41"/>
      <c r="Q148" s="41"/>
      <c r="R148" s="41"/>
      <c r="S148" s="95"/>
      <c r="T148" s="41"/>
      <c r="U148" s="41"/>
      <c r="V148" s="42"/>
      <c r="W148" s="95"/>
      <c r="X148" s="41"/>
      <c r="Y148" s="41"/>
      <c r="Z148" s="41"/>
      <c r="AA148" s="41"/>
      <c r="AB148" s="42"/>
      <c r="AC148" s="95"/>
      <c r="AD148" s="41"/>
      <c r="AE148" s="41"/>
      <c r="AF148" s="41"/>
      <c r="AG148" s="42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2"/>
    </row>
    <row r="149" spans="3:47" x14ac:dyDescent="0.25">
      <c r="C149" s="127">
        <f t="shared" si="170"/>
        <v>45597</v>
      </c>
      <c r="D149" s="274"/>
      <c r="E149" s="54">
        <v>6</v>
      </c>
      <c r="F149" s="53">
        <v>12</v>
      </c>
      <c r="G149" s="129">
        <v>61.95</v>
      </c>
      <c r="H149" s="297">
        <f>'Boat Expansion'!I506</f>
        <v>10.60125</v>
      </c>
      <c r="I149" s="98"/>
      <c r="J149" s="118"/>
      <c r="K149" s="95">
        <v>2</v>
      </c>
      <c r="L149" s="41">
        <v>1</v>
      </c>
      <c r="M149" s="41"/>
      <c r="N149" s="41"/>
      <c r="O149" s="41"/>
      <c r="P149" s="41"/>
      <c r="Q149" s="41">
        <v>9</v>
      </c>
      <c r="R149" s="41"/>
      <c r="S149" s="95">
        <v>1</v>
      </c>
      <c r="T149" s="41"/>
      <c r="U149" s="41"/>
      <c r="V149" s="42"/>
      <c r="W149" s="95">
        <v>1</v>
      </c>
      <c r="X149" s="41"/>
      <c r="Y149" s="41"/>
      <c r="Z149" s="41"/>
      <c r="AA149" s="41"/>
      <c r="AB149" s="42"/>
      <c r="AC149" s="95"/>
      <c r="AD149" s="41"/>
      <c r="AE149" s="41"/>
      <c r="AF149" s="41"/>
      <c r="AG149" s="42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2"/>
    </row>
    <row r="150" spans="3:47" x14ac:dyDescent="0.25">
      <c r="C150" s="127">
        <f t="shared" si="170"/>
        <v>45598</v>
      </c>
      <c r="D150" s="274"/>
      <c r="E150" s="54">
        <v>2</v>
      </c>
      <c r="F150" s="53">
        <v>4</v>
      </c>
      <c r="G150" s="129">
        <v>17.84</v>
      </c>
      <c r="H150" s="297">
        <f>'Boat Expansion'!I512</f>
        <v>7.0675000000000008</v>
      </c>
      <c r="I150" s="98"/>
      <c r="J150" s="118"/>
      <c r="K150" s="95">
        <v>1</v>
      </c>
      <c r="L150" s="41">
        <v>1</v>
      </c>
      <c r="M150" s="41"/>
      <c r="N150" s="41"/>
      <c r="O150" s="41"/>
      <c r="P150" s="41"/>
      <c r="Q150" s="41">
        <v>14</v>
      </c>
      <c r="R150" s="41"/>
      <c r="S150" s="95">
        <v>1</v>
      </c>
      <c r="T150" s="41"/>
      <c r="U150" s="41"/>
      <c r="V150" s="42"/>
      <c r="W150" s="95"/>
      <c r="X150" s="41"/>
      <c r="Y150" s="41"/>
      <c r="Z150" s="41"/>
      <c r="AA150" s="41"/>
      <c r="AB150" s="42"/>
      <c r="AC150" s="95"/>
      <c r="AD150" s="41"/>
      <c r="AE150" s="41"/>
      <c r="AF150" s="41"/>
      <c r="AG150" s="42"/>
      <c r="AH150" s="41"/>
      <c r="AI150" s="41"/>
      <c r="AJ150" s="41"/>
      <c r="AK150" s="41"/>
      <c r="AL150" s="41"/>
      <c r="AM150" s="41">
        <v>4</v>
      </c>
      <c r="AN150" s="41"/>
      <c r="AO150" s="41"/>
      <c r="AP150" s="41"/>
      <c r="AQ150" s="41"/>
      <c r="AR150" s="41"/>
      <c r="AS150" s="41"/>
      <c r="AT150" s="41"/>
      <c r="AU150" s="42"/>
    </row>
    <row r="151" spans="3:47" ht="16.5" thickBot="1" x14ac:dyDescent="0.3">
      <c r="C151" s="130">
        <f t="shared" si="170"/>
        <v>45599</v>
      </c>
      <c r="D151" s="275"/>
      <c r="E151" s="99">
        <v>1</v>
      </c>
      <c r="F151" s="100">
        <v>1</v>
      </c>
      <c r="G151" s="131">
        <v>2.82</v>
      </c>
      <c r="H151" s="299">
        <f>'Boat Expansion'!I518</f>
        <v>2.2490355555555555</v>
      </c>
      <c r="I151" s="102"/>
      <c r="J151" s="118"/>
      <c r="K151" s="96">
        <v>4</v>
      </c>
      <c r="L151" s="76">
        <v>3</v>
      </c>
      <c r="M151" s="76"/>
      <c r="N151" s="76"/>
      <c r="O151" s="76"/>
      <c r="P151" s="76"/>
      <c r="Q151" s="76">
        <v>24</v>
      </c>
      <c r="R151" s="76"/>
      <c r="S151" s="96"/>
      <c r="T151" s="76"/>
      <c r="U151" s="76"/>
      <c r="V151" s="77"/>
      <c r="W151" s="96"/>
      <c r="X151" s="76"/>
      <c r="Y151" s="76"/>
      <c r="Z151" s="76"/>
      <c r="AA151" s="76"/>
      <c r="AB151" s="77"/>
      <c r="AC151" s="96"/>
      <c r="AD151" s="76"/>
      <c r="AE151" s="76"/>
      <c r="AF151" s="76"/>
      <c r="AG151" s="77"/>
      <c r="AH151" s="76"/>
      <c r="AI151" s="76"/>
      <c r="AJ151" s="76"/>
      <c r="AK151" s="76"/>
      <c r="AL151" s="76"/>
      <c r="AM151" s="76">
        <v>1</v>
      </c>
      <c r="AN151" s="76"/>
      <c r="AO151" s="76"/>
      <c r="AP151" s="76"/>
      <c r="AQ151" s="76"/>
      <c r="AR151" s="76"/>
      <c r="AS151" s="76"/>
      <c r="AT151" s="76"/>
      <c r="AU151" s="77">
        <v>1</v>
      </c>
    </row>
    <row r="152" spans="3:47" ht="17.25" thickTop="1" thickBot="1" x14ac:dyDescent="0.3">
      <c r="C152" s="132" t="s">
        <v>17</v>
      </c>
      <c r="D152" s="276"/>
      <c r="E152" s="133">
        <f t="shared" ref="E152:G152" si="171">SUM(E145:E151)</f>
        <v>10</v>
      </c>
      <c r="F152" s="101">
        <f t="shared" si="171"/>
        <v>18</v>
      </c>
      <c r="G152" s="134">
        <f t="shared" si="171"/>
        <v>86.61</v>
      </c>
      <c r="H152" s="300">
        <f>SUM(H145:H151)</f>
        <v>24.158285555555555</v>
      </c>
      <c r="I152" s="56">
        <f>E152/H152</f>
        <v>0.41393665858463008</v>
      </c>
      <c r="J152" s="146"/>
      <c r="K152" s="166">
        <f t="shared" ref="K152:AU152" si="172">SUM(K145:K151)</f>
        <v>7</v>
      </c>
      <c r="L152" s="167">
        <f t="shared" si="172"/>
        <v>5</v>
      </c>
      <c r="M152" s="167">
        <f t="shared" si="172"/>
        <v>0</v>
      </c>
      <c r="N152" s="167">
        <f t="shared" si="172"/>
        <v>0</v>
      </c>
      <c r="O152" s="167">
        <f t="shared" si="172"/>
        <v>0</v>
      </c>
      <c r="P152" s="167">
        <f t="shared" si="172"/>
        <v>0</v>
      </c>
      <c r="Q152" s="167">
        <f t="shared" si="172"/>
        <v>47</v>
      </c>
      <c r="R152" s="168">
        <f t="shared" si="172"/>
        <v>0</v>
      </c>
      <c r="S152" s="166">
        <f t="shared" si="172"/>
        <v>2</v>
      </c>
      <c r="T152" s="167">
        <f t="shared" si="172"/>
        <v>0</v>
      </c>
      <c r="U152" s="167">
        <f t="shared" si="172"/>
        <v>0</v>
      </c>
      <c r="V152" s="168">
        <f t="shared" si="172"/>
        <v>0</v>
      </c>
      <c r="W152" s="166">
        <f t="shared" si="172"/>
        <v>1</v>
      </c>
      <c r="X152" s="167">
        <f t="shared" si="172"/>
        <v>0</v>
      </c>
      <c r="Y152" s="167">
        <f t="shared" si="172"/>
        <v>0</v>
      </c>
      <c r="Z152" s="167">
        <f t="shared" si="172"/>
        <v>0</v>
      </c>
      <c r="AA152" s="167">
        <f t="shared" si="172"/>
        <v>0</v>
      </c>
      <c r="AB152" s="168">
        <f t="shared" si="172"/>
        <v>0</v>
      </c>
      <c r="AC152" s="166">
        <f t="shared" si="172"/>
        <v>0</v>
      </c>
      <c r="AD152" s="167">
        <f t="shared" si="172"/>
        <v>0</v>
      </c>
      <c r="AE152" s="167">
        <f t="shared" si="172"/>
        <v>0</v>
      </c>
      <c r="AF152" s="167">
        <f t="shared" si="172"/>
        <v>0</v>
      </c>
      <c r="AG152" s="168">
        <f t="shared" si="172"/>
        <v>0</v>
      </c>
      <c r="AH152" s="166">
        <f t="shared" si="172"/>
        <v>0</v>
      </c>
      <c r="AI152" s="167">
        <f t="shared" si="172"/>
        <v>0</v>
      </c>
      <c r="AJ152" s="167">
        <f t="shared" si="172"/>
        <v>0</v>
      </c>
      <c r="AK152" s="167">
        <f t="shared" si="172"/>
        <v>0</v>
      </c>
      <c r="AL152" s="167">
        <f t="shared" si="172"/>
        <v>0</v>
      </c>
      <c r="AM152" s="167">
        <f t="shared" si="172"/>
        <v>5</v>
      </c>
      <c r="AN152" s="167">
        <f t="shared" si="172"/>
        <v>0</v>
      </c>
      <c r="AO152" s="167">
        <f t="shared" si="172"/>
        <v>0</v>
      </c>
      <c r="AP152" s="167">
        <f t="shared" ref="AP152:AQ152" si="173">SUM(AP145:AP151)</f>
        <v>0</v>
      </c>
      <c r="AQ152" s="167">
        <f t="shared" si="173"/>
        <v>0</v>
      </c>
      <c r="AR152" s="167">
        <f t="shared" si="172"/>
        <v>0</v>
      </c>
      <c r="AS152" s="167">
        <f t="shared" si="172"/>
        <v>0</v>
      </c>
      <c r="AT152" s="167">
        <f t="shared" si="172"/>
        <v>0</v>
      </c>
      <c r="AU152" s="168">
        <f t="shared" si="172"/>
        <v>1</v>
      </c>
    </row>
    <row r="153" spans="3:47" ht="16.5" thickBot="1" x14ac:dyDescent="0.3">
      <c r="K153" s="163">
        <f>K152/$I152</f>
        <v>16.910799888888889</v>
      </c>
      <c r="L153" s="164">
        <f t="shared" ref="L153:AU153" si="174">L152/$I152</f>
        <v>12.079142777777777</v>
      </c>
      <c r="M153" s="164">
        <f t="shared" si="174"/>
        <v>0</v>
      </c>
      <c r="N153" s="164">
        <f t="shared" si="174"/>
        <v>0</v>
      </c>
      <c r="O153" s="164">
        <f t="shared" si="174"/>
        <v>0</v>
      </c>
      <c r="P153" s="164">
        <f t="shared" si="174"/>
        <v>0</v>
      </c>
      <c r="Q153" s="164">
        <f t="shared" si="174"/>
        <v>113.54394211111111</v>
      </c>
      <c r="R153" s="164">
        <f t="shared" si="174"/>
        <v>0</v>
      </c>
      <c r="S153" s="163">
        <f t="shared" si="174"/>
        <v>4.8316571111111113</v>
      </c>
      <c r="T153" s="164">
        <f t="shared" si="174"/>
        <v>0</v>
      </c>
      <c r="U153" s="164">
        <f t="shared" si="174"/>
        <v>0</v>
      </c>
      <c r="V153" s="165">
        <f t="shared" si="174"/>
        <v>0</v>
      </c>
      <c r="W153" s="164">
        <f t="shared" si="174"/>
        <v>2.4158285555555556</v>
      </c>
      <c r="X153" s="164">
        <f t="shared" si="174"/>
        <v>0</v>
      </c>
      <c r="Y153" s="164">
        <f t="shared" si="174"/>
        <v>0</v>
      </c>
      <c r="Z153" s="164">
        <f t="shared" si="174"/>
        <v>0</v>
      </c>
      <c r="AA153" s="164">
        <f t="shared" si="174"/>
        <v>0</v>
      </c>
      <c r="AB153" s="164">
        <f t="shared" si="174"/>
        <v>0</v>
      </c>
      <c r="AC153" s="163">
        <f t="shared" si="174"/>
        <v>0</v>
      </c>
      <c r="AD153" s="164">
        <f t="shared" si="174"/>
        <v>0</v>
      </c>
      <c r="AE153" s="164">
        <f t="shared" si="174"/>
        <v>0</v>
      </c>
      <c r="AF153" s="164">
        <f t="shared" si="174"/>
        <v>0</v>
      </c>
      <c r="AG153" s="165">
        <f t="shared" si="174"/>
        <v>0</v>
      </c>
      <c r="AH153" s="164">
        <f t="shared" si="174"/>
        <v>0</v>
      </c>
      <c r="AI153" s="164">
        <f t="shared" si="174"/>
        <v>0</v>
      </c>
      <c r="AJ153" s="164">
        <f t="shared" si="174"/>
        <v>0</v>
      </c>
      <c r="AK153" s="164">
        <f t="shared" si="174"/>
        <v>0</v>
      </c>
      <c r="AL153" s="164">
        <f t="shared" si="174"/>
        <v>0</v>
      </c>
      <c r="AM153" s="164">
        <f t="shared" si="174"/>
        <v>12.079142777777777</v>
      </c>
      <c r="AN153" s="164">
        <f t="shared" si="174"/>
        <v>0</v>
      </c>
      <c r="AO153" s="164">
        <f t="shared" si="174"/>
        <v>0</v>
      </c>
      <c r="AP153" s="164">
        <f t="shared" ref="AP153:AQ153" si="175">AP152/$I152</f>
        <v>0</v>
      </c>
      <c r="AQ153" s="164">
        <f t="shared" si="175"/>
        <v>0</v>
      </c>
      <c r="AR153" s="164">
        <f t="shared" si="174"/>
        <v>0</v>
      </c>
      <c r="AS153" s="164">
        <f t="shared" si="174"/>
        <v>0</v>
      </c>
      <c r="AT153" s="164">
        <f t="shared" si="174"/>
        <v>0</v>
      </c>
      <c r="AU153" s="165">
        <f t="shared" si="174"/>
        <v>2.4158285555555556</v>
      </c>
    </row>
    <row r="154" spans="3:47" ht="16.5" thickBot="1" x14ac:dyDescent="0.3"/>
    <row r="155" spans="3:47" x14ac:dyDescent="0.25">
      <c r="C155" s="154">
        <f>C151+1</f>
        <v>45600</v>
      </c>
      <c r="D155" s="278"/>
      <c r="E155" s="155"/>
      <c r="F155" s="103"/>
      <c r="G155" s="156"/>
      <c r="H155" s="302"/>
      <c r="I155" s="104"/>
      <c r="J155" s="118"/>
      <c r="K155" s="157"/>
      <c r="L155" s="158"/>
      <c r="M155" s="158"/>
      <c r="N155" s="158"/>
      <c r="O155" s="158"/>
      <c r="P155" s="158"/>
      <c r="Q155" s="158"/>
      <c r="R155" s="158"/>
      <c r="S155" s="157"/>
      <c r="T155" s="158"/>
      <c r="U155" s="158"/>
      <c r="V155" s="159"/>
      <c r="W155" s="157"/>
      <c r="X155" s="158"/>
      <c r="Y155" s="158"/>
      <c r="Z155" s="158"/>
      <c r="AA155" s="158"/>
      <c r="AB155" s="159"/>
      <c r="AC155" s="157"/>
      <c r="AD155" s="158"/>
      <c r="AE155" s="158"/>
      <c r="AF155" s="158"/>
      <c r="AG155" s="159"/>
      <c r="AH155" s="158"/>
      <c r="AI155" s="158"/>
      <c r="AJ155" s="158"/>
      <c r="AK155" s="158"/>
      <c r="AL155" s="158"/>
      <c r="AM155" s="158"/>
      <c r="AN155" s="158"/>
      <c r="AO155" s="158"/>
      <c r="AP155" s="158"/>
      <c r="AQ155" s="158"/>
      <c r="AR155" s="158"/>
      <c r="AS155" s="158"/>
      <c r="AT155" s="158"/>
      <c r="AU155" s="159"/>
    </row>
    <row r="156" spans="3:47" x14ac:dyDescent="0.25">
      <c r="C156" s="127">
        <f t="shared" ref="C156:C161" si="176">C155+1</f>
        <v>45601</v>
      </c>
      <c r="D156" s="274"/>
      <c r="E156" s="54"/>
      <c r="F156" s="53"/>
      <c r="G156" s="129"/>
      <c r="H156" s="297">
        <f>'Boat Expansion'!I608</f>
        <v>0</v>
      </c>
      <c r="I156" s="98"/>
      <c r="J156" s="118"/>
      <c r="K156" s="95"/>
      <c r="L156" s="41"/>
      <c r="M156" s="41"/>
      <c r="N156" s="41"/>
      <c r="O156" s="41"/>
      <c r="P156" s="41"/>
      <c r="Q156" s="41"/>
      <c r="R156" s="41"/>
      <c r="S156" s="95"/>
      <c r="T156" s="41"/>
      <c r="U156" s="41"/>
      <c r="V156" s="42"/>
      <c r="W156" s="95"/>
      <c r="X156" s="41"/>
      <c r="Y156" s="41"/>
      <c r="Z156" s="41"/>
      <c r="AA156" s="41"/>
      <c r="AB156" s="42"/>
      <c r="AC156" s="95"/>
      <c r="AD156" s="41"/>
      <c r="AE156" s="41"/>
      <c r="AF156" s="41"/>
      <c r="AG156" s="42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2"/>
    </row>
    <row r="157" spans="3:47" x14ac:dyDescent="0.25">
      <c r="C157" s="127">
        <f t="shared" si="176"/>
        <v>45602</v>
      </c>
      <c r="D157" s="274"/>
      <c r="E157" s="54">
        <v>13</v>
      </c>
      <c r="F157" s="53">
        <v>22</v>
      </c>
      <c r="G157" s="129">
        <v>106.17</v>
      </c>
      <c r="H157" s="297">
        <f>'Boat Expansion'!I536</f>
        <v>36.750999999999998</v>
      </c>
      <c r="I157" s="98"/>
      <c r="J157" s="118"/>
      <c r="K157" s="95"/>
      <c r="L157" s="41"/>
      <c r="M157" s="41"/>
      <c r="N157" s="41"/>
      <c r="O157" s="41"/>
      <c r="P157" s="41"/>
      <c r="Q157" s="41">
        <v>4</v>
      </c>
      <c r="R157" s="41"/>
      <c r="S157" s="95"/>
      <c r="T157" s="41"/>
      <c r="U157" s="41"/>
      <c r="V157" s="42"/>
      <c r="W157" s="95"/>
      <c r="X157" s="41"/>
      <c r="Y157" s="41"/>
      <c r="Z157" s="41"/>
      <c r="AA157" s="41"/>
      <c r="AB157" s="42"/>
      <c r="AC157" s="95"/>
      <c r="AD157" s="41"/>
      <c r="AE157" s="41"/>
      <c r="AF157" s="41"/>
      <c r="AG157" s="42"/>
      <c r="AH157" s="41">
        <v>1</v>
      </c>
      <c r="AI157" s="41"/>
      <c r="AJ157" s="41"/>
      <c r="AK157" s="41"/>
      <c r="AL157" s="41"/>
      <c r="AM157" s="41">
        <v>1</v>
      </c>
      <c r="AN157" s="41"/>
      <c r="AO157" s="41"/>
      <c r="AP157" s="41"/>
      <c r="AQ157" s="41"/>
      <c r="AR157" s="41"/>
      <c r="AS157" s="41"/>
      <c r="AT157" s="41"/>
      <c r="AU157" s="42"/>
    </row>
    <row r="158" spans="3:47" x14ac:dyDescent="0.25">
      <c r="C158" s="127">
        <f t="shared" si="176"/>
        <v>45603</v>
      </c>
      <c r="D158" s="274"/>
      <c r="E158" s="54">
        <v>7</v>
      </c>
      <c r="F158" s="53">
        <v>9</v>
      </c>
      <c r="G158" s="129">
        <v>46.1</v>
      </c>
      <c r="H158" s="297">
        <f>'Boat Expansion'!I542</f>
        <v>24.029500000000002</v>
      </c>
      <c r="I158" s="98"/>
      <c r="J158" s="118"/>
      <c r="K158" s="95">
        <v>1</v>
      </c>
      <c r="L158" s="41"/>
      <c r="M158" s="41"/>
      <c r="N158" s="41"/>
      <c r="O158" s="41"/>
      <c r="P158" s="41"/>
      <c r="Q158" s="41">
        <v>2</v>
      </c>
      <c r="R158" s="41"/>
      <c r="S158" s="95"/>
      <c r="T158" s="41"/>
      <c r="U158" s="41"/>
      <c r="V158" s="42"/>
      <c r="W158" s="95"/>
      <c r="X158" s="41"/>
      <c r="Y158" s="41"/>
      <c r="Z158" s="41"/>
      <c r="AA158" s="41"/>
      <c r="AB158" s="42"/>
      <c r="AC158" s="95"/>
      <c r="AD158" s="41"/>
      <c r="AE158" s="41"/>
      <c r="AF158" s="41"/>
      <c r="AG158" s="42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2"/>
    </row>
    <row r="159" spans="3:47" x14ac:dyDescent="0.25">
      <c r="C159" s="127">
        <f t="shared" si="176"/>
        <v>45604</v>
      </c>
      <c r="D159" s="274"/>
      <c r="E159" s="54"/>
      <c r="F159" s="53"/>
      <c r="G159" s="129"/>
      <c r="H159" s="304">
        <v>35</v>
      </c>
      <c r="I159" s="98"/>
      <c r="J159" s="118"/>
      <c r="K159" s="95"/>
      <c r="L159" s="41"/>
      <c r="M159" s="41"/>
      <c r="N159" s="41"/>
      <c r="O159" s="41"/>
      <c r="P159" s="41"/>
      <c r="Q159" s="41"/>
      <c r="R159" s="41"/>
      <c r="S159" s="95"/>
      <c r="T159" s="41"/>
      <c r="U159" s="41"/>
      <c r="V159" s="42"/>
      <c r="W159" s="95"/>
      <c r="X159" s="41"/>
      <c r="Y159" s="41"/>
      <c r="Z159" s="41"/>
      <c r="AA159" s="41"/>
      <c r="AB159" s="42"/>
      <c r="AC159" s="95"/>
      <c r="AD159" s="41"/>
      <c r="AE159" s="41"/>
      <c r="AF159" s="41"/>
      <c r="AG159" s="42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2"/>
    </row>
    <row r="160" spans="3:47" x14ac:dyDescent="0.25">
      <c r="C160" s="127">
        <f t="shared" si="176"/>
        <v>45605</v>
      </c>
      <c r="D160" s="274"/>
      <c r="E160" s="54">
        <v>6</v>
      </c>
      <c r="F160" s="53">
        <v>22</v>
      </c>
      <c r="G160" s="129">
        <v>58.08</v>
      </c>
      <c r="H160" s="297">
        <f>'Boat Expansion'!I554</f>
        <v>46.645499999999998</v>
      </c>
      <c r="I160" s="98"/>
      <c r="J160" s="118"/>
      <c r="K160" s="95"/>
      <c r="L160" s="41"/>
      <c r="M160" s="41"/>
      <c r="N160" s="41"/>
      <c r="O160" s="41"/>
      <c r="P160" s="41"/>
      <c r="Q160" s="41">
        <v>7</v>
      </c>
      <c r="R160" s="41"/>
      <c r="S160" s="95"/>
      <c r="T160" s="41"/>
      <c r="U160" s="41"/>
      <c r="V160" s="42"/>
      <c r="W160" s="95"/>
      <c r="X160" s="41"/>
      <c r="Y160" s="41"/>
      <c r="Z160" s="41"/>
      <c r="AA160" s="41"/>
      <c r="AB160" s="42"/>
      <c r="AC160" s="95"/>
      <c r="AD160" s="41"/>
      <c r="AE160" s="41"/>
      <c r="AF160" s="41"/>
      <c r="AG160" s="42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2"/>
    </row>
    <row r="161" spans="3:47" ht="16.5" thickBot="1" x14ac:dyDescent="0.3">
      <c r="C161" s="130">
        <f t="shared" si="176"/>
        <v>45606</v>
      </c>
      <c r="D161" s="275"/>
      <c r="E161" s="99"/>
      <c r="F161" s="100"/>
      <c r="G161" s="131"/>
      <c r="H161" s="334">
        <v>41</v>
      </c>
      <c r="I161" s="102"/>
      <c r="J161" s="118"/>
      <c r="K161" s="96"/>
      <c r="L161" s="76"/>
      <c r="M161" s="76"/>
      <c r="N161" s="76"/>
      <c r="O161" s="76"/>
      <c r="P161" s="76"/>
      <c r="Q161" s="76"/>
      <c r="R161" s="76"/>
      <c r="S161" s="96"/>
      <c r="T161" s="76"/>
      <c r="U161" s="76"/>
      <c r="V161" s="77"/>
      <c r="W161" s="96"/>
      <c r="X161" s="76"/>
      <c r="Y161" s="76"/>
      <c r="Z161" s="76"/>
      <c r="AA161" s="76"/>
      <c r="AB161" s="77"/>
      <c r="AC161" s="96"/>
      <c r="AD161" s="76"/>
      <c r="AE161" s="76"/>
      <c r="AF161" s="76"/>
      <c r="AG161" s="77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  <c r="AR161" s="76"/>
      <c r="AS161" s="76"/>
      <c r="AT161" s="76"/>
      <c r="AU161" s="77"/>
    </row>
    <row r="162" spans="3:47" ht="17.25" thickTop="1" thickBot="1" x14ac:dyDescent="0.3">
      <c r="C162" s="132" t="s">
        <v>17</v>
      </c>
      <c r="D162" s="276"/>
      <c r="E162" s="133">
        <f t="shared" ref="E162:G162" si="177">SUM(E155:E161)</f>
        <v>26</v>
      </c>
      <c r="F162" s="101">
        <f t="shared" si="177"/>
        <v>53</v>
      </c>
      <c r="G162" s="134">
        <f t="shared" si="177"/>
        <v>210.35000000000002</v>
      </c>
      <c r="H162" s="300">
        <f>SUM(H155:H161)</f>
        <v>183.42599999999999</v>
      </c>
      <c r="I162" s="56">
        <f>E162/H162</f>
        <v>0.14174653538756773</v>
      </c>
      <c r="J162" s="146"/>
      <c r="K162" s="166">
        <f t="shared" ref="K162:AU162" si="178">SUM(K155:K161)</f>
        <v>1</v>
      </c>
      <c r="L162" s="167">
        <f t="shared" si="178"/>
        <v>0</v>
      </c>
      <c r="M162" s="167">
        <f t="shared" si="178"/>
        <v>0</v>
      </c>
      <c r="N162" s="167">
        <f t="shared" si="178"/>
        <v>0</v>
      </c>
      <c r="O162" s="167">
        <f t="shared" si="178"/>
        <v>0</v>
      </c>
      <c r="P162" s="167">
        <f t="shared" si="178"/>
        <v>0</v>
      </c>
      <c r="Q162" s="167">
        <f t="shared" si="178"/>
        <v>13</v>
      </c>
      <c r="R162" s="168">
        <f t="shared" si="178"/>
        <v>0</v>
      </c>
      <c r="S162" s="166">
        <f t="shared" si="178"/>
        <v>0</v>
      </c>
      <c r="T162" s="167">
        <f t="shared" si="178"/>
        <v>0</v>
      </c>
      <c r="U162" s="167">
        <f t="shared" si="178"/>
        <v>0</v>
      </c>
      <c r="V162" s="168">
        <f t="shared" si="178"/>
        <v>0</v>
      </c>
      <c r="W162" s="166">
        <f t="shared" si="178"/>
        <v>0</v>
      </c>
      <c r="X162" s="167">
        <f t="shared" si="178"/>
        <v>0</v>
      </c>
      <c r="Y162" s="167">
        <f t="shared" si="178"/>
        <v>0</v>
      </c>
      <c r="Z162" s="167">
        <f t="shared" si="178"/>
        <v>0</v>
      </c>
      <c r="AA162" s="167">
        <f t="shared" si="178"/>
        <v>0</v>
      </c>
      <c r="AB162" s="168">
        <f t="shared" si="178"/>
        <v>0</v>
      </c>
      <c r="AC162" s="166">
        <f t="shared" si="178"/>
        <v>0</v>
      </c>
      <c r="AD162" s="167">
        <f t="shared" si="178"/>
        <v>0</v>
      </c>
      <c r="AE162" s="167">
        <f t="shared" si="178"/>
        <v>0</v>
      </c>
      <c r="AF162" s="167">
        <f t="shared" si="178"/>
        <v>0</v>
      </c>
      <c r="AG162" s="168">
        <f t="shared" si="178"/>
        <v>0</v>
      </c>
      <c r="AH162" s="166">
        <f t="shared" si="178"/>
        <v>1</v>
      </c>
      <c r="AI162" s="167">
        <f t="shared" si="178"/>
        <v>0</v>
      </c>
      <c r="AJ162" s="167">
        <f t="shared" si="178"/>
        <v>0</v>
      </c>
      <c r="AK162" s="167">
        <f t="shared" si="178"/>
        <v>0</v>
      </c>
      <c r="AL162" s="167">
        <f t="shared" si="178"/>
        <v>0</v>
      </c>
      <c r="AM162" s="167">
        <f t="shared" si="178"/>
        <v>1</v>
      </c>
      <c r="AN162" s="167">
        <f t="shared" si="178"/>
        <v>0</v>
      </c>
      <c r="AO162" s="167">
        <f t="shared" si="178"/>
        <v>0</v>
      </c>
      <c r="AP162" s="167">
        <f t="shared" si="178"/>
        <v>0</v>
      </c>
      <c r="AQ162" s="167">
        <f t="shared" si="178"/>
        <v>0</v>
      </c>
      <c r="AR162" s="167">
        <f t="shared" si="178"/>
        <v>0</v>
      </c>
      <c r="AS162" s="167">
        <f t="shared" si="178"/>
        <v>0</v>
      </c>
      <c r="AT162" s="167">
        <f t="shared" si="178"/>
        <v>0</v>
      </c>
      <c r="AU162" s="168">
        <f t="shared" si="178"/>
        <v>0</v>
      </c>
    </row>
    <row r="163" spans="3:47" ht="16.5" thickBot="1" x14ac:dyDescent="0.3">
      <c r="H163" s="25"/>
      <c r="K163" s="163">
        <f>K162/$I162</f>
        <v>7.054846153846154</v>
      </c>
      <c r="L163" s="164">
        <f t="shared" ref="L163:AU163" si="179">L162/$I162</f>
        <v>0</v>
      </c>
      <c r="M163" s="164">
        <f t="shared" si="179"/>
        <v>0</v>
      </c>
      <c r="N163" s="164">
        <f t="shared" si="179"/>
        <v>0</v>
      </c>
      <c r="O163" s="164">
        <f t="shared" si="179"/>
        <v>0</v>
      </c>
      <c r="P163" s="164">
        <f t="shared" si="179"/>
        <v>0</v>
      </c>
      <c r="Q163" s="164">
        <f t="shared" si="179"/>
        <v>91.713000000000008</v>
      </c>
      <c r="R163" s="164">
        <f t="shared" si="179"/>
        <v>0</v>
      </c>
      <c r="S163" s="163">
        <f t="shared" si="179"/>
        <v>0</v>
      </c>
      <c r="T163" s="164">
        <f t="shared" si="179"/>
        <v>0</v>
      </c>
      <c r="U163" s="164">
        <f t="shared" si="179"/>
        <v>0</v>
      </c>
      <c r="V163" s="165">
        <f t="shared" si="179"/>
        <v>0</v>
      </c>
      <c r="W163" s="164">
        <f t="shared" si="179"/>
        <v>0</v>
      </c>
      <c r="X163" s="164">
        <f t="shared" si="179"/>
        <v>0</v>
      </c>
      <c r="Y163" s="164">
        <f t="shared" si="179"/>
        <v>0</v>
      </c>
      <c r="Z163" s="164">
        <f t="shared" si="179"/>
        <v>0</v>
      </c>
      <c r="AA163" s="164">
        <f t="shared" si="179"/>
        <v>0</v>
      </c>
      <c r="AB163" s="164">
        <f t="shared" si="179"/>
        <v>0</v>
      </c>
      <c r="AC163" s="163">
        <f t="shared" si="179"/>
        <v>0</v>
      </c>
      <c r="AD163" s="164">
        <f t="shared" si="179"/>
        <v>0</v>
      </c>
      <c r="AE163" s="164">
        <f t="shared" si="179"/>
        <v>0</v>
      </c>
      <c r="AF163" s="164">
        <f t="shared" si="179"/>
        <v>0</v>
      </c>
      <c r="AG163" s="165">
        <f t="shared" si="179"/>
        <v>0</v>
      </c>
      <c r="AH163" s="164">
        <f t="shared" si="179"/>
        <v>7.054846153846154</v>
      </c>
      <c r="AI163" s="164">
        <f t="shared" si="179"/>
        <v>0</v>
      </c>
      <c r="AJ163" s="164">
        <f t="shared" si="179"/>
        <v>0</v>
      </c>
      <c r="AK163" s="164">
        <f t="shared" si="179"/>
        <v>0</v>
      </c>
      <c r="AL163" s="164">
        <f t="shared" si="179"/>
        <v>0</v>
      </c>
      <c r="AM163" s="164">
        <f t="shared" si="179"/>
        <v>7.054846153846154</v>
      </c>
      <c r="AN163" s="164">
        <f t="shared" si="179"/>
        <v>0</v>
      </c>
      <c r="AO163" s="164">
        <f t="shared" si="179"/>
        <v>0</v>
      </c>
      <c r="AP163" s="164">
        <f t="shared" si="179"/>
        <v>0</v>
      </c>
      <c r="AQ163" s="164">
        <f t="shared" si="179"/>
        <v>0</v>
      </c>
      <c r="AR163" s="164">
        <f t="shared" si="179"/>
        <v>0</v>
      </c>
      <c r="AS163" s="164">
        <f t="shared" si="179"/>
        <v>0</v>
      </c>
      <c r="AT163" s="164">
        <f t="shared" si="179"/>
        <v>0</v>
      </c>
      <c r="AU163" s="165">
        <f t="shared" si="179"/>
        <v>0</v>
      </c>
    </row>
    <row r="164" spans="3:47" ht="16.5" thickBot="1" x14ac:dyDescent="0.3"/>
    <row r="165" spans="3:47" x14ac:dyDescent="0.25">
      <c r="C165" s="154">
        <f>C161+1</f>
        <v>45607</v>
      </c>
      <c r="D165" s="278"/>
      <c r="E165" s="155"/>
      <c r="F165" s="103"/>
      <c r="G165" s="156"/>
      <c r="H165" s="302"/>
      <c r="I165" s="104"/>
      <c r="J165" s="118"/>
      <c r="K165" s="157"/>
      <c r="L165" s="158"/>
      <c r="M165" s="158"/>
      <c r="N165" s="158"/>
      <c r="O165" s="158"/>
      <c r="P165" s="158"/>
      <c r="Q165" s="158"/>
      <c r="R165" s="158"/>
      <c r="S165" s="157"/>
      <c r="T165" s="158"/>
      <c r="U165" s="158"/>
      <c r="V165" s="159"/>
      <c r="W165" s="157"/>
      <c r="X165" s="158"/>
      <c r="Y165" s="158"/>
      <c r="Z165" s="158"/>
      <c r="AA165" s="158"/>
      <c r="AB165" s="159"/>
      <c r="AC165" s="157"/>
      <c r="AD165" s="158"/>
      <c r="AE165" s="158"/>
      <c r="AF165" s="158"/>
      <c r="AG165" s="159"/>
      <c r="AH165" s="158"/>
      <c r="AI165" s="158"/>
      <c r="AJ165" s="158"/>
      <c r="AK165" s="158"/>
      <c r="AL165" s="158"/>
      <c r="AM165" s="158"/>
      <c r="AN165" s="158"/>
      <c r="AO165" s="158"/>
      <c r="AP165" s="158"/>
      <c r="AQ165" s="158"/>
      <c r="AR165" s="158"/>
      <c r="AS165" s="158"/>
      <c r="AT165" s="158"/>
      <c r="AU165" s="159"/>
    </row>
    <row r="166" spans="3:47" x14ac:dyDescent="0.25">
      <c r="C166" s="127">
        <f t="shared" ref="C166:C171" si="180">C165+1</f>
        <v>45608</v>
      </c>
      <c r="D166" s="274"/>
      <c r="E166" s="54">
        <v>1</v>
      </c>
      <c r="F166" s="53">
        <v>1</v>
      </c>
      <c r="G166" s="129">
        <v>3.05</v>
      </c>
      <c r="H166" s="297">
        <f>'Boat Expansion'!I572</f>
        <v>2.827</v>
      </c>
      <c r="I166" s="98"/>
      <c r="J166" s="118"/>
      <c r="K166" s="95"/>
      <c r="L166" s="41"/>
      <c r="M166" s="41"/>
      <c r="N166" s="41"/>
      <c r="O166" s="41"/>
      <c r="P166" s="41"/>
      <c r="Q166" s="41">
        <v>2</v>
      </c>
      <c r="R166" s="41"/>
      <c r="S166" s="95"/>
      <c r="T166" s="41"/>
      <c r="U166" s="41"/>
      <c r="V166" s="42"/>
      <c r="W166" s="95"/>
      <c r="X166" s="41"/>
      <c r="Y166" s="41"/>
      <c r="Z166" s="41"/>
      <c r="AA166" s="41"/>
      <c r="AB166" s="42"/>
      <c r="AC166" s="95"/>
      <c r="AD166" s="41"/>
      <c r="AE166" s="41"/>
      <c r="AF166" s="41"/>
      <c r="AG166" s="42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2"/>
    </row>
    <row r="167" spans="3:47" x14ac:dyDescent="0.25">
      <c r="C167" s="127">
        <f t="shared" si="180"/>
        <v>45609</v>
      </c>
      <c r="D167" s="274"/>
      <c r="E167" s="54">
        <v>0</v>
      </c>
      <c r="F167" s="53">
        <v>0</v>
      </c>
      <c r="G167" s="129">
        <v>0</v>
      </c>
      <c r="H167" s="297">
        <f>'Boat Expansion'!I578</f>
        <v>1.4135</v>
      </c>
      <c r="I167" s="98"/>
      <c r="J167" s="118"/>
      <c r="K167" s="95"/>
      <c r="L167" s="41"/>
      <c r="M167" s="41"/>
      <c r="N167" s="41"/>
      <c r="O167" s="41"/>
      <c r="P167" s="41"/>
      <c r="Q167" s="41"/>
      <c r="R167" s="41"/>
      <c r="S167" s="95"/>
      <c r="T167" s="41"/>
      <c r="U167" s="41"/>
      <c r="V167" s="42"/>
      <c r="W167" s="95"/>
      <c r="X167" s="41"/>
      <c r="Y167" s="41"/>
      <c r="Z167" s="41"/>
      <c r="AA167" s="41"/>
      <c r="AB167" s="42"/>
      <c r="AC167" s="95"/>
      <c r="AD167" s="41"/>
      <c r="AE167" s="41"/>
      <c r="AF167" s="41"/>
      <c r="AG167" s="42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2"/>
    </row>
    <row r="168" spans="3:47" x14ac:dyDescent="0.25">
      <c r="C168" s="127">
        <f t="shared" si="180"/>
        <v>45610</v>
      </c>
      <c r="D168" s="274"/>
      <c r="E168" s="54">
        <v>3</v>
      </c>
      <c r="F168" s="53">
        <v>4</v>
      </c>
      <c r="G168" s="129">
        <v>20.67</v>
      </c>
      <c r="H168" s="297">
        <f>'Boat Expansion'!I584</f>
        <v>14.135000000000002</v>
      </c>
      <c r="I168" s="98"/>
      <c r="J168" s="118"/>
      <c r="K168" s="95"/>
      <c r="L168" s="41"/>
      <c r="M168" s="41"/>
      <c r="N168" s="41"/>
      <c r="O168" s="41"/>
      <c r="P168" s="41"/>
      <c r="Q168" s="41">
        <v>2</v>
      </c>
      <c r="R168" s="41"/>
      <c r="S168" s="95"/>
      <c r="T168" s="41"/>
      <c r="U168" s="41"/>
      <c r="V168" s="42"/>
      <c r="W168" s="95"/>
      <c r="X168" s="41"/>
      <c r="Y168" s="41"/>
      <c r="Z168" s="41"/>
      <c r="AA168" s="41"/>
      <c r="AB168" s="42"/>
      <c r="AC168" s="95"/>
      <c r="AD168" s="41"/>
      <c r="AE168" s="41"/>
      <c r="AF168" s="41"/>
      <c r="AG168" s="42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2"/>
    </row>
    <row r="169" spans="3:47" x14ac:dyDescent="0.25">
      <c r="C169" s="127">
        <f t="shared" si="180"/>
        <v>45611</v>
      </c>
      <c r="D169" s="274"/>
      <c r="E169" s="54"/>
      <c r="F169" s="53"/>
      <c r="G169" s="129"/>
      <c r="H169" s="297"/>
      <c r="I169" s="98"/>
      <c r="J169" s="118"/>
      <c r="K169" s="95"/>
      <c r="L169" s="41"/>
      <c r="M169" s="41"/>
      <c r="N169" s="41"/>
      <c r="O169" s="41"/>
      <c r="P169" s="41"/>
      <c r="Q169" s="41"/>
      <c r="R169" s="41"/>
      <c r="S169" s="95"/>
      <c r="T169" s="41"/>
      <c r="U169" s="41"/>
      <c r="V169" s="42"/>
      <c r="W169" s="95"/>
      <c r="X169" s="41"/>
      <c r="Y169" s="41"/>
      <c r="Z169" s="41"/>
      <c r="AA169" s="41"/>
      <c r="AB169" s="42"/>
      <c r="AC169" s="95"/>
      <c r="AD169" s="41"/>
      <c r="AE169" s="41"/>
      <c r="AF169" s="41"/>
      <c r="AG169" s="42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2"/>
    </row>
    <row r="170" spans="3:47" x14ac:dyDescent="0.25">
      <c r="C170" s="127">
        <f t="shared" si="180"/>
        <v>45612</v>
      </c>
      <c r="D170" s="274"/>
      <c r="E170" s="54"/>
      <c r="F170" s="53"/>
      <c r="G170" s="129"/>
      <c r="H170" s="304">
        <v>17</v>
      </c>
      <c r="I170" s="98"/>
      <c r="J170" s="118"/>
      <c r="K170" s="95"/>
      <c r="L170" s="41"/>
      <c r="M170" s="41"/>
      <c r="N170" s="41"/>
      <c r="O170" s="41"/>
      <c r="P170" s="41"/>
      <c r="Q170" s="41"/>
      <c r="R170" s="41"/>
      <c r="S170" s="95"/>
      <c r="T170" s="41"/>
      <c r="U170" s="41"/>
      <c r="V170" s="42"/>
      <c r="W170" s="95"/>
      <c r="X170" s="41"/>
      <c r="Y170" s="41"/>
      <c r="Z170" s="41"/>
      <c r="AA170" s="41"/>
      <c r="AB170" s="42"/>
      <c r="AC170" s="95"/>
      <c r="AD170" s="41"/>
      <c r="AE170" s="41"/>
      <c r="AF170" s="41"/>
      <c r="AG170" s="42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2"/>
    </row>
    <row r="171" spans="3:47" ht="16.5" thickBot="1" x14ac:dyDescent="0.3">
      <c r="C171" s="130">
        <f t="shared" si="180"/>
        <v>45613</v>
      </c>
      <c r="D171" s="275"/>
      <c r="E171" s="99"/>
      <c r="F171" s="100"/>
      <c r="G171" s="131"/>
      <c r="H171" s="334">
        <v>17</v>
      </c>
      <c r="I171" s="102"/>
      <c r="J171" s="118"/>
      <c r="K171" s="96"/>
      <c r="L171" s="76"/>
      <c r="M171" s="76"/>
      <c r="N171" s="76"/>
      <c r="O171" s="76"/>
      <c r="P171" s="76"/>
      <c r="Q171" s="76"/>
      <c r="R171" s="76"/>
      <c r="S171" s="96"/>
      <c r="T171" s="76"/>
      <c r="U171" s="76"/>
      <c r="V171" s="77"/>
      <c r="W171" s="96"/>
      <c r="X171" s="76"/>
      <c r="Y171" s="76"/>
      <c r="Z171" s="76"/>
      <c r="AA171" s="76"/>
      <c r="AB171" s="77"/>
      <c r="AC171" s="96"/>
      <c r="AD171" s="76"/>
      <c r="AE171" s="76"/>
      <c r="AF171" s="76"/>
      <c r="AG171" s="77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  <c r="AR171" s="76"/>
      <c r="AS171" s="76"/>
      <c r="AT171" s="76"/>
      <c r="AU171" s="77"/>
    </row>
    <row r="172" spans="3:47" ht="17.25" thickTop="1" thickBot="1" x14ac:dyDescent="0.3">
      <c r="C172" s="132" t="s">
        <v>17</v>
      </c>
      <c r="D172" s="276"/>
      <c r="E172" s="133">
        <f t="shared" ref="E172:G172" si="181">SUM(E165:E171)</f>
        <v>4</v>
      </c>
      <c r="F172" s="101">
        <f t="shared" si="181"/>
        <v>5</v>
      </c>
      <c r="G172" s="134">
        <f t="shared" si="181"/>
        <v>23.720000000000002</v>
      </c>
      <c r="H172" s="300">
        <f>SUM(H165:H171)</f>
        <v>52.375500000000002</v>
      </c>
      <c r="I172" s="56">
        <f>E172/H172</f>
        <v>7.637158595144676E-2</v>
      </c>
      <c r="J172" s="146"/>
      <c r="K172" s="166">
        <f t="shared" ref="K172:AU172" si="182">SUM(K165:K171)</f>
        <v>0</v>
      </c>
      <c r="L172" s="167">
        <f t="shared" si="182"/>
        <v>0</v>
      </c>
      <c r="M172" s="167">
        <f t="shared" si="182"/>
        <v>0</v>
      </c>
      <c r="N172" s="167">
        <f t="shared" si="182"/>
        <v>0</v>
      </c>
      <c r="O172" s="167">
        <f t="shared" si="182"/>
        <v>0</v>
      </c>
      <c r="P172" s="167">
        <f t="shared" si="182"/>
        <v>0</v>
      </c>
      <c r="Q172" s="167">
        <f t="shared" si="182"/>
        <v>4</v>
      </c>
      <c r="R172" s="168">
        <f t="shared" si="182"/>
        <v>0</v>
      </c>
      <c r="S172" s="166">
        <f t="shared" si="182"/>
        <v>0</v>
      </c>
      <c r="T172" s="167">
        <f t="shared" si="182"/>
        <v>0</v>
      </c>
      <c r="U172" s="167">
        <f t="shared" si="182"/>
        <v>0</v>
      </c>
      <c r="V172" s="168">
        <f t="shared" si="182"/>
        <v>0</v>
      </c>
      <c r="W172" s="166">
        <f t="shared" si="182"/>
        <v>0</v>
      </c>
      <c r="X172" s="167">
        <f t="shared" si="182"/>
        <v>0</v>
      </c>
      <c r="Y172" s="167">
        <f t="shared" si="182"/>
        <v>0</v>
      </c>
      <c r="Z172" s="167">
        <f t="shared" si="182"/>
        <v>0</v>
      </c>
      <c r="AA172" s="167">
        <f t="shared" si="182"/>
        <v>0</v>
      </c>
      <c r="AB172" s="168">
        <f t="shared" si="182"/>
        <v>0</v>
      </c>
      <c r="AC172" s="166">
        <f t="shared" si="182"/>
        <v>0</v>
      </c>
      <c r="AD172" s="167">
        <f t="shared" si="182"/>
        <v>0</v>
      </c>
      <c r="AE172" s="167">
        <f t="shared" si="182"/>
        <v>0</v>
      </c>
      <c r="AF172" s="167">
        <f t="shared" si="182"/>
        <v>0</v>
      </c>
      <c r="AG172" s="168">
        <f t="shared" si="182"/>
        <v>0</v>
      </c>
      <c r="AH172" s="166">
        <f t="shared" si="182"/>
        <v>0</v>
      </c>
      <c r="AI172" s="167">
        <f t="shared" si="182"/>
        <v>0</v>
      </c>
      <c r="AJ172" s="167">
        <f t="shared" si="182"/>
        <v>0</v>
      </c>
      <c r="AK172" s="167">
        <f t="shared" si="182"/>
        <v>0</v>
      </c>
      <c r="AL172" s="167">
        <f t="shared" si="182"/>
        <v>0</v>
      </c>
      <c r="AM172" s="167">
        <f t="shared" si="182"/>
        <v>0</v>
      </c>
      <c r="AN172" s="167">
        <f t="shared" si="182"/>
        <v>0</v>
      </c>
      <c r="AO172" s="167">
        <f t="shared" si="182"/>
        <v>0</v>
      </c>
      <c r="AP172" s="167"/>
      <c r="AQ172" s="167"/>
      <c r="AR172" s="167">
        <f t="shared" si="182"/>
        <v>0</v>
      </c>
      <c r="AS172" s="167">
        <f t="shared" si="182"/>
        <v>0</v>
      </c>
      <c r="AT172" s="167">
        <f t="shared" si="182"/>
        <v>0</v>
      </c>
      <c r="AU172" s="168">
        <f t="shared" si="182"/>
        <v>0</v>
      </c>
    </row>
    <row r="173" spans="3:47" ht="16.5" thickBot="1" x14ac:dyDescent="0.3">
      <c r="K173" s="163">
        <f>K172/$I172</f>
        <v>0</v>
      </c>
      <c r="L173" s="164">
        <f t="shared" ref="L173:AU173" si="183">L172/$I172</f>
        <v>0</v>
      </c>
      <c r="M173" s="164">
        <f t="shared" si="183"/>
        <v>0</v>
      </c>
      <c r="N173" s="164">
        <f t="shared" si="183"/>
        <v>0</v>
      </c>
      <c r="O173" s="164">
        <f t="shared" si="183"/>
        <v>0</v>
      </c>
      <c r="P173" s="164">
        <f t="shared" si="183"/>
        <v>0</v>
      </c>
      <c r="Q173" s="164">
        <f t="shared" si="183"/>
        <v>52.375500000000002</v>
      </c>
      <c r="R173" s="164">
        <f t="shared" si="183"/>
        <v>0</v>
      </c>
      <c r="S173" s="163">
        <f t="shared" si="183"/>
        <v>0</v>
      </c>
      <c r="T173" s="164">
        <f t="shared" si="183"/>
        <v>0</v>
      </c>
      <c r="U173" s="164">
        <f t="shared" si="183"/>
        <v>0</v>
      </c>
      <c r="V173" s="165">
        <f t="shared" si="183"/>
        <v>0</v>
      </c>
      <c r="W173" s="164">
        <f t="shared" si="183"/>
        <v>0</v>
      </c>
      <c r="X173" s="164">
        <f t="shared" si="183"/>
        <v>0</v>
      </c>
      <c r="Y173" s="164">
        <f t="shared" si="183"/>
        <v>0</v>
      </c>
      <c r="Z173" s="164">
        <f t="shared" si="183"/>
        <v>0</v>
      </c>
      <c r="AA173" s="164">
        <f t="shared" si="183"/>
        <v>0</v>
      </c>
      <c r="AB173" s="164">
        <f t="shared" si="183"/>
        <v>0</v>
      </c>
      <c r="AC173" s="163">
        <f t="shared" si="183"/>
        <v>0</v>
      </c>
      <c r="AD173" s="164">
        <f t="shared" si="183"/>
        <v>0</v>
      </c>
      <c r="AE173" s="164">
        <f t="shared" si="183"/>
        <v>0</v>
      </c>
      <c r="AF173" s="164">
        <f t="shared" si="183"/>
        <v>0</v>
      </c>
      <c r="AG173" s="165">
        <f t="shared" si="183"/>
        <v>0</v>
      </c>
      <c r="AH173" s="164">
        <f t="shared" si="183"/>
        <v>0</v>
      </c>
      <c r="AI173" s="164">
        <f t="shared" si="183"/>
        <v>0</v>
      </c>
      <c r="AJ173" s="164">
        <f t="shared" si="183"/>
        <v>0</v>
      </c>
      <c r="AK173" s="164">
        <f t="shared" si="183"/>
        <v>0</v>
      </c>
      <c r="AL173" s="164">
        <f t="shared" si="183"/>
        <v>0</v>
      </c>
      <c r="AM173" s="164">
        <f t="shared" si="183"/>
        <v>0</v>
      </c>
      <c r="AN173" s="164">
        <f t="shared" si="183"/>
        <v>0</v>
      </c>
      <c r="AO173" s="164">
        <f t="shared" si="183"/>
        <v>0</v>
      </c>
      <c r="AP173" s="164"/>
      <c r="AQ173" s="164"/>
      <c r="AR173" s="164">
        <f t="shared" si="183"/>
        <v>0</v>
      </c>
      <c r="AS173" s="164">
        <f t="shared" si="183"/>
        <v>0</v>
      </c>
      <c r="AT173" s="164">
        <f t="shared" si="183"/>
        <v>0</v>
      </c>
      <c r="AU173" s="165">
        <f t="shared" si="183"/>
        <v>0</v>
      </c>
    </row>
    <row r="174" spans="3:47" ht="16.5" thickBot="1" x14ac:dyDescent="0.3"/>
    <row r="175" spans="3:47" x14ac:dyDescent="0.25">
      <c r="C175" s="154">
        <f>C171+1</f>
        <v>45614</v>
      </c>
      <c r="D175" s="278"/>
      <c r="E175" s="155">
        <v>0</v>
      </c>
      <c r="F175" s="103">
        <v>0</v>
      </c>
      <c r="G175" s="156">
        <v>0</v>
      </c>
      <c r="H175" s="302">
        <f>'Boat Expansion'!I608</f>
        <v>0</v>
      </c>
      <c r="I175" s="104"/>
      <c r="J175" s="118"/>
      <c r="K175" s="157"/>
      <c r="L175" s="158"/>
      <c r="M175" s="158"/>
      <c r="N175" s="158"/>
      <c r="O175" s="158"/>
      <c r="P175" s="158"/>
      <c r="Q175" s="158"/>
      <c r="R175" s="158"/>
      <c r="S175" s="157"/>
      <c r="T175" s="158"/>
      <c r="U175" s="158"/>
      <c r="V175" s="159"/>
      <c r="W175" s="157"/>
      <c r="X175" s="158"/>
      <c r="Y175" s="158"/>
      <c r="Z175" s="158"/>
      <c r="AA175" s="158"/>
      <c r="AB175" s="159"/>
      <c r="AC175" s="157"/>
      <c r="AD175" s="158"/>
      <c r="AE175" s="158"/>
      <c r="AF175" s="158"/>
      <c r="AG175" s="159"/>
      <c r="AH175" s="158"/>
      <c r="AI175" s="158"/>
      <c r="AJ175" s="158"/>
      <c r="AK175" s="158"/>
      <c r="AL175" s="158"/>
      <c r="AM175" s="158"/>
      <c r="AN175" s="158"/>
      <c r="AO175" s="158"/>
      <c r="AP175" s="158"/>
      <c r="AQ175" s="158"/>
      <c r="AR175" s="158"/>
      <c r="AS175" s="158"/>
      <c r="AT175" s="158"/>
      <c r="AU175" s="159"/>
    </row>
    <row r="176" spans="3:47" x14ac:dyDescent="0.25">
      <c r="C176" s="127">
        <f t="shared" ref="C176:C181" si="184">C175+1</f>
        <v>45615</v>
      </c>
      <c r="D176" s="274"/>
      <c r="E176" s="54">
        <v>3</v>
      </c>
      <c r="F176" s="53">
        <v>4</v>
      </c>
      <c r="G176" s="129">
        <v>18.170000000000002</v>
      </c>
      <c r="H176" s="297">
        <f>'Boat Expansion'!I614</f>
        <v>7.0675000000000008</v>
      </c>
      <c r="I176" s="98"/>
      <c r="J176" s="118"/>
      <c r="K176" s="95"/>
      <c r="L176" s="41">
        <v>1</v>
      </c>
      <c r="M176" s="41"/>
      <c r="N176" s="41"/>
      <c r="O176" s="41"/>
      <c r="P176" s="41"/>
      <c r="Q176" s="41">
        <v>1</v>
      </c>
      <c r="R176" s="41"/>
      <c r="S176" s="95"/>
      <c r="T176" s="41"/>
      <c r="U176" s="41"/>
      <c r="V176" s="42"/>
      <c r="W176" s="95"/>
      <c r="X176" s="41"/>
      <c r="Y176" s="41"/>
      <c r="Z176" s="41"/>
      <c r="AA176" s="41"/>
      <c r="AB176" s="42"/>
      <c r="AC176" s="95"/>
      <c r="AD176" s="41"/>
      <c r="AE176" s="41"/>
      <c r="AF176" s="41"/>
      <c r="AG176" s="42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2"/>
    </row>
    <row r="177" spans="3:47" x14ac:dyDescent="0.25">
      <c r="C177" s="127">
        <f t="shared" si="184"/>
        <v>45616</v>
      </c>
      <c r="D177" s="274"/>
      <c r="E177" s="54">
        <v>0</v>
      </c>
      <c r="F177" s="53">
        <v>0</v>
      </c>
      <c r="G177" s="129">
        <v>0</v>
      </c>
      <c r="H177" s="297">
        <f>'Boat Expansion'!I620</f>
        <v>2.827</v>
      </c>
      <c r="I177" s="98"/>
      <c r="J177" s="118"/>
      <c r="K177" s="95"/>
      <c r="L177" s="41"/>
      <c r="M177" s="41"/>
      <c r="N177" s="41"/>
      <c r="O177" s="41"/>
      <c r="P177" s="41"/>
      <c r="Q177" s="41"/>
      <c r="R177" s="41"/>
      <c r="S177" s="95"/>
      <c r="T177" s="41"/>
      <c r="U177" s="41"/>
      <c r="V177" s="42"/>
      <c r="W177" s="95"/>
      <c r="X177" s="41"/>
      <c r="Y177" s="41"/>
      <c r="Z177" s="41"/>
      <c r="AA177" s="41"/>
      <c r="AB177" s="42"/>
      <c r="AC177" s="95"/>
      <c r="AD177" s="41"/>
      <c r="AE177" s="41"/>
      <c r="AF177" s="41"/>
      <c r="AG177" s="42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2"/>
    </row>
    <row r="178" spans="3:47" x14ac:dyDescent="0.25">
      <c r="C178" s="127">
        <f t="shared" si="184"/>
        <v>45617</v>
      </c>
      <c r="D178" s="274"/>
      <c r="E178" s="54">
        <v>8</v>
      </c>
      <c r="F178" s="53">
        <v>11</v>
      </c>
      <c r="G178" s="129">
        <v>45.72</v>
      </c>
      <c r="H178" s="297">
        <f>'Boat Expansion'!I626</f>
        <v>11.308</v>
      </c>
      <c r="I178" s="98"/>
      <c r="J178" s="118"/>
      <c r="K178" s="95"/>
      <c r="L178" s="41"/>
      <c r="M178" s="41"/>
      <c r="N178" s="41"/>
      <c r="O178" s="41"/>
      <c r="P178" s="41"/>
      <c r="Q178" s="41">
        <v>4</v>
      </c>
      <c r="R178" s="41"/>
      <c r="S178" s="95"/>
      <c r="T178" s="41"/>
      <c r="U178" s="41"/>
      <c r="V178" s="42"/>
      <c r="W178" s="95"/>
      <c r="X178" s="41"/>
      <c r="Y178" s="41"/>
      <c r="Z178" s="41"/>
      <c r="AA178" s="41"/>
      <c r="AB178" s="42"/>
      <c r="AC178" s="95"/>
      <c r="AD178" s="41"/>
      <c r="AE178" s="41"/>
      <c r="AF178" s="41"/>
      <c r="AG178" s="42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2"/>
    </row>
    <row r="179" spans="3:47" x14ac:dyDescent="0.25">
      <c r="C179" s="127">
        <f t="shared" si="184"/>
        <v>45618</v>
      </c>
      <c r="D179" s="274"/>
      <c r="E179" s="54"/>
      <c r="F179" s="53"/>
      <c r="G179" s="129"/>
      <c r="H179" s="297">
        <f>'Boat Expansion'!I632</f>
        <v>0</v>
      </c>
      <c r="I179" s="98"/>
      <c r="J179" s="118"/>
      <c r="K179" s="95"/>
      <c r="L179" s="41"/>
      <c r="M179" s="41"/>
      <c r="N179" s="41"/>
      <c r="O179" s="41"/>
      <c r="P179" s="41"/>
      <c r="Q179" s="41"/>
      <c r="R179" s="41"/>
      <c r="S179" s="95"/>
      <c r="T179" s="41"/>
      <c r="U179" s="41"/>
      <c r="V179" s="42"/>
      <c r="W179" s="95"/>
      <c r="X179" s="41"/>
      <c r="Y179" s="41"/>
      <c r="Z179" s="41"/>
      <c r="AA179" s="41"/>
      <c r="AB179" s="42"/>
      <c r="AC179" s="95"/>
      <c r="AD179" s="41"/>
      <c r="AE179" s="41"/>
      <c r="AF179" s="41"/>
      <c r="AG179" s="42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2"/>
    </row>
    <row r="180" spans="3:47" x14ac:dyDescent="0.25">
      <c r="C180" s="127">
        <f t="shared" si="184"/>
        <v>45619</v>
      </c>
      <c r="D180" s="274"/>
      <c r="E180" s="54">
        <v>4</v>
      </c>
      <c r="F180" s="53">
        <v>10</v>
      </c>
      <c r="G180" s="129">
        <v>37.119999999999997</v>
      </c>
      <c r="H180" s="297">
        <f>'Boat Expansion'!I638</f>
        <v>21.202500000000001</v>
      </c>
      <c r="I180" s="98"/>
      <c r="J180" s="118"/>
      <c r="K180" s="95">
        <v>2</v>
      </c>
      <c r="L180" s="41"/>
      <c r="M180" s="41"/>
      <c r="N180" s="41"/>
      <c r="O180" s="41"/>
      <c r="P180" s="41"/>
      <c r="Q180" s="41">
        <v>7</v>
      </c>
      <c r="R180" s="41"/>
      <c r="S180" s="95"/>
      <c r="T180" s="41"/>
      <c r="U180" s="41"/>
      <c r="V180" s="42"/>
      <c r="W180" s="95"/>
      <c r="X180" s="41"/>
      <c r="Y180" s="41"/>
      <c r="Z180" s="41"/>
      <c r="AA180" s="41"/>
      <c r="AB180" s="42"/>
      <c r="AC180" s="95"/>
      <c r="AD180" s="41"/>
      <c r="AE180" s="41"/>
      <c r="AF180" s="41"/>
      <c r="AG180" s="42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2"/>
    </row>
    <row r="181" spans="3:47" ht="16.5" thickBot="1" x14ac:dyDescent="0.3">
      <c r="C181" s="130">
        <f t="shared" si="184"/>
        <v>45620</v>
      </c>
      <c r="D181" s="275"/>
      <c r="E181" s="99"/>
      <c r="F181" s="100"/>
      <c r="G181" s="131"/>
      <c r="H181" s="334">
        <v>20</v>
      </c>
      <c r="I181" s="102"/>
      <c r="J181" s="118"/>
      <c r="K181" s="96"/>
      <c r="L181" s="76"/>
      <c r="M181" s="76"/>
      <c r="N181" s="76"/>
      <c r="O181" s="76"/>
      <c r="P181" s="76"/>
      <c r="Q181" s="76"/>
      <c r="R181" s="76"/>
      <c r="S181" s="96"/>
      <c r="T181" s="76"/>
      <c r="U181" s="76"/>
      <c r="V181" s="77"/>
      <c r="W181" s="96"/>
      <c r="X181" s="76"/>
      <c r="Y181" s="76"/>
      <c r="Z181" s="76"/>
      <c r="AA181" s="76"/>
      <c r="AB181" s="77"/>
      <c r="AC181" s="96"/>
      <c r="AD181" s="76"/>
      <c r="AE181" s="76"/>
      <c r="AF181" s="76"/>
      <c r="AG181" s="77"/>
      <c r="AH181" s="76"/>
      <c r="AI181" s="76"/>
      <c r="AJ181" s="76"/>
      <c r="AK181" s="76"/>
      <c r="AL181" s="76"/>
      <c r="AM181" s="76"/>
      <c r="AN181" s="76"/>
      <c r="AO181" s="76"/>
      <c r="AP181" s="76"/>
      <c r="AQ181" s="76"/>
      <c r="AR181" s="76"/>
      <c r="AS181" s="76"/>
      <c r="AT181" s="76"/>
      <c r="AU181" s="77"/>
    </row>
    <row r="182" spans="3:47" ht="17.25" thickTop="1" thickBot="1" x14ac:dyDescent="0.3">
      <c r="C182" s="132" t="s">
        <v>17</v>
      </c>
      <c r="D182" s="276"/>
      <c r="E182" s="133">
        <f t="shared" ref="E182:G182" si="185">SUM(E175:E181)</f>
        <v>15</v>
      </c>
      <c r="F182" s="101">
        <f t="shared" si="185"/>
        <v>25</v>
      </c>
      <c r="G182" s="134">
        <f t="shared" si="185"/>
        <v>101.00999999999999</v>
      </c>
      <c r="H182" s="300">
        <f>SUM(H175:H181)</f>
        <v>62.405000000000001</v>
      </c>
      <c r="I182" s="56">
        <f>E182/H182</f>
        <v>0.24036535534011697</v>
      </c>
      <c r="J182" s="146"/>
      <c r="K182" s="166">
        <f t="shared" ref="K182:AU182" si="186">SUM(K175:K181)</f>
        <v>2</v>
      </c>
      <c r="L182" s="167">
        <f t="shared" si="186"/>
        <v>1</v>
      </c>
      <c r="M182" s="167">
        <f t="shared" si="186"/>
        <v>0</v>
      </c>
      <c r="N182" s="167">
        <f t="shared" si="186"/>
        <v>0</v>
      </c>
      <c r="O182" s="167">
        <f t="shared" si="186"/>
        <v>0</v>
      </c>
      <c r="P182" s="167">
        <f t="shared" si="186"/>
        <v>0</v>
      </c>
      <c r="Q182" s="167">
        <f t="shared" si="186"/>
        <v>12</v>
      </c>
      <c r="R182" s="168">
        <f t="shared" si="186"/>
        <v>0</v>
      </c>
      <c r="S182" s="166">
        <f t="shared" si="186"/>
        <v>0</v>
      </c>
      <c r="T182" s="167">
        <f t="shared" si="186"/>
        <v>0</v>
      </c>
      <c r="U182" s="167">
        <f t="shared" si="186"/>
        <v>0</v>
      </c>
      <c r="V182" s="168">
        <f t="shared" si="186"/>
        <v>0</v>
      </c>
      <c r="W182" s="166">
        <f t="shared" si="186"/>
        <v>0</v>
      </c>
      <c r="X182" s="167">
        <f t="shared" si="186"/>
        <v>0</v>
      </c>
      <c r="Y182" s="167">
        <f t="shared" si="186"/>
        <v>0</v>
      </c>
      <c r="Z182" s="167">
        <f t="shared" si="186"/>
        <v>0</v>
      </c>
      <c r="AA182" s="167">
        <f t="shared" si="186"/>
        <v>0</v>
      </c>
      <c r="AB182" s="168">
        <f t="shared" si="186"/>
        <v>0</v>
      </c>
      <c r="AC182" s="166">
        <f t="shared" si="186"/>
        <v>0</v>
      </c>
      <c r="AD182" s="167">
        <f t="shared" si="186"/>
        <v>0</v>
      </c>
      <c r="AE182" s="167">
        <f t="shared" si="186"/>
        <v>0</v>
      </c>
      <c r="AF182" s="167">
        <f t="shared" si="186"/>
        <v>0</v>
      </c>
      <c r="AG182" s="168">
        <f t="shared" si="186"/>
        <v>0</v>
      </c>
      <c r="AH182" s="166">
        <f t="shared" si="186"/>
        <v>0</v>
      </c>
      <c r="AI182" s="167">
        <f t="shared" si="186"/>
        <v>0</v>
      </c>
      <c r="AJ182" s="167">
        <f t="shared" si="186"/>
        <v>0</v>
      </c>
      <c r="AK182" s="167">
        <f t="shared" si="186"/>
        <v>0</v>
      </c>
      <c r="AL182" s="167">
        <f t="shared" si="186"/>
        <v>0</v>
      </c>
      <c r="AM182" s="167">
        <f t="shared" si="186"/>
        <v>0</v>
      </c>
      <c r="AN182" s="167">
        <f t="shared" si="186"/>
        <v>0</v>
      </c>
      <c r="AO182" s="167">
        <f t="shared" si="186"/>
        <v>0</v>
      </c>
      <c r="AP182" s="167"/>
      <c r="AQ182" s="167"/>
      <c r="AR182" s="167">
        <f t="shared" si="186"/>
        <v>0</v>
      </c>
      <c r="AS182" s="167">
        <f t="shared" si="186"/>
        <v>0</v>
      </c>
      <c r="AT182" s="167">
        <f t="shared" si="186"/>
        <v>0</v>
      </c>
      <c r="AU182" s="168">
        <f t="shared" si="186"/>
        <v>0</v>
      </c>
    </row>
    <row r="183" spans="3:47" ht="16.5" thickBot="1" x14ac:dyDescent="0.3">
      <c r="K183" s="163">
        <f>K182/$I182</f>
        <v>8.3206666666666678</v>
      </c>
      <c r="L183" s="164">
        <f t="shared" ref="L183:AU183" si="187">L182/$I182</f>
        <v>4.1603333333333339</v>
      </c>
      <c r="M183" s="164">
        <f t="shared" si="187"/>
        <v>0</v>
      </c>
      <c r="N183" s="164">
        <f t="shared" si="187"/>
        <v>0</v>
      </c>
      <c r="O183" s="164">
        <f t="shared" si="187"/>
        <v>0</v>
      </c>
      <c r="P183" s="164">
        <f t="shared" si="187"/>
        <v>0</v>
      </c>
      <c r="Q183" s="164">
        <f t="shared" si="187"/>
        <v>49.923999999999999</v>
      </c>
      <c r="R183" s="164">
        <f t="shared" si="187"/>
        <v>0</v>
      </c>
      <c r="S183" s="163">
        <f t="shared" si="187"/>
        <v>0</v>
      </c>
      <c r="T183" s="164">
        <f t="shared" si="187"/>
        <v>0</v>
      </c>
      <c r="U183" s="164">
        <f t="shared" si="187"/>
        <v>0</v>
      </c>
      <c r="V183" s="165">
        <f t="shared" si="187"/>
        <v>0</v>
      </c>
      <c r="W183" s="164">
        <f t="shared" si="187"/>
        <v>0</v>
      </c>
      <c r="X183" s="164">
        <f t="shared" si="187"/>
        <v>0</v>
      </c>
      <c r="Y183" s="164">
        <f t="shared" si="187"/>
        <v>0</v>
      </c>
      <c r="Z183" s="164">
        <f t="shared" si="187"/>
        <v>0</v>
      </c>
      <c r="AA183" s="164">
        <f t="shared" si="187"/>
        <v>0</v>
      </c>
      <c r="AB183" s="164">
        <f t="shared" si="187"/>
        <v>0</v>
      </c>
      <c r="AC183" s="163">
        <f t="shared" si="187"/>
        <v>0</v>
      </c>
      <c r="AD183" s="164">
        <f t="shared" si="187"/>
        <v>0</v>
      </c>
      <c r="AE183" s="164">
        <f t="shared" si="187"/>
        <v>0</v>
      </c>
      <c r="AF183" s="164">
        <f t="shared" si="187"/>
        <v>0</v>
      </c>
      <c r="AG183" s="165">
        <f t="shared" si="187"/>
        <v>0</v>
      </c>
      <c r="AH183" s="164">
        <f t="shared" si="187"/>
        <v>0</v>
      </c>
      <c r="AI183" s="164">
        <f t="shared" si="187"/>
        <v>0</v>
      </c>
      <c r="AJ183" s="164">
        <f t="shared" si="187"/>
        <v>0</v>
      </c>
      <c r="AK183" s="164">
        <f t="shared" si="187"/>
        <v>0</v>
      </c>
      <c r="AL183" s="164">
        <f t="shared" si="187"/>
        <v>0</v>
      </c>
      <c r="AM183" s="164">
        <f t="shared" si="187"/>
        <v>0</v>
      </c>
      <c r="AN183" s="164">
        <f t="shared" si="187"/>
        <v>0</v>
      </c>
      <c r="AO183" s="164">
        <f t="shared" si="187"/>
        <v>0</v>
      </c>
      <c r="AP183" s="164"/>
      <c r="AQ183" s="164"/>
      <c r="AR183" s="164">
        <f t="shared" si="187"/>
        <v>0</v>
      </c>
      <c r="AS183" s="164">
        <f t="shared" si="187"/>
        <v>0</v>
      </c>
      <c r="AT183" s="164">
        <f t="shared" si="187"/>
        <v>0</v>
      </c>
      <c r="AU183" s="165">
        <f t="shared" si="187"/>
        <v>0</v>
      </c>
    </row>
    <row r="184" spans="3:47" ht="16.5" thickBot="1" x14ac:dyDescent="0.3"/>
    <row r="185" spans="3:47" x14ac:dyDescent="0.25">
      <c r="C185" s="154">
        <f>C181+1</f>
        <v>45621</v>
      </c>
      <c r="D185" s="278"/>
      <c r="E185" s="155"/>
      <c r="F185" s="103"/>
      <c r="G185" s="156"/>
      <c r="H185" s="302">
        <f>'Boat Expansion'!I650</f>
        <v>0</v>
      </c>
      <c r="I185" s="104"/>
      <c r="J185" s="118"/>
      <c r="K185" s="157"/>
      <c r="L185" s="158"/>
      <c r="M185" s="158"/>
      <c r="N185" s="158"/>
      <c r="O185" s="158"/>
      <c r="P185" s="158"/>
      <c r="Q185" s="158"/>
      <c r="R185" s="158"/>
      <c r="S185" s="157"/>
      <c r="T185" s="158"/>
      <c r="U185" s="158"/>
      <c r="V185" s="159"/>
      <c r="W185" s="157"/>
      <c r="X185" s="158"/>
      <c r="Y185" s="158"/>
      <c r="Z185" s="158"/>
      <c r="AA185" s="158"/>
      <c r="AB185" s="159"/>
      <c r="AC185" s="157"/>
      <c r="AD185" s="158"/>
      <c r="AE185" s="158"/>
      <c r="AF185" s="158"/>
      <c r="AG185" s="159"/>
      <c r="AH185" s="158"/>
      <c r="AI185" s="158"/>
      <c r="AJ185" s="158"/>
      <c r="AK185" s="158"/>
      <c r="AL185" s="158"/>
      <c r="AM185" s="158"/>
      <c r="AN185" s="158"/>
      <c r="AO185" s="158"/>
      <c r="AP185" s="158"/>
      <c r="AQ185" s="158"/>
      <c r="AR185" s="158"/>
      <c r="AS185" s="158"/>
      <c r="AT185" s="158"/>
      <c r="AU185" s="159"/>
    </row>
    <row r="186" spans="3:47" x14ac:dyDescent="0.25">
      <c r="C186" s="127">
        <f t="shared" ref="C186:C191" si="188">C185+1</f>
        <v>45622</v>
      </c>
      <c r="D186" s="274"/>
      <c r="E186" s="54">
        <v>9</v>
      </c>
      <c r="F186" s="53">
        <v>15</v>
      </c>
      <c r="G186" s="129">
        <v>77.03</v>
      </c>
      <c r="H186" s="297">
        <f>'Boat Expansion'!I656</f>
        <v>15.548500000000001</v>
      </c>
      <c r="I186" s="98"/>
      <c r="J186" s="118"/>
      <c r="K186" s="95"/>
      <c r="L186" s="41">
        <v>2</v>
      </c>
      <c r="M186" s="41"/>
      <c r="N186" s="41"/>
      <c r="O186" s="41"/>
      <c r="P186" s="41"/>
      <c r="Q186" s="41"/>
      <c r="R186" s="41">
        <v>2</v>
      </c>
      <c r="S186" s="95"/>
      <c r="T186" s="41"/>
      <c r="U186" s="41"/>
      <c r="V186" s="42"/>
      <c r="W186" s="95"/>
      <c r="X186" s="41"/>
      <c r="Y186" s="41"/>
      <c r="Z186" s="41"/>
      <c r="AA186" s="41"/>
      <c r="AB186" s="42"/>
      <c r="AC186" s="95"/>
      <c r="AD186" s="41"/>
      <c r="AE186" s="41"/>
      <c r="AF186" s="41"/>
      <c r="AG186" s="42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2"/>
    </row>
    <row r="187" spans="3:47" x14ac:dyDescent="0.25">
      <c r="C187" s="127">
        <f t="shared" si="188"/>
        <v>45623</v>
      </c>
      <c r="D187" s="274"/>
      <c r="E187" s="54"/>
      <c r="F187" s="53"/>
      <c r="G187" s="129"/>
      <c r="H187" s="304">
        <f>'Boat Expansion'!I662</f>
        <v>15</v>
      </c>
      <c r="I187" s="98"/>
      <c r="J187" s="118"/>
      <c r="K187" s="95"/>
      <c r="L187" s="41"/>
      <c r="M187" s="41"/>
      <c r="N187" s="41"/>
      <c r="O187" s="41"/>
      <c r="P187" s="41"/>
      <c r="Q187" s="41"/>
      <c r="R187" s="41"/>
      <c r="S187" s="95"/>
      <c r="T187" s="41"/>
      <c r="U187" s="41"/>
      <c r="V187" s="42"/>
      <c r="W187" s="95"/>
      <c r="X187" s="41"/>
      <c r="Y187" s="41"/>
      <c r="Z187" s="41"/>
      <c r="AA187" s="41"/>
      <c r="AB187" s="42"/>
      <c r="AC187" s="95"/>
      <c r="AD187" s="41"/>
      <c r="AE187" s="41"/>
      <c r="AF187" s="41"/>
      <c r="AG187" s="42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2"/>
    </row>
    <row r="188" spans="3:47" x14ac:dyDescent="0.25">
      <c r="C188" s="127">
        <f t="shared" si="188"/>
        <v>45624</v>
      </c>
      <c r="D188" s="274"/>
      <c r="E188" s="54"/>
      <c r="F188" s="53"/>
      <c r="G188" s="129"/>
      <c r="H188" s="297">
        <f>'Boat Expansion'!I668</f>
        <v>0</v>
      </c>
      <c r="I188" s="98"/>
      <c r="J188" s="118"/>
      <c r="K188" s="95"/>
      <c r="L188" s="41"/>
      <c r="M188" s="41"/>
      <c r="N188" s="41"/>
      <c r="O188" s="41"/>
      <c r="P188" s="41"/>
      <c r="Q188" s="41"/>
      <c r="R188" s="41"/>
      <c r="S188" s="95"/>
      <c r="T188" s="41"/>
      <c r="U188" s="41"/>
      <c r="V188" s="42"/>
      <c r="W188" s="95"/>
      <c r="X188" s="41"/>
      <c r="Y188" s="41"/>
      <c r="Z188" s="41"/>
      <c r="AA188" s="41"/>
      <c r="AB188" s="42"/>
      <c r="AC188" s="95"/>
      <c r="AD188" s="41"/>
      <c r="AE188" s="41"/>
      <c r="AF188" s="41"/>
      <c r="AG188" s="42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2"/>
    </row>
    <row r="189" spans="3:47" x14ac:dyDescent="0.25">
      <c r="C189" s="127">
        <f t="shared" si="188"/>
        <v>45625</v>
      </c>
      <c r="D189" s="274"/>
      <c r="E189" s="54"/>
      <c r="F189" s="53"/>
      <c r="G189" s="129"/>
      <c r="H189" s="304">
        <f>'Boat Expansion'!I674</f>
        <v>15</v>
      </c>
      <c r="I189" s="98"/>
      <c r="J189" s="118"/>
      <c r="K189" s="95"/>
      <c r="L189" s="41"/>
      <c r="M189" s="41"/>
      <c r="N189" s="41"/>
      <c r="O189" s="41"/>
      <c r="P189" s="41"/>
      <c r="Q189" s="41"/>
      <c r="R189" s="41"/>
      <c r="S189" s="95"/>
      <c r="T189" s="41"/>
      <c r="U189" s="41"/>
      <c r="V189" s="42"/>
      <c r="W189" s="95"/>
      <c r="X189" s="41"/>
      <c r="Y189" s="41"/>
      <c r="Z189" s="41"/>
      <c r="AA189" s="41"/>
      <c r="AB189" s="42"/>
      <c r="AC189" s="95"/>
      <c r="AD189" s="41"/>
      <c r="AE189" s="41"/>
      <c r="AF189" s="41"/>
      <c r="AG189" s="42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2"/>
    </row>
    <row r="190" spans="3:47" x14ac:dyDescent="0.25">
      <c r="C190" s="127">
        <f t="shared" si="188"/>
        <v>45626</v>
      </c>
      <c r="D190" s="274"/>
      <c r="E190" s="54">
        <v>10</v>
      </c>
      <c r="F190" s="53">
        <v>24</v>
      </c>
      <c r="G190" s="129">
        <v>130.53</v>
      </c>
      <c r="H190" s="297">
        <f>'Boat Expansion'!I680</f>
        <v>25.443000000000001</v>
      </c>
      <c r="I190" s="98"/>
      <c r="J190" s="118"/>
      <c r="K190" s="95">
        <v>1</v>
      </c>
      <c r="L190" s="41">
        <v>1</v>
      </c>
      <c r="M190" s="41">
        <v>1</v>
      </c>
      <c r="N190" s="41"/>
      <c r="O190" s="41"/>
      <c r="P190" s="41"/>
      <c r="Q190" s="41">
        <v>6</v>
      </c>
      <c r="R190" s="41">
        <v>6</v>
      </c>
      <c r="S190" s="95"/>
      <c r="T190" s="41"/>
      <c r="U190" s="41"/>
      <c r="V190" s="42"/>
      <c r="W190" s="95"/>
      <c r="X190" s="41"/>
      <c r="Y190" s="41"/>
      <c r="Z190" s="41"/>
      <c r="AA190" s="41"/>
      <c r="AB190" s="42"/>
      <c r="AC190" s="95"/>
      <c r="AD190" s="41"/>
      <c r="AE190" s="41"/>
      <c r="AF190" s="41"/>
      <c r="AG190" s="42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2"/>
    </row>
    <row r="191" spans="3:47" ht="16.5" thickBot="1" x14ac:dyDescent="0.3">
      <c r="C191" s="130">
        <f t="shared" si="188"/>
        <v>45627</v>
      </c>
      <c r="D191" s="275"/>
      <c r="E191" s="99"/>
      <c r="F191" s="100"/>
      <c r="G191" s="131"/>
      <c r="H191" s="334">
        <v>25</v>
      </c>
      <c r="I191" s="102"/>
      <c r="J191" s="118"/>
      <c r="K191" s="96"/>
      <c r="L191" s="76"/>
      <c r="M191" s="76"/>
      <c r="N191" s="76"/>
      <c r="O191" s="76"/>
      <c r="P191" s="76"/>
      <c r="Q191" s="76"/>
      <c r="R191" s="76"/>
      <c r="S191" s="96"/>
      <c r="T191" s="76"/>
      <c r="U191" s="76"/>
      <c r="V191" s="77"/>
      <c r="W191" s="96"/>
      <c r="X191" s="76"/>
      <c r="Y191" s="76"/>
      <c r="Z191" s="76"/>
      <c r="AA191" s="76"/>
      <c r="AB191" s="77"/>
      <c r="AC191" s="96"/>
      <c r="AD191" s="76"/>
      <c r="AE191" s="76"/>
      <c r="AF191" s="76"/>
      <c r="AG191" s="77"/>
      <c r="AH191" s="76"/>
      <c r="AI191" s="76"/>
      <c r="AJ191" s="76"/>
      <c r="AK191" s="76"/>
      <c r="AL191" s="76"/>
      <c r="AM191" s="76"/>
      <c r="AN191" s="76"/>
      <c r="AO191" s="76"/>
      <c r="AP191" s="76"/>
      <c r="AQ191" s="76"/>
      <c r="AR191" s="76"/>
      <c r="AS191" s="76"/>
      <c r="AT191" s="76"/>
      <c r="AU191" s="77"/>
    </row>
    <row r="192" spans="3:47" ht="17.25" thickTop="1" thickBot="1" x14ac:dyDescent="0.3">
      <c r="C192" s="132" t="s">
        <v>17</v>
      </c>
      <c r="D192" s="276"/>
      <c r="E192" s="133">
        <f t="shared" ref="E192:G192" si="189">SUM(E185:E191)</f>
        <v>19</v>
      </c>
      <c r="F192" s="101">
        <f t="shared" si="189"/>
        <v>39</v>
      </c>
      <c r="G192" s="134">
        <f t="shared" si="189"/>
        <v>207.56</v>
      </c>
      <c r="H192" s="300">
        <f>SUM(H185:H191)</f>
        <v>95.991500000000002</v>
      </c>
      <c r="I192" s="56">
        <f>E192/H192</f>
        <v>0.19793419208992463</v>
      </c>
      <c r="J192" s="146"/>
      <c r="K192" s="166">
        <f t="shared" ref="K192:AO192" si="190">SUM(K185:K191)</f>
        <v>1</v>
      </c>
      <c r="L192" s="167">
        <f t="shared" si="190"/>
        <v>3</v>
      </c>
      <c r="M192" s="167">
        <f t="shared" si="190"/>
        <v>1</v>
      </c>
      <c r="N192" s="167">
        <f t="shared" si="190"/>
        <v>0</v>
      </c>
      <c r="O192" s="167">
        <f t="shared" si="190"/>
        <v>0</v>
      </c>
      <c r="P192" s="167">
        <f t="shared" si="190"/>
        <v>0</v>
      </c>
      <c r="Q192" s="167">
        <f t="shared" si="190"/>
        <v>6</v>
      </c>
      <c r="R192" s="168">
        <f t="shared" si="190"/>
        <v>8</v>
      </c>
      <c r="S192" s="166">
        <f t="shared" si="190"/>
        <v>0</v>
      </c>
      <c r="T192" s="167">
        <f t="shared" si="190"/>
        <v>0</v>
      </c>
      <c r="U192" s="167">
        <f t="shared" si="190"/>
        <v>0</v>
      </c>
      <c r="V192" s="168">
        <f t="shared" si="190"/>
        <v>0</v>
      </c>
      <c r="W192" s="166">
        <f t="shared" si="190"/>
        <v>0</v>
      </c>
      <c r="X192" s="167">
        <f t="shared" si="190"/>
        <v>0</v>
      </c>
      <c r="Y192" s="167">
        <f t="shared" si="190"/>
        <v>0</v>
      </c>
      <c r="Z192" s="167">
        <f t="shared" si="190"/>
        <v>0</v>
      </c>
      <c r="AA192" s="167">
        <f t="shared" si="190"/>
        <v>0</v>
      </c>
      <c r="AB192" s="168">
        <f t="shared" si="190"/>
        <v>0</v>
      </c>
      <c r="AC192" s="166">
        <f t="shared" si="190"/>
        <v>0</v>
      </c>
      <c r="AD192" s="167">
        <f t="shared" si="190"/>
        <v>0</v>
      </c>
      <c r="AE192" s="167">
        <f t="shared" si="190"/>
        <v>0</v>
      </c>
      <c r="AF192" s="167">
        <f t="shared" si="190"/>
        <v>0</v>
      </c>
      <c r="AG192" s="168">
        <f t="shared" si="190"/>
        <v>0</v>
      </c>
      <c r="AH192" s="166">
        <f t="shared" si="190"/>
        <v>0</v>
      </c>
      <c r="AI192" s="167">
        <f t="shared" si="190"/>
        <v>0</v>
      </c>
      <c r="AJ192" s="167">
        <f t="shared" si="190"/>
        <v>0</v>
      </c>
      <c r="AK192" s="167">
        <f t="shared" si="190"/>
        <v>0</v>
      </c>
      <c r="AL192" s="167">
        <f t="shared" si="190"/>
        <v>0</v>
      </c>
      <c r="AM192" s="167">
        <f t="shared" si="190"/>
        <v>0</v>
      </c>
      <c r="AN192" s="167">
        <f t="shared" si="190"/>
        <v>0</v>
      </c>
      <c r="AO192" s="167">
        <f t="shared" si="190"/>
        <v>0</v>
      </c>
      <c r="AP192" s="167"/>
      <c r="AQ192" s="167"/>
      <c r="AR192" s="167">
        <f t="shared" ref="AR192:AU192" si="191">SUM(AR185:AR191)</f>
        <v>0</v>
      </c>
      <c r="AS192" s="167">
        <f t="shared" si="191"/>
        <v>0</v>
      </c>
      <c r="AT192" s="167">
        <f t="shared" si="191"/>
        <v>0</v>
      </c>
      <c r="AU192" s="168">
        <f t="shared" si="191"/>
        <v>0</v>
      </c>
    </row>
    <row r="193" spans="1:47" ht="16.5" thickBot="1" x14ac:dyDescent="0.3">
      <c r="K193" s="163">
        <f>K192/$I192</f>
        <v>5.0521842105263159</v>
      </c>
      <c r="L193" s="164">
        <f t="shared" ref="L193:AO193" si="192">L192/$I192</f>
        <v>15.156552631578947</v>
      </c>
      <c r="M193" s="164">
        <f t="shared" si="192"/>
        <v>5.0521842105263159</v>
      </c>
      <c r="N193" s="164">
        <f t="shared" si="192"/>
        <v>0</v>
      </c>
      <c r="O193" s="164">
        <f t="shared" si="192"/>
        <v>0</v>
      </c>
      <c r="P193" s="164">
        <f t="shared" si="192"/>
        <v>0</v>
      </c>
      <c r="Q193" s="164">
        <f t="shared" si="192"/>
        <v>30.313105263157894</v>
      </c>
      <c r="R193" s="164">
        <f t="shared" si="192"/>
        <v>40.417473684210528</v>
      </c>
      <c r="S193" s="163">
        <f t="shared" si="192"/>
        <v>0</v>
      </c>
      <c r="T193" s="164">
        <f t="shared" si="192"/>
        <v>0</v>
      </c>
      <c r="U193" s="164">
        <f t="shared" si="192"/>
        <v>0</v>
      </c>
      <c r="V193" s="165">
        <f t="shared" si="192"/>
        <v>0</v>
      </c>
      <c r="W193" s="164">
        <f t="shared" si="192"/>
        <v>0</v>
      </c>
      <c r="X193" s="164">
        <f t="shared" si="192"/>
        <v>0</v>
      </c>
      <c r="Y193" s="164">
        <f t="shared" si="192"/>
        <v>0</v>
      </c>
      <c r="Z193" s="164">
        <f t="shared" si="192"/>
        <v>0</v>
      </c>
      <c r="AA193" s="164">
        <f t="shared" si="192"/>
        <v>0</v>
      </c>
      <c r="AB193" s="164">
        <f t="shared" si="192"/>
        <v>0</v>
      </c>
      <c r="AC193" s="163">
        <f t="shared" si="192"/>
        <v>0</v>
      </c>
      <c r="AD193" s="164">
        <f t="shared" si="192"/>
        <v>0</v>
      </c>
      <c r="AE193" s="164">
        <f t="shared" si="192"/>
        <v>0</v>
      </c>
      <c r="AF193" s="164">
        <f t="shared" si="192"/>
        <v>0</v>
      </c>
      <c r="AG193" s="165">
        <f t="shared" si="192"/>
        <v>0</v>
      </c>
      <c r="AH193" s="164">
        <f t="shared" si="192"/>
        <v>0</v>
      </c>
      <c r="AI193" s="164">
        <f t="shared" si="192"/>
        <v>0</v>
      </c>
      <c r="AJ193" s="164">
        <f t="shared" si="192"/>
        <v>0</v>
      </c>
      <c r="AK193" s="164">
        <f t="shared" si="192"/>
        <v>0</v>
      </c>
      <c r="AL193" s="164">
        <f t="shared" si="192"/>
        <v>0</v>
      </c>
      <c r="AM193" s="164">
        <f t="shared" si="192"/>
        <v>0</v>
      </c>
      <c r="AN193" s="164">
        <f t="shared" si="192"/>
        <v>0</v>
      </c>
      <c r="AO193" s="164">
        <f t="shared" si="192"/>
        <v>0</v>
      </c>
      <c r="AP193" s="164"/>
      <c r="AQ193" s="164"/>
      <c r="AR193" s="164">
        <f t="shared" ref="AR193:AU193" si="193">AR192/$I192</f>
        <v>0</v>
      </c>
      <c r="AS193" s="164">
        <f t="shared" si="193"/>
        <v>0</v>
      </c>
      <c r="AT193" s="164">
        <f t="shared" si="193"/>
        <v>0</v>
      </c>
      <c r="AU193" s="165">
        <f t="shared" si="193"/>
        <v>0</v>
      </c>
    </row>
    <row r="194" spans="1:47" ht="16.5" thickBot="1" x14ac:dyDescent="0.3">
      <c r="E194" s="36"/>
      <c r="H194" s="303"/>
    </row>
    <row r="195" spans="1:47" x14ac:dyDescent="0.25">
      <c r="C195" s="154">
        <f>C191+1</f>
        <v>45628</v>
      </c>
      <c r="D195" s="278"/>
      <c r="E195" s="155"/>
      <c r="F195" s="103"/>
      <c r="G195" s="156"/>
      <c r="H195" s="297"/>
      <c r="I195" s="104"/>
      <c r="J195" s="118"/>
      <c r="K195" s="157"/>
      <c r="L195" s="158"/>
      <c r="M195" s="158"/>
      <c r="N195" s="158"/>
      <c r="O195" s="158"/>
      <c r="P195" s="158"/>
      <c r="Q195" s="158"/>
      <c r="R195" s="158"/>
      <c r="S195" s="157"/>
      <c r="T195" s="158"/>
      <c r="U195" s="158"/>
      <c r="V195" s="159"/>
      <c r="W195" s="157"/>
      <c r="X195" s="158"/>
      <c r="Y195" s="158"/>
      <c r="Z195" s="158"/>
      <c r="AA195" s="158"/>
      <c r="AB195" s="159"/>
      <c r="AC195" s="157"/>
      <c r="AD195" s="158"/>
      <c r="AE195" s="158"/>
      <c r="AF195" s="158"/>
      <c r="AG195" s="159"/>
      <c r="AH195" s="158"/>
      <c r="AI195" s="158"/>
      <c r="AJ195" s="158"/>
      <c r="AK195" s="158"/>
      <c r="AL195" s="158"/>
      <c r="AM195" s="158"/>
      <c r="AN195" s="158"/>
      <c r="AO195" s="158"/>
      <c r="AP195" s="158"/>
      <c r="AQ195" s="158"/>
      <c r="AR195" s="158"/>
      <c r="AS195" s="158"/>
      <c r="AT195" s="158"/>
      <c r="AU195" s="159"/>
    </row>
    <row r="196" spans="1:47" x14ac:dyDescent="0.25">
      <c r="A196" s="21">
        <v>40</v>
      </c>
      <c r="C196" s="127">
        <f t="shared" ref="C196:C201" si="194">C195+1</f>
        <v>45629</v>
      </c>
      <c r="D196" s="274"/>
      <c r="E196" s="54"/>
      <c r="F196" s="53"/>
      <c r="G196" s="129"/>
      <c r="H196" s="297">
        <f>'Boat Expansion'!I776</f>
        <v>0</v>
      </c>
      <c r="I196" s="98"/>
      <c r="J196" s="118"/>
      <c r="K196" s="95"/>
      <c r="L196" s="41"/>
      <c r="M196" s="41"/>
      <c r="N196" s="41"/>
      <c r="O196" s="41"/>
      <c r="P196" s="41"/>
      <c r="Q196" s="41"/>
      <c r="R196" s="41"/>
      <c r="S196" s="95"/>
      <c r="T196" s="41"/>
      <c r="U196" s="41"/>
      <c r="V196" s="42"/>
      <c r="W196" s="95"/>
      <c r="X196" s="41"/>
      <c r="Y196" s="41"/>
      <c r="Z196" s="41"/>
      <c r="AA196" s="41"/>
      <c r="AB196" s="42"/>
      <c r="AC196" s="95"/>
      <c r="AD196" s="41"/>
      <c r="AE196" s="41"/>
      <c r="AF196" s="41"/>
      <c r="AG196" s="42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2"/>
    </row>
    <row r="197" spans="1:47" x14ac:dyDescent="0.25">
      <c r="C197" s="127">
        <f t="shared" si="194"/>
        <v>45630</v>
      </c>
      <c r="D197" s="274"/>
      <c r="E197" s="54"/>
      <c r="F197" s="53"/>
      <c r="G197" s="129"/>
      <c r="H197" s="297"/>
      <c r="I197" s="98"/>
      <c r="J197" s="118"/>
      <c r="K197" s="95"/>
      <c r="L197" s="41"/>
      <c r="M197" s="41"/>
      <c r="N197" s="41"/>
      <c r="O197" s="41"/>
      <c r="P197" s="41"/>
      <c r="Q197" s="41"/>
      <c r="R197" s="41"/>
      <c r="S197" s="95"/>
      <c r="T197" s="41"/>
      <c r="U197" s="41"/>
      <c r="V197" s="42"/>
      <c r="W197" s="95"/>
      <c r="X197" s="41"/>
      <c r="Y197" s="41"/>
      <c r="Z197" s="41"/>
      <c r="AA197" s="41"/>
      <c r="AB197" s="42"/>
      <c r="AC197" s="95"/>
      <c r="AD197" s="41"/>
      <c r="AE197" s="41"/>
      <c r="AF197" s="41"/>
      <c r="AG197" s="42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2"/>
    </row>
    <row r="198" spans="1:47" x14ac:dyDescent="0.25">
      <c r="C198" s="127">
        <f t="shared" si="194"/>
        <v>45631</v>
      </c>
      <c r="D198" s="274"/>
      <c r="E198" s="54"/>
      <c r="F198" s="53"/>
      <c r="G198" s="129"/>
      <c r="H198" s="297"/>
      <c r="I198" s="98"/>
      <c r="J198" s="118"/>
      <c r="K198" s="95"/>
      <c r="L198" s="41"/>
      <c r="M198" s="41"/>
      <c r="N198" s="41"/>
      <c r="O198" s="41"/>
      <c r="P198" s="41"/>
      <c r="Q198" s="41"/>
      <c r="R198" s="41"/>
      <c r="S198" s="95"/>
      <c r="T198" s="41"/>
      <c r="U198" s="41"/>
      <c r="V198" s="42"/>
      <c r="W198" s="95"/>
      <c r="X198" s="41"/>
      <c r="Y198" s="41"/>
      <c r="Z198" s="41"/>
      <c r="AA198" s="41"/>
      <c r="AB198" s="42"/>
      <c r="AC198" s="95"/>
      <c r="AD198" s="41"/>
      <c r="AE198" s="41"/>
      <c r="AF198" s="41"/>
      <c r="AG198" s="42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2"/>
    </row>
    <row r="199" spans="1:47" x14ac:dyDescent="0.25">
      <c r="C199" s="127">
        <f t="shared" si="194"/>
        <v>45632</v>
      </c>
      <c r="D199" s="274"/>
      <c r="E199" s="54"/>
      <c r="F199" s="53"/>
      <c r="G199" s="129"/>
      <c r="H199" s="297"/>
      <c r="I199" s="98"/>
      <c r="J199" s="118"/>
      <c r="K199" s="95"/>
      <c r="L199" s="41"/>
      <c r="M199" s="41"/>
      <c r="N199" s="41"/>
      <c r="O199" s="41"/>
      <c r="P199" s="41"/>
      <c r="Q199" s="41"/>
      <c r="R199" s="41"/>
      <c r="S199" s="95"/>
      <c r="T199" s="41"/>
      <c r="U199" s="41"/>
      <c r="V199" s="42"/>
      <c r="W199" s="95"/>
      <c r="X199" s="41"/>
      <c r="Y199" s="41"/>
      <c r="Z199" s="41"/>
      <c r="AA199" s="41"/>
      <c r="AB199" s="42"/>
      <c r="AC199" s="95"/>
      <c r="AD199" s="41"/>
      <c r="AE199" s="41"/>
      <c r="AF199" s="41"/>
      <c r="AG199" s="42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2"/>
    </row>
    <row r="200" spans="1:47" x14ac:dyDescent="0.25">
      <c r="C200" s="127">
        <f t="shared" si="194"/>
        <v>45633</v>
      </c>
      <c r="D200" s="274"/>
      <c r="E200" s="54"/>
      <c r="F200" s="53"/>
      <c r="G200" s="129"/>
      <c r="H200" s="297"/>
      <c r="I200" s="98"/>
      <c r="J200" s="118"/>
      <c r="K200" s="95"/>
      <c r="L200" s="41"/>
      <c r="M200" s="41"/>
      <c r="N200" s="41"/>
      <c r="O200" s="41"/>
      <c r="P200" s="41"/>
      <c r="Q200" s="41"/>
      <c r="R200" s="41"/>
      <c r="S200" s="95"/>
      <c r="T200" s="41"/>
      <c r="U200" s="41"/>
      <c r="V200" s="42"/>
      <c r="W200" s="95"/>
      <c r="X200" s="41"/>
      <c r="Y200" s="41"/>
      <c r="Z200" s="41"/>
      <c r="AA200" s="41"/>
      <c r="AB200" s="42"/>
      <c r="AC200" s="95"/>
      <c r="AD200" s="41"/>
      <c r="AE200" s="41"/>
      <c r="AF200" s="41"/>
      <c r="AG200" s="42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2"/>
    </row>
    <row r="201" spans="1:47" x14ac:dyDescent="0.25">
      <c r="A201" s="21">
        <v>41</v>
      </c>
      <c r="C201" s="239">
        <f t="shared" si="194"/>
        <v>45634</v>
      </c>
      <c r="D201" s="274"/>
      <c r="E201" s="54"/>
      <c r="F201" s="53"/>
      <c r="G201" s="129"/>
      <c r="H201" s="297">
        <f>'Boat Expansion'!I806</f>
        <v>0</v>
      </c>
      <c r="I201" s="98"/>
      <c r="J201" s="118"/>
      <c r="K201" s="95"/>
      <c r="L201" s="41"/>
      <c r="M201" s="41"/>
      <c r="N201" s="41"/>
      <c r="O201" s="41"/>
      <c r="P201" s="41"/>
      <c r="Q201" s="41"/>
      <c r="R201" s="41"/>
      <c r="S201" s="95"/>
      <c r="T201" s="41"/>
      <c r="U201" s="41"/>
      <c r="V201" s="42"/>
      <c r="W201" s="95"/>
      <c r="X201" s="41"/>
      <c r="Y201" s="41"/>
      <c r="Z201" s="41"/>
      <c r="AA201" s="41"/>
      <c r="AB201" s="42"/>
      <c r="AC201" s="95"/>
      <c r="AD201" s="41"/>
      <c r="AE201" s="41"/>
      <c r="AF201" s="41"/>
      <c r="AG201" s="42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2"/>
    </row>
    <row r="202" spans="1:47" x14ac:dyDescent="0.25">
      <c r="C202" s="239">
        <f>C201+1</f>
        <v>45635</v>
      </c>
      <c r="D202" s="274"/>
      <c r="E202" s="54"/>
      <c r="F202" s="53"/>
      <c r="G202" s="129"/>
      <c r="H202" s="297"/>
      <c r="I202" s="98"/>
      <c r="J202" s="118"/>
      <c r="K202" s="95"/>
      <c r="L202" s="41"/>
      <c r="M202" s="41"/>
      <c r="N202" s="41"/>
      <c r="O202" s="41"/>
      <c r="P202" s="41"/>
      <c r="Q202" s="41"/>
      <c r="R202" s="41"/>
      <c r="S202" s="95"/>
      <c r="T202" s="41"/>
      <c r="U202" s="41"/>
      <c r="V202" s="42"/>
      <c r="W202" s="95"/>
      <c r="X202" s="41"/>
      <c r="Y202" s="41"/>
      <c r="Z202" s="41"/>
      <c r="AA202" s="41"/>
      <c r="AB202" s="42"/>
      <c r="AC202" s="95"/>
      <c r="AD202" s="41"/>
      <c r="AE202" s="41"/>
      <c r="AF202" s="41"/>
      <c r="AG202" s="42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2"/>
    </row>
    <row r="203" spans="1:47" x14ac:dyDescent="0.25">
      <c r="A203" s="21">
        <v>42</v>
      </c>
      <c r="C203" s="127">
        <f t="shared" ref="C203:C208" si="195">C202+1</f>
        <v>45636</v>
      </c>
      <c r="D203" s="274"/>
      <c r="E203" s="54"/>
      <c r="F203" s="53"/>
      <c r="G203" s="129"/>
      <c r="H203" s="297">
        <f>'Boat Expansion'!I818</f>
        <v>0</v>
      </c>
      <c r="I203" s="98"/>
      <c r="J203" s="118"/>
      <c r="K203" s="95"/>
      <c r="L203" s="41"/>
      <c r="M203" s="41"/>
      <c r="N203" s="41"/>
      <c r="O203" s="41"/>
      <c r="P203" s="41"/>
      <c r="Q203" s="41"/>
      <c r="R203" s="41"/>
      <c r="S203" s="95"/>
      <c r="T203" s="41"/>
      <c r="U203" s="41"/>
      <c r="V203" s="42"/>
      <c r="W203" s="95"/>
      <c r="X203" s="41"/>
      <c r="Y203" s="41"/>
      <c r="Z203" s="41"/>
      <c r="AA203" s="41"/>
      <c r="AB203" s="42"/>
      <c r="AC203" s="95"/>
      <c r="AD203" s="41"/>
      <c r="AE203" s="41"/>
      <c r="AF203" s="41"/>
      <c r="AG203" s="42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2"/>
    </row>
    <row r="204" spans="1:47" x14ac:dyDescent="0.25">
      <c r="C204" s="127">
        <f t="shared" si="195"/>
        <v>45637</v>
      </c>
      <c r="D204" s="274"/>
      <c r="E204" s="54"/>
      <c r="F204" s="53"/>
      <c r="G204" s="129"/>
      <c r="H204" s="297"/>
      <c r="I204" s="98"/>
      <c r="J204" s="118"/>
      <c r="K204" s="95"/>
      <c r="L204" s="41"/>
      <c r="M204" s="41"/>
      <c r="N204" s="41"/>
      <c r="O204" s="41"/>
      <c r="P204" s="41"/>
      <c r="Q204" s="41"/>
      <c r="R204" s="41"/>
      <c r="S204" s="95"/>
      <c r="T204" s="41"/>
      <c r="U204" s="41"/>
      <c r="V204" s="42"/>
      <c r="W204" s="95"/>
      <c r="X204" s="41"/>
      <c r="Y204" s="41"/>
      <c r="Z204" s="41"/>
      <c r="AA204" s="41"/>
      <c r="AB204" s="42"/>
      <c r="AC204" s="95"/>
      <c r="AD204" s="41"/>
      <c r="AE204" s="41"/>
      <c r="AF204" s="41"/>
      <c r="AG204" s="42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2"/>
    </row>
    <row r="205" spans="1:47" x14ac:dyDescent="0.25">
      <c r="A205" s="21">
        <v>43</v>
      </c>
      <c r="C205" s="127">
        <f t="shared" si="195"/>
        <v>45638</v>
      </c>
      <c r="D205" s="274"/>
      <c r="E205" s="54"/>
      <c r="F205" s="53"/>
      <c r="G205" s="129"/>
      <c r="H205" s="297">
        <f>'Boat Expansion'!I830</f>
        <v>0</v>
      </c>
      <c r="I205" s="98"/>
      <c r="J205" s="118"/>
      <c r="K205" s="95"/>
      <c r="L205" s="41"/>
      <c r="M205" s="41"/>
      <c r="N205" s="41"/>
      <c r="O205" s="41"/>
      <c r="P205" s="41"/>
      <c r="Q205" s="41"/>
      <c r="R205" s="41"/>
      <c r="S205" s="95"/>
      <c r="T205" s="41"/>
      <c r="U205" s="41"/>
      <c r="V205" s="42"/>
      <c r="W205" s="95"/>
      <c r="X205" s="41"/>
      <c r="Y205" s="41"/>
      <c r="Z205" s="41"/>
      <c r="AA205" s="41"/>
      <c r="AB205" s="42"/>
      <c r="AC205" s="95"/>
      <c r="AD205" s="41"/>
      <c r="AE205" s="41"/>
      <c r="AF205" s="41"/>
      <c r="AG205" s="42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2"/>
    </row>
    <row r="206" spans="1:47" x14ac:dyDescent="0.25">
      <c r="C206" s="127">
        <f t="shared" si="195"/>
        <v>45639</v>
      </c>
      <c r="D206" s="274"/>
      <c r="E206" s="54"/>
      <c r="F206" s="53"/>
      <c r="G206" s="129"/>
      <c r="H206" s="297"/>
      <c r="I206" s="98"/>
      <c r="J206" s="118"/>
      <c r="K206" s="95"/>
      <c r="L206" s="25"/>
      <c r="M206" s="41"/>
      <c r="N206" s="41"/>
      <c r="O206" s="41"/>
      <c r="P206" s="41"/>
      <c r="Q206" s="41"/>
      <c r="R206" s="41"/>
      <c r="S206" s="95"/>
      <c r="T206" s="41"/>
      <c r="U206" s="41"/>
      <c r="V206" s="42"/>
      <c r="W206" s="95"/>
      <c r="X206" s="41"/>
      <c r="Y206" s="41"/>
      <c r="Z206" s="41"/>
      <c r="AA206" s="41"/>
      <c r="AB206" s="42"/>
      <c r="AC206" s="95"/>
      <c r="AD206" s="41"/>
      <c r="AE206" s="41"/>
      <c r="AF206" s="41"/>
      <c r="AG206" s="42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2"/>
    </row>
    <row r="207" spans="1:47" x14ac:dyDescent="0.25">
      <c r="A207" s="21">
        <v>44</v>
      </c>
      <c r="C207" s="127">
        <f t="shared" si="195"/>
        <v>45640</v>
      </c>
      <c r="D207" s="274"/>
      <c r="E207" s="54"/>
      <c r="F207" s="53"/>
      <c r="G207" s="129"/>
      <c r="H207" s="297">
        <f>'Boat Expansion'!I842</f>
        <v>0</v>
      </c>
      <c r="I207" s="98"/>
      <c r="J207" s="118"/>
      <c r="K207" s="95"/>
      <c r="L207" s="41"/>
      <c r="M207" s="41"/>
      <c r="N207" s="41"/>
      <c r="O207" s="41"/>
      <c r="P207" s="41"/>
      <c r="Q207" s="41"/>
      <c r="R207" s="41"/>
      <c r="S207" s="95"/>
      <c r="T207" s="41"/>
      <c r="U207" s="41"/>
      <c r="V207" s="42"/>
      <c r="W207" s="95"/>
      <c r="X207" s="41"/>
      <c r="Y207" s="41"/>
      <c r="Z207" s="41"/>
      <c r="AA207" s="41"/>
      <c r="AB207" s="42"/>
      <c r="AC207" s="95"/>
      <c r="AD207" s="41"/>
      <c r="AE207" s="41"/>
      <c r="AF207" s="41"/>
      <c r="AG207" s="42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2"/>
    </row>
    <row r="208" spans="1:47" x14ac:dyDescent="0.25">
      <c r="C208" s="239">
        <f t="shared" si="195"/>
        <v>45641</v>
      </c>
      <c r="D208" s="274"/>
      <c r="E208" s="54"/>
      <c r="F208" s="53"/>
      <c r="G208" s="129"/>
      <c r="H208" s="297"/>
      <c r="I208" s="98"/>
      <c r="J208" s="118"/>
      <c r="K208" s="95"/>
      <c r="L208" s="41"/>
      <c r="M208" s="41"/>
      <c r="N208" s="41"/>
      <c r="O208" s="41"/>
      <c r="P208" s="41"/>
      <c r="Q208" s="41"/>
      <c r="R208" s="41"/>
      <c r="S208" s="95"/>
      <c r="T208" s="41"/>
      <c r="U208" s="41"/>
      <c r="V208" s="42"/>
      <c r="W208" s="95"/>
      <c r="X208" s="41"/>
      <c r="Y208" s="41"/>
      <c r="Z208" s="41"/>
      <c r="AA208" s="41"/>
      <c r="AB208" s="42"/>
      <c r="AC208" s="95"/>
      <c r="AD208" s="41"/>
      <c r="AE208" s="41"/>
      <c r="AF208" s="41"/>
      <c r="AG208" s="42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2"/>
    </row>
    <row r="209" spans="1:47" x14ac:dyDescent="0.25">
      <c r="C209" s="239">
        <f>C208+1</f>
        <v>45642</v>
      </c>
      <c r="D209" s="274"/>
      <c r="E209" s="54"/>
      <c r="F209" s="53"/>
      <c r="G209" s="129"/>
      <c r="H209" s="297"/>
      <c r="I209" s="98"/>
      <c r="J209" s="118"/>
      <c r="K209" s="95"/>
      <c r="L209" s="41"/>
      <c r="M209" s="41"/>
      <c r="N209" s="41"/>
      <c r="O209" s="41"/>
      <c r="P209" s="41"/>
      <c r="Q209" s="41"/>
      <c r="R209" s="41"/>
      <c r="S209" s="95"/>
      <c r="T209" s="41"/>
      <c r="U209" s="41"/>
      <c r="V209" s="42"/>
      <c r="W209" s="95"/>
      <c r="X209" s="41"/>
      <c r="Y209" s="41"/>
      <c r="Z209" s="41"/>
      <c r="AA209" s="41"/>
      <c r="AB209" s="42"/>
      <c r="AC209" s="95"/>
      <c r="AD209" s="41"/>
      <c r="AE209" s="41"/>
      <c r="AF209" s="41"/>
      <c r="AG209" s="42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2"/>
    </row>
    <row r="210" spans="1:47" x14ac:dyDescent="0.25">
      <c r="C210" s="127">
        <f t="shared" ref="C210:C215" si="196">C209+1</f>
        <v>45643</v>
      </c>
      <c r="D210" s="274"/>
      <c r="E210" s="54"/>
      <c r="F210" s="53"/>
      <c r="G210" s="129"/>
      <c r="H210" s="297"/>
      <c r="I210" s="98"/>
      <c r="J210" s="118"/>
      <c r="K210" s="95"/>
      <c r="L210" s="41"/>
      <c r="M210" s="41"/>
      <c r="N210" s="41"/>
      <c r="O210" s="41"/>
      <c r="P210" s="41"/>
      <c r="Q210" s="41"/>
      <c r="R210" s="41"/>
      <c r="S210" s="95"/>
      <c r="T210" s="41"/>
      <c r="U210" s="41"/>
      <c r="V210" s="42"/>
      <c r="W210" s="95"/>
      <c r="X210" s="41"/>
      <c r="Y210" s="41"/>
      <c r="Z210" s="41"/>
      <c r="AA210" s="41"/>
      <c r="AB210" s="42"/>
      <c r="AC210" s="95"/>
      <c r="AD210" s="41"/>
      <c r="AE210" s="41"/>
      <c r="AF210" s="41"/>
      <c r="AG210" s="42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2"/>
    </row>
    <row r="211" spans="1:47" x14ac:dyDescent="0.25">
      <c r="C211" s="127">
        <f t="shared" si="196"/>
        <v>45644</v>
      </c>
      <c r="D211" s="274"/>
      <c r="E211" s="54"/>
      <c r="F211" s="53"/>
      <c r="G211" s="129"/>
      <c r="H211" s="297"/>
      <c r="I211" s="98"/>
      <c r="J211" s="118"/>
      <c r="K211" s="95"/>
      <c r="L211" s="41"/>
      <c r="M211" s="41"/>
      <c r="N211" s="41"/>
      <c r="O211" s="41"/>
      <c r="P211" s="41"/>
      <c r="Q211" s="41"/>
      <c r="R211" s="41"/>
      <c r="S211" s="95"/>
      <c r="T211" s="41"/>
      <c r="U211" s="41"/>
      <c r="V211" s="42"/>
      <c r="W211" s="95"/>
      <c r="X211" s="41"/>
      <c r="Y211" s="41"/>
      <c r="Z211" s="41"/>
      <c r="AA211" s="41"/>
      <c r="AB211" s="42"/>
      <c r="AC211" s="95"/>
      <c r="AD211" s="41"/>
      <c r="AE211" s="41"/>
      <c r="AF211" s="41"/>
      <c r="AG211" s="42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2"/>
    </row>
    <row r="212" spans="1:47" x14ac:dyDescent="0.25">
      <c r="A212" s="21">
        <v>45</v>
      </c>
      <c r="C212" s="127">
        <f t="shared" si="196"/>
        <v>45645</v>
      </c>
      <c r="D212" s="274"/>
      <c r="E212" s="54"/>
      <c r="F212" s="53"/>
      <c r="G212" s="129"/>
      <c r="H212" s="297">
        <f>'Boat Expansion'!I872</f>
        <v>0</v>
      </c>
      <c r="I212" s="98"/>
      <c r="J212" s="118"/>
      <c r="K212" s="95"/>
      <c r="L212" s="41"/>
      <c r="M212" s="41"/>
      <c r="N212" s="41"/>
      <c r="O212" s="41"/>
      <c r="P212" s="41"/>
      <c r="Q212" s="41"/>
      <c r="R212" s="41"/>
      <c r="S212" s="95"/>
      <c r="T212" s="41"/>
      <c r="U212" s="41"/>
      <c r="V212" s="42"/>
      <c r="W212" s="95"/>
      <c r="X212" s="41"/>
      <c r="Y212" s="41"/>
      <c r="Z212" s="41"/>
      <c r="AA212" s="41"/>
      <c r="AB212" s="42"/>
      <c r="AC212" s="95"/>
      <c r="AD212" s="41"/>
      <c r="AE212" s="41"/>
      <c r="AF212" s="41"/>
      <c r="AG212" s="42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2"/>
    </row>
    <row r="213" spans="1:47" x14ac:dyDescent="0.25">
      <c r="C213" s="127">
        <f t="shared" si="196"/>
        <v>45646</v>
      </c>
      <c r="D213" s="274"/>
      <c r="E213" s="54"/>
      <c r="F213" s="53"/>
      <c r="G213" s="129"/>
      <c r="H213" s="297"/>
      <c r="I213" s="98"/>
      <c r="J213" s="118"/>
      <c r="K213" s="95"/>
      <c r="L213" s="41"/>
      <c r="M213" s="41"/>
      <c r="N213" s="41"/>
      <c r="O213" s="41"/>
      <c r="P213" s="41"/>
      <c r="Q213" s="41"/>
      <c r="R213" s="41"/>
      <c r="S213" s="95"/>
      <c r="T213" s="41"/>
      <c r="U213" s="41"/>
      <c r="V213" s="42"/>
      <c r="W213" s="95"/>
      <c r="X213" s="41"/>
      <c r="Y213" s="41"/>
      <c r="Z213" s="41"/>
      <c r="AA213" s="41"/>
      <c r="AB213" s="42"/>
      <c r="AC213" s="95"/>
      <c r="AD213" s="41"/>
      <c r="AE213" s="41"/>
      <c r="AF213" s="41"/>
      <c r="AG213" s="42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2"/>
    </row>
    <row r="214" spans="1:47" x14ac:dyDescent="0.25">
      <c r="A214" s="21">
        <v>46</v>
      </c>
      <c r="C214" s="127">
        <f t="shared" si="196"/>
        <v>45647</v>
      </c>
      <c r="D214" s="274"/>
      <c r="E214" s="54"/>
      <c r="F214" s="53"/>
      <c r="G214" s="129"/>
      <c r="H214" s="297">
        <f>'Boat Expansion'!I884</f>
        <v>0</v>
      </c>
      <c r="I214" s="98"/>
      <c r="J214" s="118"/>
      <c r="K214" s="95"/>
      <c r="L214" s="41"/>
      <c r="M214" s="41"/>
      <c r="N214" s="41"/>
      <c r="O214" s="41"/>
      <c r="P214" s="41"/>
      <c r="Q214" s="41"/>
      <c r="R214" s="41"/>
      <c r="S214" s="95"/>
      <c r="T214" s="41"/>
      <c r="U214" s="41"/>
      <c r="V214" s="42"/>
      <c r="W214" s="95"/>
      <c r="X214" s="41"/>
      <c r="Y214" s="41"/>
      <c r="Z214" s="41"/>
      <c r="AA214" s="41"/>
      <c r="AB214" s="42"/>
      <c r="AC214" s="95"/>
      <c r="AD214" s="41"/>
      <c r="AE214" s="41"/>
      <c r="AF214" s="41"/>
      <c r="AG214" s="42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2"/>
    </row>
    <row r="215" spans="1:47" x14ac:dyDescent="0.25">
      <c r="C215" s="239">
        <f t="shared" si="196"/>
        <v>45648</v>
      </c>
      <c r="D215" s="274"/>
      <c r="E215" s="54"/>
      <c r="F215" s="53"/>
      <c r="G215" s="129"/>
      <c r="H215" s="297"/>
      <c r="I215" s="98"/>
      <c r="J215" s="118"/>
      <c r="K215" s="95"/>
      <c r="L215" s="41"/>
      <c r="M215" s="41"/>
      <c r="N215" s="41"/>
      <c r="O215" s="41"/>
      <c r="P215" s="41"/>
      <c r="Q215" s="41"/>
      <c r="R215" s="41"/>
      <c r="S215" s="95"/>
      <c r="T215" s="41"/>
      <c r="U215" s="41"/>
      <c r="V215" s="42"/>
      <c r="W215" s="95"/>
      <c r="X215" s="41"/>
      <c r="Y215" s="41"/>
      <c r="Z215" s="41"/>
      <c r="AA215" s="41"/>
      <c r="AB215" s="42"/>
      <c r="AC215" s="95"/>
      <c r="AD215" s="41"/>
      <c r="AE215" s="41"/>
      <c r="AF215" s="41"/>
      <c r="AG215" s="42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2"/>
    </row>
    <row r="216" spans="1:47" x14ac:dyDescent="0.25">
      <c r="C216" s="239">
        <f>C215+1</f>
        <v>45649</v>
      </c>
      <c r="D216" s="274"/>
      <c r="E216" s="54"/>
      <c r="F216" s="53"/>
      <c r="G216" s="129"/>
      <c r="H216" s="297"/>
      <c r="I216" s="98"/>
      <c r="J216" s="118"/>
      <c r="K216" s="95"/>
      <c r="L216" s="41"/>
      <c r="M216" s="41"/>
      <c r="N216" s="41"/>
      <c r="O216" s="41"/>
      <c r="P216" s="41"/>
      <c r="Q216" s="41"/>
      <c r="R216" s="41"/>
      <c r="S216" s="95"/>
      <c r="T216" s="41"/>
      <c r="U216" s="41"/>
      <c r="V216" s="42"/>
      <c r="W216" s="95"/>
      <c r="X216" s="41"/>
      <c r="Y216" s="41"/>
      <c r="Z216" s="41"/>
      <c r="AA216" s="41"/>
      <c r="AB216" s="42"/>
      <c r="AC216" s="95"/>
      <c r="AD216" s="41"/>
      <c r="AE216" s="41"/>
      <c r="AF216" s="41"/>
      <c r="AG216" s="42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2"/>
    </row>
    <row r="217" spans="1:47" x14ac:dyDescent="0.25">
      <c r="C217" s="127">
        <f t="shared" ref="C217:C222" si="197">C216+1</f>
        <v>45650</v>
      </c>
      <c r="D217" s="274"/>
      <c r="E217" s="54"/>
      <c r="F217" s="53"/>
      <c r="G217" s="129"/>
      <c r="H217" s="297"/>
      <c r="I217" s="98"/>
      <c r="J217" s="118"/>
      <c r="K217" s="95"/>
      <c r="L217" s="41"/>
      <c r="M217" s="41"/>
      <c r="N217" s="41"/>
      <c r="O217" s="41"/>
      <c r="P217" s="41"/>
      <c r="Q217" s="41"/>
      <c r="R217" s="41"/>
      <c r="S217" s="95"/>
      <c r="T217" s="41"/>
      <c r="U217" s="41"/>
      <c r="V217" s="42"/>
      <c r="W217" s="95"/>
      <c r="X217" s="41"/>
      <c r="Y217" s="41"/>
      <c r="Z217" s="41"/>
      <c r="AA217" s="41"/>
      <c r="AB217" s="42"/>
      <c r="AC217" s="95"/>
      <c r="AD217" s="41"/>
      <c r="AE217" s="41"/>
      <c r="AF217" s="41"/>
      <c r="AG217" s="42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2"/>
    </row>
    <row r="218" spans="1:47" x14ac:dyDescent="0.25">
      <c r="A218" s="21">
        <v>47</v>
      </c>
      <c r="C218" s="127">
        <f t="shared" si="197"/>
        <v>45651</v>
      </c>
      <c r="D218" s="274"/>
      <c r="E218" s="54"/>
      <c r="F218" s="53"/>
      <c r="G218" s="129"/>
      <c r="H218" s="297">
        <f>'Boat Expansion'!I908</f>
        <v>0</v>
      </c>
      <c r="I218" s="98"/>
      <c r="J218" s="118"/>
      <c r="K218" s="95"/>
      <c r="L218" s="41"/>
      <c r="M218" s="41"/>
      <c r="N218" s="41"/>
      <c r="O218" s="41"/>
      <c r="P218" s="41"/>
      <c r="Q218" s="41"/>
      <c r="R218" s="41"/>
      <c r="S218" s="95"/>
      <c r="T218" s="41"/>
      <c r="U218" s="41"/>
      <c r="V218" s="42"/>
      <c r="W218" s="95"/>
      <c r="X218" s="41"/>
      <c r="Y218" s="41"/>
      <c r="Z218" s="41"/>
      <c r="AA218" s="41"/>
      <c r="AB218" s="42"/>
      <c r="AC218" s="95"/>
      <c r="AD218" s="41"/>
      <c r="AE218" s="41"/>
      <c r="AF218" s="41"/>
      <c r="AG218" s="42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2"/>
    </row>
    <row r="219" spans="1:47" x14ac:dyDescent="0.25">
      <c r="C219" s="127">
        <f t="shared" si="197"/>
        <v>45652</v>
      </c>
      <c r="D219" s="274"/>
      <c r="E219" s="54"/>
      <c r="F219" s="53"/>
      <c r="G219" s="129"/>
      <c r="H219" s="297"/>
      <c r="I219" s="98"/>
      <c r="J219" s="118"/>
      <c r="K219" s="95"/>
      <c r="L219" s="41"/>
      <c r="M219" s="41"/>
      <c r="N219" s="41"/>
      <c r="O219" s="41"/>
      <c r="P219" s="41"/>
      <c r="Q219" s="41"/>
      <c r="R219" s="41"/>
      <c r="S219" s="95"/>
      <c r="T219" s="41"/>
      <c r="U219" s="41"/>
      <c r="V219" s="42"/>
      <c r="W219" s="95"/>
      <c r="X219" s="41"/>
      <c r="Y219" s="41"/>
      <c r="Z219" s="41"/>
      <c r="AA219" s="41"/>
      <c r="AB219" s="42"/>
      <c r="AC219" s="95"/>
      <c r="AD219" s="41"/>
      <c r="AE219" s="41"/>
      <c r="AF219" s="41"/>
      <c r="AG219" s="42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2"/>
    </row>
    <row r="220" spans="1:47" x14ac:dyDescent="0.25">
      <c r="C220" s="127">
        <f t="shared" si="197"/>
        <v>45653</v>
      </c>
      <c r="D220" s="274"/>
      <c r="E220" s="54"/>
      <c r="F220" s="53"/>
      <c r="G220" s="129"/>
      <c r="H220" s="297"/>
      <c r="I220" s="98"/>
      <c r="J220" s="118"/>
      <c r="K220" s="95"/>
      <c r="L220" s="41"/>
      <c r="M220" s="41"/>
      <c r="N220" s="41"/>
      <c r="O220" s="41"/>
      <c r="P220" s="41"/>
      <c r="Q220" s="41"/>
      <c r="R220" s="41"/>
      <c r="S220" s="95"/>
      <c r="T220" s="41"/>
      <c r="U220" s="41"/>
      <c r="V220" s="42"/>
      <c r="W220" s="95"/>
      <c r="X220" s="41"/>
      <c r="Y220" s="41"/>
      <c r="Z220" s="41"/>
      <c r="AA220" s="41"/>
      <c r="AB220" s="42"/>
      <c r="AC220" s="95"/>
      <c r="AD220" s="41"/>
      <c r="AE220" s="41"/>
      <c r="AF220" s="41"/>
      <c r="AG220" s="42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2"/>
    </row>
    <row r="221" spans="1:47" x14ac:dyDescent="0.25">
      <c r="C221" s="127">
        <f t="shared" si="197"/>
        <v>45654</v>
      </c>
      <c r="D221" s="274"/>
      <c r="E221" s="54"/>
      <c r="F221" s="53"/>
      <c r="G221" s="129"/>
      <c r="H221" s="297"/>
      <c r="I221" s="98"/>
      <c r="J221" s="118"/>
      <c r="K221" s="95"/>
      <c r="L221" s="41"/>
      <c r="M221" s="41"/>
      <c r="N221" s="41"/>
      <c r="O221" s="41"/>
      <c r="P221" s="41"/>
      <c r="Q221" s="41"/>
      <c r="R221" s="41"/>
      <c r="S221" s="95"/>
      <c r="T221" s="41"/>
      <c r="U221" s="41"/>
      <c r="V221" s="42"/>
      <c r="W221" s="95"/>
      <c r="X221" s="41"/>
      <c r="Y221" s="41"/>
      <c r="Z221" s="41"/>
      <c r="AA221" s="41"/>
      <c r="AB221" s="42"/>
      <c r="AC221" s="95"/>
      <c r="AD221" s="41"/>
      <c r="AE221" s="41"/>
      <c r="AF221" s="41"/>
      <c r="AG221" s="42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2"/>
    </row>
    <row r="222" spans="1:47" ht="16.5" thickBot="1" x14ac:dyDescent="0.3">
      <c r="C222" s="130">
        <f t="shared" si="197"/>
        <v>45655</v>
      </c>
      <c r="D222" s="275"/>
      <c r="E222" s="99"/>
      <c r="F222" s="100"/>
      <c r="G222" s="131"/>
      <c r="H222" s="299"/>
      <c r="I222" s="102"/>
      <c r="J222" s="118"/>
      <c r="K222" s="96"/>
      <c r="L222" s="76"/>
      <c r="M222" s="76"/>
      <c r="N222" s="76"/>
      <c r="O222" s="76"/>
      <c r="P222" s="76"/>
      <c r="Q222" s="76"/>
      <c r="R222" s="76"/>
      <c r="S222" s="96"/>
      <c r="T222" s="76"/>
      <c r="U222" s="76"/>
      <c r="V222" s="77"/>
      <c r="W222" s="96"/>
      <c r="X222" s="76"/>
      <c r="Y222" s="76"/>
      <c r="Z222" s="76"/>
      <c r="AA222" s="76"/>
      <c r="AB222" s="77"/>
      <c r="AC222" s="96"/>
      <c r="AD222" s="76"/>
      <c r="AE222" s="76"/>
      <c r="AF222" s="76"/>
      <c r="AG222" s="77"/>
      <c r="AH222" s="76"/>
      <c r="AI222" s="76"/>
      <c r="AJ222" s="76"/>
      <c r="AK222" s="76"/>
      <c r="AL222" s="76"/>
      <c r="AM222" s="76"/>
      <c r="AN222" s="76"/>
      <c r="AO222" s="76"/>
      <c r="AP222" s="76"/>
      <c r="AQ222" s="76"/>
      <c r="AR222" s="76"/>
      <c r="AS222" s="76"/>
      <c r="AT222" s="76"/>
      <c r="AU222" s="77"/>
    </row>
    <row r="223" spans="1:47" ht="17.25" thickTop="1" thickBot="1" x14ac:dyDescent="0.3">
      <c r="C223" s="132" t="s">
        <v>17</v>
      </c>
      <c r="D223" s="276"/>
      <c r="E223" s="133">
        <f>SUM(E195:E222)</f>
        <v>0</v>
      </c>
      <c r="F223" s="101">
        <f>SUM(F195:F222)</f>
        <v>0</v>
      </c>
      <c r="G223" s="134">
        <f>SUM(G195:G222)</f>
        <v>0</v>
      </c>
      <c r="H223" s="300">
        <f>SUM(H195:H222)</f>
        <v>0</v>
      </c>
      <c r="I223" s="56" t="e">
        <f>E223/H223</f>
        <v>#DIV/0!</v>
      </c>
      <c r="J223" s="146"/>
      <c r="K223" s="166">
        <f t="shared" ref="K223:AU223" si="198">SUM(K195:K222)</f>
        <v>0</v>
      </c>
      <c r="L223" s="167">
        <f t="shared" si="198"/>
        <v>0</v>
      </c>
      <c r="M223" s="167">
        <f t="shared" si="198"/>
        <v>0</v>
      </c>
      <c r="N223" s="167">
        <f t="shared" si="198"/>
        <v>0</v>
      </c>
      <c r="O223" s="167">
        <f t="shared" si="198"/>
        <v>0</v>
      </c>
      <c r="P223" s="167">
        <f t="shared" si="198"/>
        <v>0</v>
      </c>
      <c r="Q223" s="167">
        <f t="shared" si="198"/>
        <v>0</v>
      </c>
      <c r="R223" s="168">
        <f t="shared" si="198"/>
        <v>0</v>
      </c>
      <c r="S223" s="166">
        <f t="shared" si="198"/>
        <v>0</v>
      </c>
      <c r="T223" s="167">
        <f t="shared" si="198"/>
        <v>0</v>
      </c>
      <c r="U223" s="167">
        <f t="shared" si="198"/>
        <v>0</v>
      </c>
      <c r="V223" s="168">
        <f t="shared" si="198"/>
        <v>0</v>
      </c>
      <c r="W223" s="166">
        <f t="shared" si="198"/>
        <v>0</v>
      </c>
      <c r="X223" s="167">
        <f t="shared" si="198"/>
        <v>0</v>
      </c>
      <c r="Y223" s="167">
        <f t="shared" si="198"/>
        <v>0</v>
      </c>
      <c r="Z223" s="167">
        <f t="shared" si="198"/>
        <v>0</v>
      </c>
      <c r="AA223" s="167">
        <f t="shared" si="198"/>
        <v>0</v>
      </c>
      <c r="AB223" s="168">
        <f t="shared" si="198"/>
        <v>0</v>
      </c>
      <c r="AC223" s="166">
        <f t="shared" si="198"/>
        <v>0</v>
      </c>
      <c r="AD223" s="167">
        <f t="shared" si="198"/>
        <v>0</v>
      </c>
      <c r="AE223" s="167">
        <f t="shared" si="198"/>
        <v>0</v>
      </c>
      <c r="AF223" s="167">
        <f t="shared" si="198"/>
        <v>0</v>
      </c>
      <c r="AG223" s="168">
        <f t="shared" si="198"/>
        <v>0</v>
      </c>
      <c r="AH223" s="166">
        <f t="shared" si="198"/>
        <v>0</v>
      </c>
      <c r="AI223" s="167">
        <f t="shared" si="198"/>
        <v>0</v>
      </c>
      <c r="AJ223" s="167">
        <f t="shared" si="198"/>
        <v>0</v>
      </c>
      <c r="AK223" s="167">
        <f t="shared" si="198"/>
        <v>0</v>
      </c>
      <c r="AL223" s="167">
        <f t="shared" si="198"/>
        <v>0</v>
      </c>
      <c r="AM223" s="167">
        <f t="shared" si="198"/>
        <v>0</v>
      </c>
      <c r="AN223" s="167">
        <f t="shared" si="198"/>
        <v>0</v>
      </c>
      <c r="AO223" s="167">
        <f t="shared" si="198"/>
        <v>0</v>
      </c>
      <c r="AP223" s="167">
        <f t="shared" si="198"/>
        <v>0</v>
      </c>
      <c r="AQ223" s="167">
        <f t="shared" si="198"/>
        <v>0</v>
      </c>
      <c r="AR223" s="167">
        <f t="shared" si="198"/>
        <v>0</v>
      </c>
      <c r="AS223" s="167">
        <f t="shared" si="198"/>
        <v>0</v>
      </c>
      <c r="AT223" s="167">
        <f t="shared" si="198"/>
        <v>0</v>
      </c>
      <c r="AU223" s="168">
        <f t="shared" si="198"/>
        <v>0</v>
      </c>
    </row>
    <row r="224" spans="1:47" ht="16.5" thickBot="1" x14ac:dyDescent="0.3">
      <c r="K224" s="163" t="e">
        <f>K223/$I223</f>
        <v>#DIV/0!</v>
      </c>
      <c r="L224" s="164" t="e">
        <f t="shared" ref="L224:AO224" si="199">L223/$I223</f>
        <v>#DIV/0!</v>
      </c>
      <c r="M224" s="164" t="e">
        <f t="shared" si="199"/>
        <v>#DIV/0!</v>
      </c>
      <c r="N224" s="164" t="e">
        <f t="shared" si="199"/>
        <v>#DIV/0!</v>
      </c>
      <c r="O224" s="164" t="e">
        <f t="shared" si="199"/>
        <v>#DIV/0!</v>
      </c>
      <c r="P224" s="164" t="e">
        <f t="shared" si="199"/>
        <v>#DIV/0!</v>
      </c>
      <c r="Q224" s="164" t="e">
        <f t="shared" si="199"/>
        <v>#DIV/0!</v>
      </c>
      <c r="R224" s="164" t="e">
        <f t="shared" si="199"/>
        <v>#DIV/0!</v>
      </c>
      <c r="S224" s="163" t="e">
        <f t="shared" si="199"/>
        <v>#DIV/0!</v>
      </c>
      <c r="T224" s="164" t="e">
        <f t="shared" si="199"/>
        <v>#DIV/0!</v>
      </c>
      <c r="U224" s="164" t="e">
        <f t="shared" si="199"/>
        <v>#DIV/0!</v>
      </c>
      <c r="V224" s="165" t="e">
        <f t="shared" si="199"/>
        <v>#DIV/0!</v>
      </c>
      <c r="W224" s="164" t="e">
        <f t="shared" si="199"/>
        <v>#DIV/0!</v>
      </c>
      <c r="X224" s="164" t="e">
        <f t="shared" si="199"/>
        <v>#DIV/0!</v>
      </c>
      <c r="Y224" s="164" t="e">
        <f t="shared" si="199"/>
        <v>#DIV/0!</v>
      </c>
      <c r="Z224" s="164" t="e">
        <f t="shared" si="199"/>
        <v>#DIV/0!</v>
      </c>
      <c r="AA224" s="164" t="e">
        <f t="shared" si="199"/>
        <v>#DIV/0!</v>
      </c>
      <c r="AB224" s="164" t="e">
        <f t="shared" si="199"/>
        <v>#DIV/0!</v>
      </c>
      <c r="AC224" s="163" t="e">
        <f t="shared" si="199"/>
        <v>#DIV/0!</v>
      </c>
      <c r="AD224" s="164" t="e">
        <f t="shared" si="199"/>
        <v>#DIV/0!</v>
      </c>
      <c r="AE224" s="164" t="e">
        <f t="shared" si="199"/>
        <v>#DIV/0!</v>
      </c>
      <c r="AF224" s="164" t="e">
        <f t="shared" si="199"/>
        <v>#DIV/0!</v>
      </c>
      <c r="AG224" s="165" t="e">
        <f t="shared" si="199"/>
        <v>#DIV/0!</v>
      </c>
      <c r="AH224" s="164" t="e">
        <f t="shared" si="199"/>
        <v>#DIV/0!</v>
      </c>
      <c r="AI224" s="164" t="e">
        <f t="shared" si="199"/>
        <v>#DIV/0!</v>
      </c>
      <c r="AJ224" s="164" t="e">
        <f t="shared" si="199"/>
        <v>#DIV/0!</v>
      </c>
      <c r="AK224" s="164" t="e">
        <f t="shared" si="199"/>
        <v>#DIV/0!</v>
      </c>
      <c r="AL224" s="164" t="e">
        <f t="shared" si="199"/>
        <v>#DIV/0!</v>
      </c>
      <c r="AM224" s="164" t="e">
        <f t="shared" si="199"/>
        <v>#DIV/0!</v>
      </c>
      <c r="AN224" s="164" t="e">
        <f t="shared" si="199"/>
        <v>#DIV/0!</v>
      </c>
      <c r="AO224" s="164" t="e">
        <f t="shared" si="199"/>
        <v>#DIV/0!</v>
      </c>
      <c r="AP224" s="164" t="e">
        <f t="shared" ref="AP224:AQ224" si="200">AP223/$I223</f>
        <v>#DIV/0!</v>
      </c>
      <c r="AQ224" s="164" t="e">
        <f t="shared" si="200"/>
        <v>#DIV/0!</v>
      </c>
      <c r="AR224" s="164" t="e">
        <f t="shared" ref="AR224:AU224" si="201">AR223/$I223</f>
        <v>#DIV/0!</v>
      </c>
      <c r="AS224" s="164" t="e">
        <f t="shared" si="201"/>
        <v>#DIV/0!</v>
      </c>
      <c r="AT224" s="164" t="e">
        <f t="shared" si="201"/>
        <v>#DIV/0!</v>
      </c>
      <c r="AU224" s="165" t="e">
        <f t="shared" si="201"/>
        <v>#DIV/0!</v>
      </c>
    </row>
    <row r="225" spans="1:47" ht="16.5" thickBot="1" x14ac:dyDescent="0.3">
      <c r="E225" s="234"/>
    </row>
    <row r="226" spans="1:47" x14ac:dyDescent="0.25">
      <c r="C226" s="154">
        <f>C222+1</f>
        <v>45656</v>
      </c>
      <c r="D226" s="278"/>
      <c r="E226" s="155"/>
      <c r="F226" s="103"/>
      <c r="G226" s="156"/>
      <c r="H226" s="302"/>
      <c r="I226" s="104"/>
      <c r="J226" s="118"/>
      <c r="K226" s="157"/>
      <c r="L226" s="158"/>
      <c r="M226" s="158"/>
      <c r="N226" s="158"/>
      <c r="O226" s="158"/>
      <c r="P226" s="158"/>
      <c r="Q226" s="158"/>
      <c r="R226" s="158"/>
      <c r="S226" s="157"/>
      <c r="T226" s="158"/>
      <c r="U226" s="158"/>
      <c r="V226" s="159"/>
      <c r="W226" s="157"/>
      <c r="X226" s="158"/>
      <c r="Y226" s="158"/>
      <c r="Z226" s="158"/>
      <c r="AA226" s="158"/>
      <c r="AB226" s="159"/>
      <c r="AC226" s="157"/>
      <c r="AD226" s="158"/>
      <c r="AE226" s="158"/>
      <c r="AF226" s="158"/>
      <c r="AG226" s="159"/>
      <c r="AH226" s="158"/>
      <c r="AI226" s="158"/>
      <c r="AJ226" s="158"/>
      <c r="AK226" s="158"/>
      <c r="AL226" s="158"/>
      <c r="AM226" s="158"/>
      <c r="AN226" s="158"/>
      <c r="AO226" s="158"/>
      <c r="AP226" s="158"/>
      <c r="AQ226" s="158"/>
      <c r="AR226" s="158"/>
      <c r="AS226" s="158"/>
      <c r="AT226" s="158"/>
      <c r="AU226" s="159"/>
    </row>
    <row r="227" spans="1:47" x14ac:dyDescent="0.25">
      <c r="A227" s="21">
        <v>48</v>
      </c>
      <c r="C227" s="127">
        <f t="shared" ref="C227:C232" si="202">C226+1</f>
        <v>45657</v>
      </c>
      <c r="D227" s="274"/>
      <c r="E227" s="54"/>
      <c r="F227" s="53"/>
      <c r="G227" s="129"/>
      <c r="H227" s="297">
        <f>'Boat Expansion'!I944</f>
        <v>0</v>
      </c>
      <c r="I227" s="98"/>
      <c r="J227" s="118"/>
      <c r="K227" s="95"/>
      <c r="L227" s="41"/>
      <c r="M227" s="41"/>
      <c r="N227" s="41"/>
      <c r="O227" s="41"/>
      <c r="P227" s="41"/>
      <c r="Q227" s="41"/>
      <c r="R227" s="41"/>
      <c r="S227" s="95"/>
      <c r="T227" s="41"/>
      <c r="U227" s="41"/>
      <c r="V227" s="42"/>
      <c r="W227" s="95"/>
      <c r="X227" s="41"/>
      <c r="Y227" s="41"/>
      <c r="Z227" s="41"/>
      <c r="AA227" s="41"/>
      <c r="AB227" s="42"/>
      <c r="AC227" s="95"/>
      <c r="AD227" s="41"/>
      <c r="AE227" s="41"/>
      <c r="AF227" s="41"/>
      <c r="AG227" s="42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2"/>
    </row>
    <row r="228" spans="1:47" x14ac:dyDescent="0.25">
      <c r="C228" s="127">
        <f t="shared" si="202"/>
        <v>45658</v>
      </c>
      <c r="D228" s="274"/>
      <c r="E228" s="54"/>
      <c r="F228" s="53"/>
      <c r="G228" s="129"/>
      <c r="H228" s="297"/>
      <c r="I228" s="98"/>
      <c r="J228" s="118"/>
      <c r="K228" s="95"/>
      <c r="L228" s="41"/>
      <c r="M228" s="41"/>
      <c r="N228" s="41"/>
      <c r="O228" s="41"/>
      <c r="P228" s="41"/>
      <c r="Q228" s="41"/>
      <c r="R228" s="41"/>
      <c r="S228" s="95"/>
      <c r="T228" s="41"/>
      <c r="U228" s="41"/>
      <c r="V228" s="42"/>
      <c r="W228" s="95"/>
      <c r="X228" s="41"/>
      <c r="Y228" s="41"/>
      <c r="Z228" s="41"/>
      <c r="AA228" s="41"/>
      <c r="AB228" s="42"/>
      <c r="AC228" s="95"/>
      <c r="AD228" s="41"/>
      <c r="AE228" s="41"/>
      <c r="AF228" s="41"/>
      <c r="AG228" s="42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2"/>
    </row>
    <row r="229" spans="1:47" x14ac:dyDescent="0.25">
      <c r="A229" s="21">
        <v>49</v>
      </c>
      <c r="C229" s="127">
        <f t="shared" si="202"/>
        <v>45659</v>
      </c>
      <c r="D229" s="274"/>
      <c r="E229" s="54"/>
      <c r="F229" s="53"/>
      <c r="G229" s="129"/>
      <c r="H229" s="297">
        <f>'Boat Expansion'!I956</f>
        <v>0</v>
      </c>
      <c r="I229" s="98"/>
      <c r="J229" s="118"/>
      <c r="K229" s="95"/>
      <c r="L229" s="41"/>
      <c r="M229" s="41"/>
      <c r="N229" s="41"/>
      <c r="O229" s="41"/>
      <c r="P229" s="41"/>
      <c r="Q229" s="41"/>
      <c r="R229" s="41"/>
      <c r="S229" s="95"/>
      <c r="T229" s="41"/>
      <c r="U229" s="41"/>
      <c r="V229" s="42"/>
      <c r="W229" s="95"/>
      <c r="X229" s="41"/>
      <c r="Y229" s="41"/>
      <c r="Z229" s="41"/>
      <c r="AA229" s="41"/>
      <c r="AB229" s="42"/>
      <c r="AC229" s="95"/>
      <c r="AD229" s="41"/>
      <c r="AE229" s="41"/>
      <c r="AF229" s="41"/>
      <c r="AG229" s="42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2"/>
    </row>
    <row r="230" spans="1:47" x14ac:dyDescent="0.25">
      <c r="C230" s="127">
        <f t="shared" si="202"/>
        <v>45660</v>
      </c>
      <c r="D230" s="274"/>
      <c r="E230" s="54"/>
      <c r="F230" s="53"/>
      <c r="G230" s="129"/>
      <c r="H230" s="297"/>
      <c r="I230" s="98"/>
      <c r="J230" s="118"/>
      <c r="K230" s="95"/>
      <c r="L230" s="41"/>
      <c r="M230" s="41"/>
      <c r="N230" s="41"/>
      <c r="O230" s="41"/>
      <c r="P230" s="41"/>
      <c r="Q230" s="41"/>
      <c r="R230" s="41"/>
      <c r="S230" s="95"/>
      <c r="T230" s="41"/>
      <c r="U230" s="41"/>
      <c r="V230" s="42"/>
      <c r="W230" s="95"/>
      <c r="X230" s="41"/>
      <c r="Y230" s="41"/>
      <c r="Z230" s="41"/>
      <c r="AA230" s="41"/>
      <c r="AB230" s="42"/>
      <c r="AC230" s="95"/>
      <c r="AD230" s="41"/>
      <c r="AE230" s="41"/>
      <c r="AF230" s="41"/>
      <c r="AG230" s="42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2"/>
    </row>
    <row r="231" spans="1:47" x14ac:dyDescent="0.25">
      <c r="A231" s="21">
        <v>50</v>
      </c>
      <c r="C231" s="127">
        <f t="shared" si="202"/>
        <v>45661</v>
      </c>
      <c r="D231" s="274"/>
      <c r="E231" s="54"/>
      <c r="F231" s="53"/>
      <c r="G231" s="129"/>
      <c r="H231" s="297">
        <f>'Boat Expansion'!I968</f>
        <v>0</v>
      </c>
      <c r="I231" s="98"/>
      <c r="J231" s="118"/>
      <c r="K231" s="95"/>
      <c r="L231" s="41"/>
      <c r="M231" s="41"/>
      <c r="N231" s="41"/>
      <c r="O231" s="41"/>
      <c r="P231" s="41"/>
      <c r="Q231" s="41"/>
      <c r="R231" s="41"/>
      <c r="S231" s="95"/>
      <c r="T231" s="41"/>
      <c r="U231" s="41"/>
      <c r="V231" s="42"/>
      <c r="W231" s="95"/>
      <c r="X231" s="41"/>
      <c r="Y231" s="41"/>
      <c r="Z231" s="41"/>
      <c r="AA231" s="41"/>
      <c r="AB231" s="42"/>
      <c r="AC231" s="95"/>
      <c r="AD231" s="41"/>
      <c r="AE231" s="41"/>
      <c r="AF231" s="41"/>
      <c r="AG231" s="42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2"/>
    </row>
    <row r="232" spans="1:47" x14ac:dyDescent="0.25">
      <c r="C232" s="239">
        <f t="shared" si="202"/>
        <v>45662</v>
      </c>
      <c r="D232" s="274"/>
      <c r="E232" s="54"/>
      <c r="F232" s="53"/>
      <c r="G232" s="129"/>
      <c r="H232" s="297"/>
      <c r="I232" s="98"/>
      <c r="J232" s="118"/>
      <c r="K232" s="95"/>
      <c r="L232" s="41"/>
      <c r="M232" s="41"/>
      <c r="N232" s="41"/>
      <c r="O232" s="41"/>
      <c r="P232" s="41"/>
      <c r="Q232" s="41"/>
      <c r="R232" s="41"/>
      <c r="S232" s="95"/>
      <c r="T232" s="41"/>
      <c r="U232" s="41"/>
      <c r="V232" s="42"/>
      <c r="W232" s="95"/>
      <c r="X232" s="41"/>
      <c r="Y232" s="41"/>
      <c r="Z232" s="41"/>
      <c r="AA232" s="41"/>
      <c r="AB232" s="42"/>
      <c r="AC232" s="95"/>
      <c r="AD232" s="41"/>
      <c r="AE232" s="41"/>
      <c r="AF232" s="41"/>
      <c r="AG232" s="42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2"/>
    </row>
    <row r="233" spans="1:47" x14ac:dyDescent="0.25">
      <c r="C233" s="239">
        <f>C232+1</f>
        <v>45663</v>
      </c>
      <c r="D233" s="274"/>
      <c r="E233" s="54"/>
      <c r="F233" s="53"/>
      <c r="G233" s="129"/>
      <c r="H233" s="297"/>
      <c r="I233" s="98"/>
      <c r="J233" s="118"/>
      <c r="K233" s="95"/>
      <c r="L233" s="41"/>
      <c r="M233" s="41"/>
      <c r="N233" s="41"/>
      <c r="O233" s="41"/>
      <c r="P233" s="41"/>
      <c r="Q233" s="41"/>
      <c r="R233" s="41"/>
      <c r="S233" s="95"/>
      <c r="T233" s="41"/>
      <c r="U233" s="41"/>
      <c r="V233" s="42"/>
      <c r="W233" s="95"/>
      <c r="X233" s="41"/>
      <c r="Y233" s="41"/>
      <c r="Z233" s="41"/>
      <c r="AA233" s="41"/>
      <c r="AB233" s="42"/>
      <c r="AC233" s="95"/>
      <c r="AD233" s="41"/>
      <c r="AE233" s="41"/>
      <c r="AF233" s="41"/>
      <c r="AG233" s="42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2"/>
    </row>
    <row r="234" spans="1:47" x14ac:dyDescent="0.25">
      <c r="C234" s="127">
        <f t="shared" ref="C234:C239" si="203">C233+1</f>
        <v>45664</v>
      </c>
      <c r="D234" s="274"/>
      <c r="E234" s="54"/>
      <c r="F234" s="53"/>
      <c r="G234" s="129"/>
      <c r="H234" s="297"/>
      <c r="I234" s="98"/>
      <c r="J234" s="118"/>
      <c r="K234" s="95"/>
      <c r="L234" s="41"/>
      <c r="M234" s="41"/>
      <c r="N234" s="41"/>
      <c r="O234" s="41"/>
      <c r="P234" s="41"/>
      <c r="Q234" s="41"/>
      <c r="R234" s="41"/>
      <c r="S234" s="95"/>
      <c r="T234" s="41"/>
      <c r="U234" s="41"/>
      <c r="V234" s="42"/>
      <c r="W234" s="95"/>
      <c r="X234" s="41"/>
      <c r="Y234" s="41"/>
      <c r="Z234" s="41"/>
      <c r="AA234" s="41"/>
      <c r="AB234" s="42"/>
      <c r="AC234" s="95"/>
      <c r="AD234" s="41"/>
      <c r="AE234" s="41"/>
      <c r="AF234" s="41"/>
      <c r="AG234" s="42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2"/>
    </row>
    <row r="235" spans="1:47" x14ac:dyDescent="0.25">
      <c r="A235" s="21">
        <v>51</v>
      </c>
      <c r="C235" s="127">
        <f t="shared" si="203"/>
        <v>45665</v>
      </c>
      <c r="D235" s="274"/>
      <c r="E235" s="54"/>
      <c r="F235" s="53"/>
      <c r="G235" s="129"/>
      <c r="H235" s="297"/>
      <c r="I235" s="98"/>
      <c r="J235" s="118"/>
      <c r="K235" s="95"/>
      <c r="L235" s="41"/>
      <c r="M235" s="41"/>
      <c r="N235" s="41"/>
      <c r="O235" s="41"/>
      <c r="P235" s="41"/>
      <c r="Q235" s="41"/>
      <c r="R235" s="41"/>
      <c r="S235" s="95"/>
      <c r="T235" s="41"/>
      <c r="U235" s="41"/>
      <c r="V235" s="42"/>
      <c r="W235" s="95"/>
      <c r="X235" s="41"/>
      <c r="Y235" s="41"/>
      <c r="Z235" s="41"/>
      <c r="AA235" s="41"/>
      <c r="AB235" s="42"/>
      <c r="AC235" s="95"/>
      <c r="AD235" s="41"/>
      <c r="AE235" s="41"/>
      <c r="AF235" s="41"/>
      <c r="AG235" s="42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2"/>
    </row>
    <row r="236" spans="1:47" x14ac:dyDescent="0.25">
      <c r="C236" s="127">
        <f t="shared" si="203"/>
        <v>45666</v>
      </c>
      <c r="D236" s="274"/>
      <c r="E236" s="54"/>
      <c r="F236" s="53"/>
      <c r="G236" s="129"/>
      <c r="H236" s="297"/>
      <c r="I236" s="98"/>
      <c r="J236" s="118"/>
      <c r="K236" s="95"/>
      <c r="L236" s="41"/>
      <c r="M236" s="41"/>
      <c r="N236" s="41"/>
      <c r="O236" s="41"/>
      <c r="P236" s="41"/>
      <c r="Q236" s="41"/>
      <c r="R236" s="41"/>
      <c r="S236" s="95"/>
      <c r="T236" s="41"/>
      <c r="U236" s="41"/>
      <c r="V236" s="42"/>
      <c r="W236" s="95"/>
      <c r="X236" s="41"/>
      <c r="Y236" s="41"/>
      <c r="Z236" s="41"/>
      <c r="AA236" s="41"/>
      <c r="AB236" s="42"/>
      <c r="AC236" s="95"/>
      <c r="AD236" s="41"/>
      <c r="AE236" s="41"/>
      <c r="AF236" s="41"/>
      <c r="AG236" s="42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2"/>
    </row>
    <row r="237" spans="1:47" x14ac:dyDescent="0.25">
      <c r="C237" s="127">
        <f t="shared" si="203"/>
        <v>45667</v>
      </c>
      <c r="D237" s="274"/>
      <c r="E237" s="54"/>
      <c r="F237" s="53"/>
      <c r="G237" s="129"/>
      <c r="H237" s="297"/>
      <c r="I237" s="98"/>
      <c r="J237" s="118"/>
      <c r="K237" s="95"/>
      <c r="L237" s="41"/>
      <c r="M237" s="41"/>
      <c r="N237" s="41"/>
      <c r="O237" s="41"/>
      <c r="P237" s="41"/>
      <c r="Q237" s="41"/>
      <c r="R237" s="41"/>
      <c r="S237" s="95"/>
      <c r="T237" s="41"/>
      <c r="U237" s="41"/>
      <c r="V237" s="42"/>
      <c r="W237" s="95"/>
      <c r="X237" s="41"/>
      <c r="Y237" s="41"/>
      <c r="Z237" s="41"/>
      <c r="AA237" s="41"/>
      <c r="AB237" s="42"/>
      <c r="AC237" s="95"/>
      <c r="AD237" s="41"/>
      <c r="AE237" s="41"/>
      <c r="AF237" s="41"/>
      <c r="AG237" s="42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2"/>
    </row>
    <row r="238" spans="1:47" x14ac:dyDescent="0.25">
      <c r="C238" s="127">
        <f t="shared" si="203"/>
        <v>45668</v>
      </c>
      <c r="D238" s="274"/>
      <c r="E238" s="54"/>
      <c r="F238" s="53"/>
      <c r="G238" s="129"/>
      <c r="H238" s="297"/>
      <c r="I238" s="98"/>
      <c r="J238" s="118"/>
      <c r="K238" s="95"/>
      <c r="L238" s="41"/>
      <c r="M238" s="41"/>
      <c r="N238" s="41"/>
      <c r="O238" s="41"/>
      <c r="P238" s="41"/>
      <c r="Q238" s="41"/>
      <c r="R238" s="41"/>
      <c r="S238" s="95"/>
      <c r="T238" s="41"/>
      <c r="U238" s="41"/>
      <c r="V238" s="42"/>
      <c r="W238" s="95"/>
      <c r="X238" s="41"/>
      <c r="Y238" s="41"/>
      <c r="Z238" s="41"/>
      <c r="AA238" s="41"/>
      <c r="AB238" s="42"/>
      <c r="AC238" s="95"/>
      <c r="AD238" s="41"/>
      <c r="AE238" s="41"/>
      <c r="AF238" s="41"/>
      <c r="AG238" s="42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2"/>
    </row>
    <row r="239" spans="1:47" x14ac:dyDescent="0.25">
      <c r="A239" s="21">
        <v>52</v>
      </c>
      <c r="C239" s="239">
        <f t="shared" si="203"/>
        <v>45669</v>
      </c>
      <c r="D239" s="274"/>
      <c r="E239" s="54"/>
      <c r="F239" s="53"/>
      <c r="G239" s="129"/>
      <c r="H239" s="297">
        <f>'Boat Expansion'!I1016</f>
        <v>0</v>
      </c>
      <c r="I239" s="98"/>
      <c r="J239" s="118"/>
      <c r="K239" s="95"/>
      <c r="L239" s="41"/>
      <c r="M239" s="41"/>
      <c r="N239" s="41"/>
      <c r="O239" s="41"/>
      <c r="P239" s="41"/>
      <c r="Q239" s="41"/>
      <c r="R239" s="41"/>
      <c r="S239" s="95"/>
      <c r="T239" s="41"/>
      <c r="U239" s="41"/>
      <c r="V239" s="42"/>
      <c r="W239" s="95"/>
      <c r="X239" s="41"/>
      <c r="Y239" s="41"/>
      <c r="Z239" s="41"/>
      <c r="AA239" s="41"/>
      <c r="AB239" s="42"/>
      <c r="AC239" s="95"/>
      <c r="AD239" s="41"/>
      <c r="AE239" s="41"/>
      <c r="AF239" s="41"/>
      <c r="AG239" s="42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2"/>
    </row>
    <row r="240" spans="1:47" x14ac:dyDescent="0.25">
      <c r="C240" s="239">
        <f>C239+1</f>
        <v>45670</v>
      </c>
      <c r="D240" s="274"/>
      <c r="E240" s="54"/>
      <c r="F240" s="53"/>
      <c r="G240" s="129"/>
      <c r="H240" s="297"/>
      <c r="I240" s="98"/>
      <c r="J240" s="118"/>
      <c r="K240" s="95"/>
      <c r="L240" s="41"/>
      <c r="M240" s="41"/>
      <c r="N240" s="41"/>
      <c r="O240" s="41"/>
      <c r="P240" s="41"/>
      <c r="Q240" s="41"/>
      <c r="R240" s="41"/>
      <c r="S240" s="95"/>
      <c r="T240" s="41"/>
      <c r="U240" s="41"/>
      <c r="V240" s="42"/>
      <c r="W240" s="95"/>
      <c r="X240" s="41"/>
      <c r="Y240" s="41"/>
      <c r="Z240" s="41"/>
      <c r="AA240" s="41"/>
      <c r="AB240" s="42"/>
      <c r="AC240" s="95"/>
      <c r="AD240" s="41"/>
      <c r="AE240" s="41"/>
      <c r="AF240" s="41"/>
      <c r="AG240" s="42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2"/>
    </row>
    <row r="241" spans="1:47" x14ac:dyDescent="0.25">
      <c r="C241" s="127">
        <f t="shared" ref="C241:C246" si="204">C240+1</f>
        <v>45671</v>
      </c>
      <c r="D241" s="274"/>
      <c r="E241" s="54"/>
      <c r="F241" s="53"/>
      <c r="G241" s="129"/>
      <c r="H241" s="297"/>
      <c r="I241" s="98"/>
      <c r="J241" s="118"/>
      <c r="K241" s="95"/>
      <c r="L241" s="41"/>
      <c r="M241" s="41"/>
      <c r="N241" s="41"/>
      <c r="O241" s="41"/>
      <c r="P241" s="41"/>
      <c r="Q241" s="41"/>
      <c r="R241" s="41"/>
      <c r="S241" s="95"/>
      <c r="T241" s="41"/>
      <c r="U241" s="41"/>
      <c r="V241" s="42"/>
      <c r="W241" s="95"/>
      <c r="X241" s="41"/>
      <c r="Y241" s="41"/>
      <c r="Z241" s="41"/>
      <c r="AA241" s="41"/>
      <c r="AB241" s="42"/>
      <c r="AC241" s="95"/>
      <c r="AD241" s="41"/>
      <c r="AE241" s="41"/>
      <c r="AF241" s="41"/>
      <c r="AG241" s="42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2"/>
    </row>
    <row r="242" spans="1:47" x14ac:dyDescent="0.25">
      <c r="C242" s="127">
        <f t="shared" si="204"/>
        <v>45672</v>
      </c>
      <c r="D242" s="274"/>
      <c r="E242" s="54"/>
      <c r="F242" s="53"/>
      <c r="G242" s="129"/>
      <c r="H242" s="297"/>
      <c r="I242" s="98"/>
      <c r="J242" s="118"/>
      <c r="K242" s="95"/>
      <c r="L242" s="41"/>
      <c r="M242" s="41"/>
      <c r="N242" s="41"/>
      <c r="O242" s="41"/>
      <c r="P242" s="41"/>
      <c r="Q242" s="41"/>
      <c r="R242" s="41"/>
      <c r="S242" s="95"/>
      <c r="T242" s="41"/>
      <c r="U242" s="41"/>
      <c r="V242" s="42"/>
      <c r="W242" s="95"/>
      <c r="X242" s="41"/>
      <c r="Y242" s="41"/>
      <c r="Z242" s="41"/>
      <c r="AA242" s="41"/>
      <c r="AB242" s="42"/>
      <c r="AC242" s="95"/>
      <c r="AD242" s="41"/>
      <c r="AE242" s="41"/>
      <c r="AF242" s="41"/>
      <c r="AG242" s="42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2"/>
    </row>
    <row r="243" spans="1:47" x14ac:dyDescent="0.25">
      <c r="C243" s="127">
        <f t="shared" si="204"/>
        <v>45673</v>
      </c>
      <c r="D243" s="274"/>
      <c r="E243" s="54"/>
      <c r="F243" s="53"/>
      <c r="G243" s="129"/>
      <c r="H243" s="297"/>
      <c r="I243" s="98"/>
      <c r="J243" s="118"/>
      <c r="K243" s="95"/>
      <c r="L243" s="41"/>
      <c r="M243" s="41"/>
      <c r="N243" s="41"/>
      <c r="O243" s="41"/>
      <c r="P243" s="41"/>
      <c r="Q243" s="41"/>
      <c r="R243" s="41"/>
      <c r="S243" s="95"/>
      <c r="T243" s="41"/>
      <c r="U243" s="41"/>
      <c r="V243" s="42"/>
      <c r="W243" s="95"/>
      <c r="X243" s="41"/>
      <c r="Y243" s="41"/>
      <c r="Z243" s="41"/>
      <c r="AA243" s="41"/>
      <c r="AB243" s="42"/>
      <c r="AC243" s="95"/>
      <c r="AD243" s="41"/>
      <c r="AE243" s="41"/>
      <c r="AF243" s="41"/>
      <c r="AG243" s="42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2"/>
    </row>
    <row r="244" spans="1:47" x14ac:dyDescent="0.25">
      <c r="A244" s="21">
        <v>53</v>
      </c>
      <c r="C244" s="127">
        <f t="shared" si="204"/>
        <v>45674</v>
      </c>
      <c r="D244" s="274"/>
      <c r="E244" s="54"/>
      <c r="F244" s="53"/>
      <c r="G244" s="129"/>
      <c r="H244" s="297">
        <f>'Boat Expansion'!I1046</f>
        <v>0</v>
      </c>
      <c r="I244" s="98"/>
      <c r="J244" s="118"/>
      <c r="K244" s="95"/>
      <c r="L244" s="41"/>
      <c r="M244" s="41"/>
      <c r="N244" s="41"/>
      <c r="O244" s="41"/>
      <c r="P244" s="41"/>
      <c r="Q244" s="41"/>
      <c r="R244" s="41"/>
      <c r="S244" s="95"/>
      <c r="T244" s="41"/>
      <c r="U244" s="41"/>
      <c r="V244" s="42"/>
      <c r="W244" s="95"/>
      <c r="X244" s="41"/>
      <c r="Y244" s="41"/>
      <c r="Z244" s="41"/>
      <c r="AA244" s="41"/>
      <c r="AB244" s="42"/>
      <c r="AC244" s="95"/>
      <c r="AD244" s="41"/>
      <c r="AE244" s="41"/>
      <c r="AF244" s="41"/>
      <c r="AG244" s="42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2"/>
    </row>
    <row r="245" spans="1:47" x14ac:dyDescent="0.25">
      <c r="C245" s="127">
        <f t="shared" si="204"/>
        <v>45675</v>
      </c>
      <c r="D245" s="274"/>
      <c r="E245" s="54"/>
      <c r="F245" s="53"/>
      <c r="G245" s="129"/>
      <c r="H245" s="297">
        <f>'Boat Expansion'!I1052</f>
        <v>0</v>
      </c>
      <c r="I245" s="98"/>
      <c r="J245" s="118"/>
      <c r="K245" s="95"/>
      <c r="L245" s="41"/>
      <c r="M245" s="41"/>
      <c r="N245" s="41"/>
      <c r="O245" s="41"/>
      <c r="P245" s="41"/>
      <c r="Q245" s="41"/>
      <c r="R245" s="41"/>
      <c r="S245" s="95"/>
      <c r="T245" s="41"/>
      <c r="U245" s="41"/>
      <c r="V245" s="42"/>
      <c r="W245" s="95"/>
      <c r="X245" s="41"/>
      <c r="Y245" s="41"/>
      <c r="Z245" s="41"/>
      <c r="AA245" s="41"/>
      <c r="AB245" s="42"/>
      <c r="AC245" s="95"/>
      <c r="AD245" s="41"/>
      <c r="AE245" s="41"/>
      <c r="AF245" s="41"/>
      <c r="AG245" s="42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2"/>
    </row>
    <row r="246" spans="1:47" x14ac:dyDescent="0.25">
      <c r="C246" s="239">
        <f t="shared" si="204"/>
        <v>45676</v>
      </c>
      <c r="D246" s="274"/>
      <c r="E246" s="54"/>
      <c r="F246" s="53"/>
      <c r="G246" s="129"/>
      <c r="H246" s="297"/>
      <c r="I246" s="98"/>
      <c r="J246" s="118"/>
      <c r="K246" s="95"/>
      <c r="L246" s="41"/>
      <c r="M246" s="41"/>
      <c r="N246" s="41"/>
      <c r="O246" s="41"/>
      <c r="P246" s="41"/>
      <c r="Q246" s="41"/>
      <c r="R246" s="41"/>
      <c r="S246" s="95"/>
      <c r="T246" s="41"/>
      <c r="U246" s="41"/>
      <c r="V246" s="42"/>
      <c r="W246" s="95"/>
      <c r="X246" s="41"/>
      <c r="Y246" s="41"/>
      <c r="Z246" s="41"/>
      <c r="AA246" s="41"/>
      <c r="AB246" s="42"/>
      <c r="AC246" s="95"/>
      <c r="AD246" s="41"/>
      <c r="AE246" s="41"/>
      <c r="AF246" s="41"/>
      <c r="AG246" s="42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2"/>
    </row>
    <row r="247" spans="1:47" x14ac:dyDescent="0.25">
      <c r="C247" s="239">
        <f>C246+1</f>
        <v>45677</v>
      </c>
      <c r="D247" s="274"/>
      <c r="E247" s="54"/>
      <c r="F247" s="53"/>
      <c r="G247" s="129"/>
      <c r="H247" s="297"/>
      <c r="I247" s="98"/>
      <c r="J247" s="118"/>
      <c r="K247" s="95"/>
      <c r="L247" s="41"/>
      <c r="M247" s="41"/>
      <c r="N247" s="41"/>
      <c r="O247" s="41"/>
      <c r="P247" s="41"/>
      <c r="Q247" s="41"/>
      <c r="R247" s="41"/>
      <c r="S247" s="95"/>
      <c r="T247" s="41"/>
      <c r="U247" s="41"/>
      <c r="V247" s="42"/>
      <c r="W247" s="95"/>
      <c r="X247" s="41"/>
      <c r="Y247" s="41"/>
      <c r="Z247" s="41"/>
      <c r="AA247" s="41"/>
      <c r="AB247" s="42"/>
      <c r="AC247" s="95"/>
      <c r="AD247" s="41"/>
      <c r="AE247" s="41"/>
      <c r="AF247" s="41"/>
      <c r="AG247" s="42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2"/>
    </row>
    <row r="248" spans="1:47" x14ac:dyDescent="0.25">
      <c r="C248" s="127">
        <f t="shared" ref="C248:C256" si="205">C247+1</f>
        <v>45678</v>
      </c>
      <c r="D248" s="274"/>
      <c r="E248" s="54"/>
      <c r="F248" s="53"/>
      <c r="G248" s="129"/>
      <c r="H248" s="297"/>
      <c r="I248" s="98"/>
      <c r="J248" s="118"/>
      <c r="K248" s="95"/>
      <c r="L248" s="41"/>
      <c r="M248" s="41"/>
      <c r="N248" s="41"/>
      <c r="O248" s="41"/>
      <c r="P248" s="41"/>
      <c r="Q248" s="41"/>
      <c r="R248" s="41"/>
      <c r="S248" s="95"/>
      <c r="T248" s="41"/>
      <c r="U248" s="41"/>
      <c r="V248" s="42"/>
      <c r="W248" s="95"/>
      <c r="X248" s="41"/>
      <c r="Y248" s="41"/>
      <c r="Z248" s="41"/>
      <c r="AA248" s="41"/>
      <c r="AB248" s="42"/>
      <c r="AC248" s="95"/>
      <c r="AD248" s="41"/>
      <c r="AE248" s="41"/>
      <c r="AF248" s="41"/>
      <c r="AG248" s="42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2"/>
    </row>
    <row r="249" spans="1:47" x14ac:dyDescent="0.25">
      <c r="C249" s="127">
        <f t="shared" si="205"/>
        <v>45679</v>
      </c>
      <c r="D249" s="274"/>
      <c r="E249" s="54"/>
      <c r="F249" s="53"/>
      <c r="G249" s="129"/>
      <c r="H249" s="297"/>
      <c r="I249" s="98"/>
      <c r="J249" s="118"/>
      <c r="K249" s="95"/>
      <c r="L249" s="41"/>
      <c r="M249" s="41"/>
      <c r="N249" s="41"/>
      <c r="O249" s="41"/>
      <c r="P249" s="41"/>
      <c r="Q249" s="41"/>
      <c r="R249" s="41"/>
      <c r="S249" s="95"/>
      <c r="T249" s="41"/>
      <c r="U249" s="41"/>
      <c r="V249" s="42"/>
      <c r="W249" s="95"/>
      <c r="X249" s="41"/>
      <c r="Y249" s="41"/>
      <c r="Z249" s="41"/>
      <c r="AA249" s="41"/>
      <c r="AB249" s="42"/>
      <c r="AC249" s="95"/>
      <c r="AD249" s="41"/>
      <c r="AE249" s="41"/>
      <c r="AF249" s="41"/>
      <c r="AG249" s="42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2"/>
    </row>
    <row r="250" spans="1:47" x14ac:dyDescent="0.25">
      <c r="C250" s="127">
        <f t="shared" si="205"/>
        <v>45680</v>
      </c>
      <c r="D250" s="274"/>
      <c r="E250" s="54"/>
      <c r="F250" s="53"/>
      <c r="G250" s="129"/>
      <c r="H250" s="297"/>
      <c r="I250" s="98"/>
      <c r="J250" s="118"/>
      <c r="K250" s="95"/>
      <c r="L250" s="41"/>
      <c r="M250" s="41"/>
      <c r="N250" s="41"/>
      <c r="O250" s="41"/>
      <c r="P250" s="41"/>
      <c r="Q250" s="41"/>
      <c r="R250" s="41"/>
      <c r="S250" s="95"/>
      <c r="T250" s="41"/>
      <c r="U250" s="41"/>
      <c r="V250" s="42"/>
      <c r="W250" s="95"/>
      <c r="X250" s="41"/>
      <c r="Y250" s="41"/>
      <c r="Z250" s="41"/>
      <c r="AA250" s="41"/>
      <c r="AB250" s="42"/>
      <c r="AC250" s="95"/>
      <c r="AD250" s="41"/>
      <c r="AE250" s="41"/>
      <c r="AF250" s="41"/>
      <c r="AG250" s="42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2"/>
    </row>
    <row r="251" spans="1:47" x14ac:dyDescent="0.25">
      <c r="C251" s="127">
        <f t="shared" si="205"/>
        <v>45681</v>
      </c>
      <c r="D251" s="274"/>
      <c r="E251" s="54"/>
      <c r="F251" s="53"/>
      <c r="G251" s="129"/>
      <c r="H251" s="297">
        <f>'Boat Expansion'!I1088</f>
        <v>0</v>
      </c>
      <c r="I251" s="98"/>
      <c r="J251" s="118"/>
      <c r="K251" s="95"/>
      <c r="L251" s="41"/>
      <c r="M251" s="41"/>
      <c r="N251" s="41"/>
      <c r="O251" s="41"/>
      <c r="P251" s="41"/>
      <c r="Q251" s="41"/>
      <c r="R251" s="41"/>
      <c r="S251" s="95"/>
      <c r="T251" s="41"/>
      <c r="U251" s="41"/>
      <c r="V251" s="42"/>
      <c r="W251" s="95"/>
      <c r="X251" s="41"/>
      <c r="Y251" s="41"/>
      <c r="Z251" s="41"/>
      <c r="AA251" s="41"/>
      <c r="AB251" s="42"/>
      <c r="AC251" s="95"/>
      <c r="AD251" s="41"/>
      <c r="AE251" s="41"/>
      <c r="AF251" s="41"/>
      <c r="AG251" s="42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2"/>
    </row>
    <row r="252" spans="1:47" x14ac:dyDescent="0.25">
      <c r="C252" s="127">
        <f t="shared" si="205"/>
        <v>45682</v>
      </c>
      <c r="D252" s="274"/>
      <c r="E252" s="54"/>
      <c r="F252" s="53"/>
      <c r="G252" s="129"/>
      <c r="H252" s="297"/>
      <c r="I252" s="98"/>
      <c r="J252" s="118"/>
      <c r="K252" s="95"/>
      <c r="L252" s="41"/>
      <c r="M252" s="41"/>
      <c r="N252" s="41"/>
      <c r="O252" s="41"/>
      <c r="P252" s="41"/>
      <c r="Q252" s="41"/>
      <c r="R252" s="41"/>
      <c r="S252" s="95"/>
      <c r="T252" s="41"/>
      <c r="U252" s="41"/>
      <c r="V252" s="42"/>
      <c r="W252" s="95"/>
      <c r="X252" s="41"/>
      <c r="Y252" s="41"/>
      <c r="Z252" s="41"/>
      <c r="AA252" s="41"/>
      <c r="AB252" s="42"/>
      <c r="AC252" s="95"/>
      <c r="AD252" s="41"/>
      <c r="AE252" s="41"/>
      <c r="AF252" s="41"/>
      <c r="AG252" s="42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2"/>
    </row>
    <row r="253" spans="1:47" x14ac:dyDescent="0.25">
      <c r="C253" s="127">
        <f t="shared" si="205"/>
        <v>45683</v>
      </c>
      <c r="D253" s="274"/>
      <c r="E253" s="54"/>
      <c r="F253" s="53"/>
      <c r="G253" s="129"/>
      <c r="H253" s="297">
        <f>'Boat Expansion'!I1100</f>
        <v>0</v>
      </c>
      <c r="I253" s="98"/>
      <c r="J253" s="118"/>
      <c r="K253" s="95"/>
      <c r="L253" s="41"/>
      <c r="M253" s="41"/>
      <c r="N253" s="41"/>
      <c r="O253" s="41"/>
      <c r="P253" s="41"/>
      <c r="Q253" s="41"/>
      <c r="R253" s="41"/>
      <c r="S253" s="95"/>
      <c r="T253" s="41"/>
      <c r="U253" s="41"/>
      <c r="V253" s="42"/>
      <c r="W253" s="95"/>
      <c r="X253" s="41"/>
      <c r="Y253" s="41"/>
      <c r="Z253" s="41"/>
      <c r="AA253" s="41"/>
      <c r="AB253" s="42"/>
      <c r="AC253" s="95"/>
      <c r="AD253" s="41"/>
      <c r="AE253" s="41"/>
      <c r="AF253" s="41"/>
      <c r="AG253" s="42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2"/>
    </row>
    <row r="254" spans="1:47" x14ac:dyDescent="0.25">
      <c r="C254" s="127">
        <f t="shared" si="205"/>
        <v>45684</v>
      </c>
      <c r="D254" s="274"/>
      <c r="E254" s="54"/>
      <c r="F254" s="53"/>
      <c r="G254" s="129"/>
      <c r="H254" s="297"/>
      <c r="I254" s="98"/>
      <c r="J254" s="118"/>
      <c r="K254" s="95"/>
      <c r="L254" s="41"/>
      <c r="M254" s="41"/>
      <c r="N254" s="41"/>
      <c r="O254" s="41"/>
      <c r="P254" s="41"/>
      <c r="Q254" s="41"/>
      <c r="R254" s="41"/>
      <c r="S254" s="95"/>
      <c r="T254" s="41"/>
      <c r="U254" s="41"/>
      <c r="V254" s="42"/>
      <c r="W254" s="95"/>
      <c r="X254" s="41"/>
      <c r="Y254" s="41"/>
      <c r="Z254" s="41"/>
      <c r="AA254" s="41"/>
      <c r="AB254" s="42"/>
      <c r="AC254" s="95"/>
      <c r="AD254" s="41"/>
      <c r="AE254" s="41"/>
      <c r="AF254" s="41"/>
      <c r="AG254" s="42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2"/>
    </row>
    <row r="255" spans="1:47" x14ac:dyDescent="0.25">
      <c r="C255" s="127">
        <f t="shared" si="205"/>
        <v>45685</v>
      </c>
      <c r="D255" s="274"/>
      <c r="E255" s="54"/>
      <c r="F255" s="53"/>
      <c r="G255" s="129"/>
      <c r="H255" s="297"/>
      <c r="I255" s="98"/>
      <c r="J255" s="118"/>
      <c r="K255" s="95"/>
      <c r="L255" s="41"/>
      <c r="M255" s="41"/>
      <c r="N255" s="41"/>
      <c r="O255" s="41"/>
      <c r="P255" s="41"/>
      <c r="Q255" s="41"/>
      <c r="R255" s="41"/>
      <c r="S255" s="95"/>
      <c r="T255" s="41"/>
      <c r="U255" s="41"/>
      <c r="V255" s="42"/>
      <c r="W255" s="95"/>
      <c r="X255" s="41"/>
      <c r="Y255" s="41"/>
      <c r="Z255" s="41"/>
      <c r="AA255" s="41"/>
      <c r="AB255" s="42"/>
      <c r="AC255" s="95"/>
      <c r="AD255" s="41"/>
      <c r="AE255" s="41"/>
      <c r="AF255" s="41"/>
      <c r="AG255" s="42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2"/>
    </row>
    <row r="256" spans="1:47" ht="16.5" thickBot="1" x14ac:dyDescent="0.3">
      <c r="C256" s="130">
        <f t="shared" si="205"/>
        <v>45686</v>
      </c>
      <c r="D256" s="275"/>
      <c r="E256" s="99"/>
      <c r="F256" s="100"/>
      <c r="G256" s="131"/>
      <c r="H256" s="299"/>
      <c r="I256" s="102"/>
      <c r="J256" s="118"/>
      <c r="K256" s="96"/>
      <c r="L256" s="76"/>
      <c r="M256" s="76"/>
      <c r="N256" s="76"/>
      <c r="O256" s="76"/>
      <c r="P256" s="76"/>
      <c r="Q256" s="76"/>
      <c r="R256" s="76"/>
      <c r="S256" s="96"/>
      <c r="T256" s="76"/>
      <c r="U256" s="76"/>
      <c r="V256" s="77"/>
      <c r="W256" s="96"/>
      <c r="X256" s="76"/>
      <c r="Y256" s="76"/>
      <c r="Z256" s="76"/>
      <c r="AA256" s="76"/>
      <c r="AB256" s="77"/>
      <c r="AC256" s="96"/>
      <c r="AD256" s="76"/>
      <c r="AE256" s="76"/>
      <c r="AF256" s="76"/>
      <c r="AG256" s="77"/>
      <c r="AH256" s="76"/>
      <c r="AI256" s="76"/>
      <c r="AJ256" s="76"/>
      <c r="AK256" s="76"/>
      <c r="AL256" s="76"/>
      <c r="AM256" s="76"/>
      <c r="AN256" s="76"/>
      <c r="AO256" s="76"/>
      <c r="AP256" s="76"/>
      <c r="AQ256" s="76"/>
      <c r="AR256" s="76"/>
      <c r="AS256" s="76"/>
      <c r="AT256" s="76"/>
      <c r="AU256" s="77"/>
    </row>
    <row r="257" spans="3:47" ht="17.25" thickTop="1" thickBot="1" x14ac:dyDescent="0.3">
      <c r="C257" s="132" t="s">
        <v>17</v>
      </c>
      <c r="D257" s="276"/>
      <c r="E257" s="133">
        <f>SUM(E226:E256)</f>
        <v>0</v>
      </c>
      <c r="F257" s="101">
        <f>SUM(F226:F256)</f>
        <v>0</v>
      </c>
      <c r="G257" s="134">
        <f>SUM(G226:G256)</f>
        <v>0</v>
      </c>
      <c r="H257" s="300">
        <f>SUM(H226:H256)</f>
        <v>0</v>
      </c>
      <c r="I257" s="56" t="e">
        <f>E257/H257</f>
        <v>#DIV/0!</v>
      </c>
      <c r="J257" s="146"/>
      <c r="K257" s="166">
        <f t="shared" ref="K257:AU257" si="206">SUM(K226:K256)</f>
        <v>0</v>
      </c>
      <c r="L257" s="167">
        <f t="shared" si="206"/>
        <v>0</v>
      </c>
      <c r="M257" s="167">
        <f t="shared" si="206"/>
        <v>0</v>
      </c>
      <c r="N257" s="167">
        <f t="shared" si="206"/>
        <v>0</v>
      </c>
      <c r="O257" s="167">
        <f t="shared" si="206"/>
        <v>0</v>
      </c>
      <c r="P257" s="167">
        <f t="shared" si="206"/>
        <v>0</v>
      </c>
      <c r="Q257" s="167">
        <f t="shared" si="206"/>
        <v>0</v>
      </c>
      <c r="R257" s="168">
        <f t="shared" si="206"/>
        <v>0</v>
      </c>
      <c r="S257" s="166">
        <f t="shared" si="206"/>
        <v>0</v>
      </c>
      <c r="T257" s="167">
        <f t="shared" si="206"/>
        <v>0</v>
      </c>
      <c r="U257" s="167">
        <f t="shared" si="206"/>
        <v>0</v>
      </c>
      <c r="V257" s="168">
        <f t="shared" si="206"/>
        <v>0</v>
      </c>
      <c r="W257" s="166">
        <f t="shared" si="206"/>
        <v>0</v>
      </c>
      <c r="X257" s="167">
        <f t="shared" si="206"/>
        <v>0</v>
      </c>
      <c r="Y257" s="167">
        <f t="shared" si="206"/>
        <v>0</v>
      </c>
      <c r="Z257" s="167">
        <f t="shared" si="206"/>
        <v>0</v>
      </c>
      <c r="AA257" s="167">
        <f t="shared" si="206"/>
        <v>0</v>
      </c>
      <c r="AB257" s="168">
        <f t="shared" si="206"/>
        <v>0</v>
      </c>
      <c r="AC257" s="166">
        <f t="shared" si="206"/>
        <v>0</v>
      </c>
      <c r="AD257" s="167">
        <f t="shared" si="206"/>
        <v>0</v>
      </c>
      <c r="AE257" s="167">
        <f t="shared" si="206"/>
        <v>0</v>
      </c>
      <c r="AF257" s="167">
        <f t="shared" si="206"/>
        <v>0</v>
      </c>
      <c r="AG257" s="168">
        <f t="shared" si="206"/>
        <v>0</v>
      </c>
      <c r="AH257" s="166">
        <f t="shared" si="206"/>
        <v>0</v>
      </c>
      <c r="AI257" s="167">
        <f t="shared" si="206"/>
        <v>0</v>
      </c>
      <c r="AJ257" s="167">
        <f t="shared" si="206"/>
        <v>0</v>
      </c>
      <c r="AK257" s="167">
        <f t="shared" si="206"/>
        <v>0</v>
      </c>
      <c r="AL257" s="167">
        <f t="shared" si="206"/>
        <v>0</v>
      </c>
      <c r="AM257" s="167">
        <f t="shared" si="206"/>
        <v>0</v>
      </c>
      <c r="AN257" s="167">
        <f t="shared" si="206"/>
        <v>0</v>
      </c>
      <c r="AO257" s="167">
        <f t="shared" si="206"/>
        <v>0</v>
      </c>
      <c r="AP257" s="167">
        <f t="shared" si="206"/>
        <v>0</v>
      </c>
      <c r="AQ257" s="167">
        <f t="shared" si="206"/>
        <v>0</v>
      </c>
      <c r="AR257" s="167">
        <f t="shared" si="206"/>
        <v>0</v>
      </c>
      <c r="AS257" s="167">
        <f t="shared" si="206"/>
        <v>0</v>
      </c>
      <c r="AT257" s="167">
        <f t="shared" si="206"/>
        <v>0</v>
      </c>
      <c r="AU257" s="168">
        <f t="shared" si="206"/>
        <v>0</v>
      </c>
    </row>
    <row r="258" spans="3:47" ht="16.5" thickBot="1" x14ac:dyDescent="0.3">
      <c r="K258" s="163" t="e">
        <f>K257/$I257</f>
        <v>#DIV/0!</v>
      </c>
      <c r="L258" s="164" t="e">
        <f t="shared" ref="L258:AO258" si="207">L257/$I257</f>
        <v>#DIV/0!</v>
      </c>
      <c r="M258" s="164" t="e">
        <f t="shared" si="207"/>
        <v>#DIV/0!</v>
      </c>
      <c r="N258" s="164" t="e">
        <f t="shared" si="207"/>
        <v>#DIV/0!</v>
      </c>
      <c r="O258" s="164" t="e">
        <f t="shared" si="207"/>
        <v>#DIV/0!</v>
      </c>
      <c r="P258" s="164" t="e">
        <f t="shared" si="207"/>
        <v>#DIV/0!</v>
      </c>
      <c r="Q258" s="164" t="e">
        <f t="shared" si="207"/>
        <v>#DIV/0!</v>
      </c>
      <c r="R258" s="164" t="e">
        <f t="shared" si="207"/>
        <v>#DIV/0!</v>
      </c>
      <c r="S258" s="163" t="e">
        <f t="shared" si="207"/>
        <v>#DIV/0!</v>
      </c>
      <c r="T258" s="164" t="e">
        <f t="shared" si="207"/>
        <v>#DIV/0!</v>
      </c>
      <c r="U258" s="164" t="e">
        <f t="shared" si="207"/>
        <v>#DIV/0!</v>
      </c>
      <c r="V258" s="165" t="e">
        <f t="shared" si="207"/>
        <v>#DIV/0!</v>
      </c>
      <c r="W258" s="164" t="e">
        <f t="shared" si="207"/>
        <v>#DIV/0!</v>
      </c>
      <c r="X258" s="164" t="e">
        <f t="shared" si="207"/>
        <v>#DIV/0!</v>
      </c>
      <c r="Y258" s="164" t="e">
        <f t="shared" si="207"/>
        <v>#DIV/0!</v>
      </c>
      <c r="Z258" s="164" t="e">
        <f t="shared" si="207"/>
        <v>#DIV/0!</v>
      </c>
      <c r="AA258" s="164" t="e">
        <f t="shared" si="207"/>
        <v>#DIV/0!</v>
      </c>
      <c r="AB258" s="164" t="e">
        <f t="shared" si="207"/>
        <v>#DIV/0!</v>
      </c>
      <c r="AC258" s="163" t="e">
        <f t="shared" si="207"/>
        <v>#DIV/0!</v>
      </c>
      <c r="AD258" s="164" t="e">
        <f t="shared" si="207"/>
        <v>#DIV/0!</v>
      </c>
      <c r="AE258" s="164" t="e">
        <f t="shared" si="207"/>
        <v>#DIV/0!</v>
      </c>
      <c r="AF258" s="164" t="e">
        <f t="shared" si="207"/>
        <v>#DIV/0!</v>
      </c>
      <c r="AG258" s="165" t="e">
        <f t="shared" si="207"/>
        <v>#DIV/0!</v>
      </c>
      <c r="AH258" s="164" t="e">
        <f t="shared" si="207"/>
        <v>#DIV/0!</v>
      </c>
      <c r="AI258" s="164" t="e">
        <f t="shared" si="207"/>
        <v>#DIV/0!</v>
      </c>
      <c r="AJ258" s="164" t="e">
        <f t="shared" si="207"/>
        <v>#DIV/0!</v>
      </c>
      <c r="AK258" s="164" t="e">
        <f t="shared" si="207"/>
        <v>#DIV/0!</v>
      </c>
      <c r="AL258" s="164" t="e">
        <f t="shared" si="207"/>
        <v>#DIV/0!</v>
      </c>
      <c r="AM258" s="164" t="e">
        <f t="shared" si="207"/>
        <v>#DIV/0!</v>
      </c>
      <c r="AN258" s="164" t="e">
        <f t="shared" si="207"/>
        <v>#DIV/0!</v>
      </c>
      <c r="AO258" s="164" t="e">
        <f t="shared" si="207"/>
        <v>#DIV/0!</v>
      </c>
      <c r="AP258" s="164" t="e">
        <f t="shared" ref="AP258:AQ258" si="208">AP257/$I257</f>
        <v>#DIV/0!</v>
      </c>
      <c r="AQ258" s="164" t="e">
        <f t="shared" si="208"/>
        <v>#DIV/0!</v>
      </c>
      <c r="AR258" s="164" t="e">
        <f t="shared" ref="AR258:AU258" si="209">AR257/$I257</f>
        <v>#DIV/0!</v>
      </c>
      <c r="AS258" s="164" t="e">
        <f t="shared" si="209"/>
        <v>#DIV/0!</v>
      </c>
      <c r="AT258" s="164" t="e">
        <f t="shared" si="209"/>
        <v>#DIV/0!</v>
      </c>
      <c r="AU258" s="165" t="e">
        <f t="shared" si="209"/>
        <v>#DIV/0!</v>
      </c>
    </row>
    <row r="259" spans="3:47" ht="16.5" thickBot="1" x14ac:dyDescent="0.3">
      <c r="E259" s="234">
        <f>COUNT(E260:E287)</f>
        <v>0</v>
      </c>
    </row>
    <row r="260" spans="3:47" x14ac:dyDescent="0.25">
      <c r="C260" s="154">
        <f>C256+1</f>
        <v>45687</v>
      </c>
      <c r="D260" s="278"/>
      <c r="E260" s="155"/>
      <c r="F260" s="103"/>
      <c r="G260" s="156"/>
      <c r="H260" s="302"/>
      <c r="I260" s="104"/>
      <c r="J260" s="118"/>
      <c r="K260" s="157"/>
      <c r="L260" s="158"/>
      <c r="M260" s="158"/>
      <c r="N260" s="158"/>
      <c r="O260" s="158"/>
      <c r="P260" s="158"/>
      <c r="Q260" s="158"/>
      <c r="R260" s="158"/>
      <c r="S260" s="157"/>
      <c r="T260" s="158"/>
      <c r="U260" s="158"/>
      <c r="V260" s="159"/>
      <c r="W260" s="157"/>
      <c r="X260" s="158"/>
      <c r="Y260" s="158"/>
      <c r="Z260" s="158"/>
      <c r="AA260" s="158"/>
      <c r="AB260" s="159"/>
      <c r="AC260" s="157"/>
      <c r="AD260" s="158"/>
      <c r="AE260" s="158"/>
      <c r="AF260" s="158"/>
      <c r="AG260" s="159"/>
      <c r="AH260" s="158"/>
      <c r="AI260" s="158"/>
      <c r="AJ260" s="158"/>
      <c r="AK260" s="158"/>
      <c r="AL260" s="158"/>
      <c r="AM260" s="158"/>
      <c r="AN260" s="158"/>
      <c r="AO260" s="158"/>
      <c r="AP260" s="158"/>
      <c r="AQ260" s="158"/>
      <c r="AR260" s="158"/>
      <c r="AS260" s="158"/>
      <c r="AT260" s="158"/>
      <c r="AU260" s="159"/>
    </row>
    <row r="261" spans="3:47" x14ac:dyDescent="0.25">
      <c r="C261" s="127">
        <f t="shared" ref="C261:C266" si="210">C260+1</f>
        <v>45688</v>
      </c>
      <c r="D261" s="274"/>
      <c r="E261" s="54"/>
      <c r="F261" s="53"/>
      <c r="G261" s="129"/>
      <c r="H261" s="297">
        <f>'Boat Expansion'!I1130</f>
        <v>0</v>
      </c>
      <c r="I261" s="98"/>
      <c r="J261" s="118"/>
      <c r="K261" s="95"/>
      <c r="L261" s="41"/>
      <c r="M261" s="41"/>
      <c r="N261" s="41"/>
      <c r="O261" s="41"/>
      <c r="P261" s="41"/>
      <c r="Q261" s="41"/>
      <c r="R261" s="41"/>
      <c r="S261" s="95"/>
      <c r="T261" s="41"/>
      <c r="U261" s="41"/>
      <c r="V261" s="42"/>
      <c r="W261" s="95"/>
      <c r="X261" s="41"/>
      <c r="Y261" s="41"/>
      <c r="Z261" s="41"/>
      <c r="AA261" s="41"/>
      <c r="AB261" s="42"/>
      <c r="AC261" s="95"/>
      <c r="AD261" s="41"/>
      <c r="AE261" s="41"/>
      <c r="AF261" s="41"/>
      <c r="AG261" s="42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2"/>
    </row>
    <row r="262" spans="3:47" x14ac:dyDescent="0.25">
      <c r="C262" s="127">
        <f t="shared" si="210"/>
        <v>45689</v>
      </c>
      <c r="D262" s="274"/>
      <c r="E262" s="54"/>
      <c r="F262" s="53"/>
      <c r="G262" s="129"/>
      <c r="H262" s="297">
        <f>'Boat Expansion'!I1136</f>
        <v>0</v>
      </c>
      <c r="I262" s="98"/>
      <c r="J262" s="118"/>
      <c r="K262" s="95"/>
      <c r="L262" s="41"/>
      <c r="M262" s="41"/>
      <c r="N262" s="41"/>
      <c r="O262" s="41"/>
      <c r="P262" s="41"/>
      <c r="Q262" s="41"/>
      <c r="R262" s="41"/>
      <c r="S262" s="95"/>
      <c r="T262" s="41"/>
      <c r="U262" s="41"/>
      <c r="V262" s="42"/>
      <c r="W262" s="95"/>
      <c r="X262" s="41"/>
      <c r="Y262" s="41"/>
      <c r="Z262" s="41"/>
      <c r="AA262" s="41"/>
      <c r="AB262" s="42"/>
      <c r="AC262" s="95"/>
      <c r="AD262" s="41"/>
      <c r="AE262" s="41"/>
      <c r="AF262" s="41"/>
      <c r="AG262" s="42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2"/>
    </row>
    <row r="263" spans="3:47" x14ac:dyDescent="0.25">
      <c r="C263" s="127">
        <f t="shared" si="210"/>
        <v>45690</v>
      </c>
      <c r="D263" s="274"/>
      <c r="E263" s="54"/>
      <c r="F263" s="53"/>
      <c r="G263" s="129"/>
      <c r="H263" s="297"/>
      <c r="I263" s="98"/>
      <c r="J263" s="118"/>
      <c r="K263" s="95"/>
      <c r="L263" s="41"/>
      <c r="M263" s="41"/>
      <c r="N263" s="41"/>
      <c r="O263" s="41"/>
      <c r="P263" s="41"/>
      <c r="Q263" s="41"/>
      <c r="R263" s="41"/>
      <c r="S263" s="95"/>
      <c r="T263" s="41"/>
      <c r="U263" s="41"/>
      <c r="V263" s="42"/>
      <c r="W263" s="95"/>
      <c r="X263" s="41"/>
      <c r="Y263" s="41"/>
      <c r="Z263" s="41"/>
      <c r="AA263" s="41"/>
      <c r="AB263" s="42"/>
      <c r="AC263" s="95"/>
      <c r="AD263" s="41"/>
      <c r="AE263" s="41"/>
      <c r="AF263" s="41"/>
      <c r="AG263" s="42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2"/>
    </row>
    <row r="264" spans="3:47" x14ac:dyDescent="0.25">
      <c r="C264" s="127">
        <f t="shared" si="210"/>
        <v>45691</v>
      </c>
      <c r="D264" s="274"/>
      <c r="E264" s="54"/>
      <c r="F264" s="53"/>
      <c r="G264" s="129"/>
      <c r="H264" s="297"/>
      <c r="I264" s="98"/>
      <c r="J264" s="118"/>
      <c r="K264" s="95"/>
      <c r="L264" s="41"/>
      <c r="M264" s="41"/>
      <c r="N264" s="41"/>
      <c r="O264" s="41"/>
      <c r="P264" s="41"/>
      <c r="Q264" s="41"/>
      <c r="R264" s="41"/>
      <c r="S264" s="95"/>
      <c r="T264" s="41"/>
      <c r="U264" s="41"/>
      <c r="V264" s="42"/>
      <c r="W264" s="95"/>
      <c r="X264" s="41"/>
      <c r="Y264" s="41"/>
      <c r="Z264" s="41"/>
      <c r="AA264" s="41"/>
      <c r="AB264" s="42"/>
      <c r="AC264" s="95"/>
      <c r="AD264" s="41"/>
      <c r="AE264" s="41"/>
      <c r="AF264" s="41"/>
      <c r="AG264" s="42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2"/>
    </row>
    <row r="265" spans="3:47" x14ac:dyDescent="0.25">
      <c r="C265" s="127">
        <f t="shared" si="210"/>
        <v>45692</v>
      </c>
      <c r="D265" s="274"/>
      <c r="E265" s="54"/>
      <c r="F265" s="53"/>
      <c r="G265" s="129"/>
      <c r="H265" s="297"/>
      <c r="I265" s="98"/>
      <c r="J265" s="118"/>
      <c r="K265" s="95"/>
      <c r="L265" s="41"/>
      <c r="M265" s="41"/>
      <c r="N265" s="41"/>
      <c r="O265" s="41"/>
      <c r="P265" s="41"/>
      <c r="Q265" s="41"/>
      <c r="R265" s="41"/>
      <c r="S265" s="95"/>
      <c r="T265" s="41"/>
      <c r="U265" s="41"/>
      <c r="V265" s="42"/>
      <c r="W265" s="95"/>
      <c r="X265" s="41"/>
      <c r="Y265" s="41"/>
      <c r="Z265" s="41"/>
      <c r="AA265" s="41"/>
      <c r="AB265" s="42"/>
      <c r="AC265" s="95"/>
      <c r="AD265" s="41"/>
      <c r="AE265" s="41"/>
      <c r="AF265" s="41"/>
      <c r="AG265" s="42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2"/>
    </row>
    <row r="266" spans="3:47" x14ac:dyDescent="0.25">
      <c r="C266" s="239">
        <f t="shared" si="210"/>
        <v>45693</v>
      </c>
      <c r="D266" s="274"/>
      <c r="E266" s="54"/>
      <c r="F266" s="53"/>
      <c r="G266" s="129"/>
      <c r="H266" s="297"/>
      <c r="I266" s="98"/>
      <c r="J266" s="118"/>
      <c r="K266" s="95"/>
      <c r="L266" s="41"/>
      <c r="M266" s="41"/>
      <c r="N266" s="41"/>
      <c r="O266" s="41"/>
      <c r="P266" s="41"/>
      <c r="Q266" s="41"/>
      <c r="R266" s="41"/>
      <c r="S266" s="95"/>
      <c r="T266" s="41"/>
      <c r="U266" s="41"/>
      <c r="V266" s="42"/>
      <c r="W266" s="95"/>
      <c r="X266" s="41"/>
      <c r="Y266" s="41"/>
      <c r="Z266" s="41"/>
      <c r="AA266" s="41"/>
      <c r="AB266" s="42"/>
      <c r="AC266" s="95"/>
      <c r="AD266" s="41"/>
      <c r="AE266" s="41"/>
      <c r="AF266" s="41"/>
      <c r="AG266" s="42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2"/>
    </row>
    <row r="267" spans="3:47" x14ac:dyDescent="0.25">
      <c r="C267" s="239">
        <f>C266+1</f>
        <v>45694</v>
      </c>
      <c r="D267" s="274"/>
      <c r="E267" s="54"/>
      <c r="F267" s="53"/>
      <c r="G267" s="129"/>
      <c r="H267" s="297"/>
      <c r="I267" s="98"/>
      <c r="J267" s="118"/>
      <c r="K267" s="95"/>
      <c r="L267" s="41"/>
      <c r="M267" s="41"/>
      <c r="N267" s="41"/>
      <c r="O267" s="41"/>
      <c r="P267" s="41"/>
      <c r="Q267" s="41"/>
      <c r="R267" s="41"/>
      <c r="S267" s="95"/>
      <c r="T267" s="41"/>
      <c r="U267" s="41"/>
      <c r="V267" s="42"/>
      <c r="W267" s="95"/>
      <c r="X267" s="41"/>
      <c r="Y267" s="41"/>
      <c r="Z267" s="41"/>
      <c r="AA267" s="41"/>
      <c r="AB267" s="42"/>
      <c r="AC267" s="95"/>
      <c r="AD267" s="41"/>
      <c r="AE267" s="41"/>
      <c r="AF267" s="41"/>
      <c r="AG267" s="42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2"/>
    </row>
    <row r="268" spans="3:47" x14ac:dyDescent="0.25">
      <c r="C268" s="127">
        <f t="shared" ref="C268:C273" si="211">C267+1</f>
        <v>45695</v>
      </c>
      <c r="D268" s="274"/>
      <c r="E268" s="54"/>
      <c r="F268" s="53"/>
      <c r="G268" s="129"/>
      <c r="H268" s="297">
        <f>'Boat Expansion'!I1172</f>
        <v>0</v>
      </c>
      <c r="I268" s="98"/>
      <c r="J268" s="118"/>
      <c r="K268" s="95"/>
      <c r="L268" s="41"/>
      <c r="M268" s="41"/>
      <c r="N268" s="41"/>
      <c r="O268" s="41"/>
      <c r="P268" s="41"/>
      <c r="Q268" s="41"/>
      <c r="R268" s="41"/>
      <c r="S268" s="95"/>
      <c r="T268" s="41"/>
      <c r="U268" s="41"/>
      <c r="V268" s="42"/>
      <c r="W268" s="95"/>
      <c r="X268" s="41"/>
      <c r="Y268" s="41"/>
      <c r="Z268" s="41"/>
      <c r="AA268" s="41"/>
      <c r="AB268" s="42"/>
      <c r="AC268" s="95"/>
      <c r="AD268" s="41"/>
      <c r="AE268" s="41"/>
      <c r="AF268" s="41"/>
      <c r="AG268" s="42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2"/>
    </row>
    <row r="269" spans="3:47" x14ac:dyDescent="0.25">
      <c r="C269" s="127">
        <f t="shared" si="211"/>
        <v>45696</v>
      </c>
      <c r="D269" s="274"/>
      <c r="E269" s="54"/>
      <c r="F269" s="53"/>
      <c r="G269" s="129"/>
      <c r="H269" s="297"/>
      <c r="I269" s="98"/>
      <c r="J269" s="118"/>
      <c r="K269" s="95"/>
      <c r="L269" s="41"/>
      <c r="M269" s="41"/>
      <c r="N269" s="41"/>
      <c r="O269" s="41"/>
      <c r="P269" s="41"/>
      <c r="Q269" s="41"/>
      <c r="R269" s="41"/>
      <c r="S269" s="95"/>
      <c r="T269" s="41"/>
      <c r="U269" s="41"/>
      <c r="V269" s="42"/>
      <c r="W269" s="95"/>
      <c r="X269" s="41"/>
      <c r="Y269" s="41"/>
      <c r="Z269" s="41"/>
      <c r="AA269" s="41"/>
      <c r="AB269" s="42"/>
      <c r="AC269" s="95"/>
      <c r="AD269" s="41"/>
      <c r="AE269" s="41"/>
      <c r="AF269" s="41"/>
      <c r="AG269" s="42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2"/>
    </row>
    <row r="270" spans="3:47" x14ac:dyDescent="0.25">
      <c r="C270" s="127">
        <f t="shared" si="211"/>
        <v>45697</v>
      </c>
      <c r="D270" s="274"/>
      <c r="E270" s="54"/>
      <c r="F270" s="53"/>
      <c r="G270" s="129"/>
      <c r="H270" s="297">
        <f>'Boat Expansion'!I1184</f>
        <v>0</v>
      </c>
      <c r="I270" s="98"/>
      <c r="J270" s="118"/>
      <c r="K270" s="95"/>
      <c r="L270" s="41"/>
      <c r="M270" s="41"/>
      <c r="N270" s="41"/>
      <c r="O270" s="41"/>
      <c r="P270" s="41"/>
      <c r="Q270" s="41"/>
      <c r="R270" s="41"/>
      <c r="S270" s="95"/>
      <c r="T270" s="41"/>
      <c r="U270" s="41"/>
      <c r="V270" s="42"/>
      <c r="W270" s="95"/>
      <c r="X270" s="41"/>
      <c r="Y270" s="41"/>
      <c r="Z270" s="41"/>
      <c r="AA270" s="41"/>
      <c r="AB270" s="42"/>
      <c r="AC270" s="95"/>
      <c r="AD270" s="41"/>
      <c r="AE270" s="41"/>
      <c r="AF270" s="41"/>
      <c r="AG270" s="42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2"/>
    </row>
    <row r="271" spans="3:47" x14ac:dyDescent="0.25">
      <c r="C271" s="127">
        <f t="shared" si="211"/>
        <v>45698</v>
      </c>
      <c r="D271" s="274"/>
      <c r="E271" s="54"/>
      <c r="F271" s="53"/>
      <c r="G271" s="129"/>
      <c r="H271" s="297"/>
      <c r="I271" s="98"/>
      <c r="J271" s="118"/>
      <c r="K271" s="95"/>
      <c r="L271" s="41"/>
      <c r="M271" s="41"/>
      <c r="N271" s="41"/>
      <c r="O271" s="41"/>
      <c r="P271" s="41"/>
      <c r="Q271" s="41"/>
      <c r="R271" s="41"/>
      <c r="S271" s="95"/>
      <c r="T271" s="41"/>
      <c r="U271" s="41"/>
      <c r="V271" s="42"/>
      <c r="W271" s="95"/>
      <c r="X271" s="41"/>
      <c r="Y271" s="41"/>
      <c r="Z271" s="41"/>
      <c r="AA271" s="41"/>
      <c r="AB271" s="42"/>
      <c r="AC271" s="95"/>
      <c r="AD271" s="41"/>
      <c r="AE271" s="41"/>
      <c r="AF271" s="41"/>
      <c r="AG271" s="42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2"/>
    </row>
    <row r="272" spans="3:47" x14ac:dyDescent="0.25">
      <c r="C272" s="127">
        <f t="shared" si="211"/>
        <v>45699</v>
      </c>
      <c r="D272" s="274"/>
      <c r="E272" s="54"/>
      <c r="F272" s="53"/>
      <c r="G272" s="129"/>
      <c r="H272" s="297">
        <f>'Boat Expansion'!I1196</f>
        <v>0</v>
      </c>
      <c r="I272" s="98"/>
      <c r="J272" s="118"/>
      <c r="K272" s="95"/>
      <c r="L272" s="41"/>
      <c r="M272" s="41"/>
      <c r="N272" s="41"/>
      <c r="O272" s="41"/>
      <c r="P272" s="41"/>
      <c r="Q272" s="41"/>
      <c r="R272" s="41"/>
      <c r="S272" s="95"/>
      <c r="T272" s="41"/>
      <c r="U272" s="41"/>
      <c r="V272" s="42"/>
      <c r="W272" s="95"/>
      <c r="X272" s="41"/>
      <c r="Y272" s="41"/>
      <c r="Z272" s="41"/>
      <c r="AA272" s="41"/>
      <c r="AB272" s="42"/>
      <c r="AC272" s="95"/>
      <c r="AD272" s="41"/>
      <c r="AE272" s="41"/>
      <c r="AF272" s="41"/>
      <c r="AG272" s="42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2"/>
    </row>
    <row r="273" spans="3:47" x14ac:dyDescent="0.25">
      <c r="C273" s="239">
        <f t="shared" si="211"/>
        <v>45700</v>
      </c>
      <c r="D273" s="274"/>
      <c r="E273" s="54"/>
      <c r="F273" s="53"/>
      <c r="G273" s="129"/>
      <c r="H273" s="297">
        <f>'Boat Expansion'!I1202</f>
        <v>0</v>
      </c>
      <c r="I273" s="98"/>
      <c r="J273" s="118"/>
      <c r="K273" s="95"/>
      <c r="L273" s="41"/>
      <c r="M273" s="41"/>
      <c r="N273" s="41"/>
      <c r="O273" s="41"/>
      <c r="P273" s="41"/>
      <c r="Q273" s="41"/>
      <c r="R273" s="41"/>
      <c r="S273" s="95"/>
      <c r="T273" s="41"/>
      <c r="U273" s="41"/>
      <c r="V273" s="42"/>
      <c r="W273" s="95"/>
      <c r="X273" s="41"/>
      <c r="Y273" s="41"/>
      <c r="Z273" s="41"/>
      <c r="AA273" s="41"/>
      <c r="AB273" s="42"/>
      <c r="AC273" s="95"/>
      <c r="AD273" s="41"/>
      <c r="AE273" s="41"/>
      <c r="AF273" s="41"/>
      <c r="AG273" s="42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2"/>
    </row>
    <row r="274" spans="3:47" x14ac:dyDescent="0.25">
      <c r="C274" s="239">
        <f>C273+1</f>
        <v>45701</v>
      </c>
      <c r="D274" s="274"/>
      <c r="E274" s="54"/>
      <c r="F274" s="53"/>
      <c r="G274" s="129"/>
      <c r="H274" s="297"/>
      <c r="I274" s="98"/>
      <c r="J274" s="118"/>
      <c r="K274" s="95"/>
      <c r="L274" s="41"/>
      <c r="M274" s="41"/>
      <c r="N274" s="41"/>
      <c r="O274" s="41"/>
      <c r="P274" s="41"/>
      <c r="Q274" s="41"/>
      <c r="R274" s="41"/>
      <c r="S274" s="95"/>
      <c r="T274" s="41"/>
      <c r="U274" s="41"/>
      <c r="V274" s="42"/>
      <c r="W274" s="95"/>
      <c r="X274" s="41"/>
      <c r="Y274" s="41"/>
      <c r="Z274" s="41"/>
      <c r="AA274" s="41"/>
      <c r="AB274" s="42"/>
      <c r="AC274" s="95"/>
      <c r="AD274" s="41"/>
      <c r="AE274" s="41"/>
      <c r="AF274" s="41"/>
      <c r="AG274" s="42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2"/>
    </row>
    <row r="275" spans="3:47" x14ac:dyDescent="0.25">
      <c r="C275" s="127">
        <f t="shared" ref="C275:C280" si="212">C274+1</f>
        <v>45702</v>
      </c>
      <c r="D275" s="274"/>
      <c r="E275" s="54"/>
      <c r="F275" s="53"/>
      <c r="G275" s="129"/>
      <c r="H275" s="297"/>
      <c r="I275" s="98"/>
      <c r="J275" s="118"/>
      <c r="K275" s="95"/>
      <c r="L275" s="41"/>
      <c r="M275" s="41"/>
      <c r="N275" s="41"/>
      <c r="O275" s="41"/>
      <c r="P275" s="41"/>
      <c r="Q275" s="41"/>
      <c r="R275" s="41"/>
      <c r="S275" s="95"/>
      <c r="T275" s="41"/>
      <c r="U275" s="41"/>
      <c r="V275" s="42"/>
      <c r="W275" s="95"/>
      <c r="X275" s="41"/>
      <c r="Y275" s="41"/>
      <c r="Z275" s="41"/>
      <c r="AA275" s="41"/>
      <c r="AB275" s="42"/>
      <c r="AC275" s="95"/>
      <c r="AD275" s="41"/>
      <c r="AE275" s="41"/>
      <c r="AF275" s="41"/>
      <c r="AG275" s="42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2"/>
    </row>
    <row r="276" spans="3:47" x14ac:dyDescent="0.25">
      <c r="C276" s="127">
        <f t="shared" si="212"/>
        <v>45703</v>
      </c>
      <c r="D276" s="274"/>
      <c r="E276" s="54"/>
      <c r="F276" s="53"/>
      <c r="G276" s="129"/>
      <c r="H276" s="297">
        <f>'Boat Expansion'!I1220</f>
        <v>0</v>
      </c>
      <c r="I276" s="98"/>
      <c r="J276" s="118"/>
      <c r="K276" s="95"/>
      <c r="L276" s="41"/>
      <c r="M276" s="41"/>
      <c r="N276" s="41"/>
      <c r="O276" s="41"/>
      <c r="P276" s="41"/>
      <c r="Q276" s="41"/>
      <c r="R276" s="41"/>
      <c r="S276" s="95"/>
      <c r="T276" s="41"/>
      <c r="U276" s="41"/>
      <c r="V276" s="42"/>
      <c r="W276" s="95"/>
      <c r="X276" s="41"/>
      <c r="Y276" s="41"/>
      <c r="Z276" s="41"/>
      <c r="AA276" s="41"/>
      <c r="AB276" s="42"/>
      <c r="AC276" s="95"/>
      <c r="AD276" s="41"/>
      <c r="AE276" s="41"/>
      <c r="AF276" s="41"/>
      <c r="AG276" s="42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2"/>
    </row>
    <row r="277" spans="3:47" x14ac:dyDescent="0.25">
      <c r="C277" s="127">
        <f t="shared" si="212"/>
        <v>45704</v>
      </c>
      <c r="D277" s="274"/>
      <c r="E277" s="54"/>
      <c r="F277" s="53"/>
      <c r="G277" s="129"/>
      <c r="H277" s="297"/>
      <c r="I277" s="98"/>
      <c r="J277" s="118"/>
      <c r="K277" s="95"/>
      <c r="L277" s="41"/>
      <c r="M277" s="41"/>
      <c r="N277" s="41"/>
      <c r="O277" s="41"/>
      <c r="P277" s="41"/>
      <c r="Q277" s="41"/>
      <c r="R277" s="41"/>
      <c r="S277" s="95"/>
      <c r="T277" s="41"/>
      <c r="U277" s="41"/>
      <c r="V277" s="42"/>
      <c r="W277" s="95"/>
      <c r="X277" s="41"/>
      <c r="Y277" s="41"/>
      <c r="Z277" s="41"/>
      <c r="AA277" s="41"/>
      <c r="AB277" s="42"/>
      <c r="AC277" s="95"/>
      <c r="AD277" s="41"/>
      <c r="AE277" s="41"/>
      <c r="AF277" s="41"/>
      <c r="AG277" s="42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2"/>
    </row>
    <row r="278" spans="3:47" x14ac:dyDescent="0.25">
      <c r="C278" s="127">
        <f t="shared" si="212"/>
        <v>45705</v>
      </c>
      <c r="D278" s="274"/>
      <c r="E278" s="54"/>
      <c r="F278" s="53"/>
      <c r="G278" s="129"/>
      <c r="H278" s="297"/>
      <c r="I278" s="98"/>
      <c r="J278" s="118"/>
      <c r="K278" s="95"/>
      <c r="L278" s="41"/>
      <c r="M278" s="41"/>
      <c r="N278" s="41"/>
      <c r="O278" s="41"/>
      <c r="P278" s="41"/>
      <c r="Q278" s="41"/>
      <c r="R278" s="41"/>
      <c r="S278" s="95"/>
      <c r="T278" s="41"/>
      <c r="U278" s="41"/>
      <c r="V278" s="42"/>
      <c r="W278" s="95"/>
      <c r="X278" s="41"/>
      <c r="Y278" s="41"/>
      <c r="Z278" s="41"/>
      <c r="AA278" s="41"/>
      <c r="AB278" s="42"/>
      <c r="AC278" s="95"/>
      <c r="AD278" s="41"/>
      <c r="AE278" s="41"/>
      <c r="AF278" s="41"/>
      <c r="AG278" s="42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2"/>
    </row>
    <row r="279" spans="3:47" x14ac:dyDescent="0.25">
      <c r="C279" s="127">
        <f t="shared" si="212"/>
        <v>45706</v>
      </c>
      <c r="D279" s="274"/>
      <c r="E279" s="54"/>
      <c r="F279" s="53"/>
      <c r="G279" s="129"/>
      <c r="H279" s="297"/>
      <c r="I279" s="98"/>
      <c r="J279" s="118"/>
      <c r="K279" s="95"/>
      <c r="L279" s="41"/>
      <c r="M279" s="41"/>
      <c r="N279" s="41"/>
      <c r="O279" s="41"/>
      <c r="P279" s="41"/>
      <c r="Q279" s="41"/>
      <c r="R279" s="41"/>
      <c r="S279" s="95"/>
      <c r="T279" s="41"/>
      <c r="U279" s="41"/>
      <c r="V279" s="42"/>
      <c r="W279" s="95"/>
      <c r="X279" s="41"/>
      <c r="Y279" s="41"/>
      <c r="Z279" s="41"/>
      <c r="AA279" s="41"/>
      <c r="AB279" s="42"/>
      <c r="AC279" s="95"/>
      <c r="AD279" s="41"/>
      <c r="AE279" s="41"/>
      <c r="AF279" s="41"/>
      <c r="AG279" s="42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2"/>
    </row>
    <row r="280" spans="3:47" x14ac:dyDescent="0.25">
      <c r="C280" s="239">
        <f t="shared" si="212"/>
        <v>45707</v>
      </c>
      <c r="D280" s="274"/>
      <c r="E280" s="54"/>
      <c r="F280" s="53"/>
      <c r="G280" s="129"/>
      <c r="H280" s="297"/>
      <c r="I280" s="98"/>
      <c r="J280" s="118"/>
      <c r="K280" s="95"/>
      <c r="L280" s="41"/>
      <c r="M280" s="41"/>
      <c r="N280" s="41"/>
      <c r="O280" s="41"/>
      <c r="P280" s="41"/>
      <c r="Q280" s="41"/>
      <c r="R280" s="41"/>
      <c r="S280" s="95"/>
      <c r="T280" s="41"/>
      <c r="U280" s="41"/>
      <c r="V280" s="42"/>
      <c r="W280" s="95"/>
      <c r="X280" s="41"/>
      <c r="Y280" s="41"/>
      <c r="Z280" s="41"/>
      <c r="AA280" s="41"/>
      <c r="AB280" s="42"/>
      <c r="AC280" s="95"/>
      <c r="AD280" s="41"/>
      <c r="AE280" s="41"/>
      <c r="AF280" s="41"/>
      <c r="AG280" s="42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2"/>
    </row>
    <row r="281" spans="3:47" x14ac:dyDescent="0.25">
      <c r="C281" s="239">
        <f>C280+1</f>
        <v>45708</v>
      </c>
      <c r="D281" s="274"/>
      <c r="E281" s="54"/>
      <c r="F281" s="53"/>
      <c r="G281" s="129"/>
      <c r="H281" s="297"/>
      <c r="I281" s="98"/>
      <c r="J281" s="118"/>
      <c r="K281" s="95"/>
      <c r="L281" s="41"/>
      <c r="M281" s="41"/>
      <c r="N281" s="41"/>
      <c r="O281" s="41"/>
      <c r="P281" s="41"/>
      <c r="Q281" s="41"/>
      <c r="R281" s="41"/>
      <c r="S281" s="95"/>
      <c r="T281" s="41"/>
      <c r="U281" s="41"/>
      <c r="V281" s="42"/>
      <c r="W281" s="95"/>
      <c r="X281" s="41"/>
      <c r="Y281" s="41"/>
      <c r="Z281" s="41"/>
      <c r="AA281" s="41"/>
      <c r="AB281" s="42"/>
      <c r="AC281" s="95"/>
      <c r="AD281" s="41"/>
      <c r="AE281" s="41"/>
      <c r="AF281" s="41"/>
      <c r="AG281" s="42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2"/>
    </row>
    <row r="282" spans="3:47" x14ac:dyDescent="0.25">
      <c r="C282" s="127">
        <f t="shared" ref="C282:C287" si="213">C281+1</f>
        <v>45709</v>
      </c>
      <c r="D282" s="274"/>
      <c r="E282" s="54"/>
      <c r="F282" s="53"/>
      <c r="G282" s="129"/>
      <c r="H282" s="297"/>
      <c r="I282" s="98"/>
      <c r="J282" s="118"/>
      <c r="K282" s="95"/>
      <c r="L282" s="41"/>
      <c r="M282" s="41"/>
      <c r="N282" s="41"/>
      <c r="O282" s="41"/>
      <c r="P282" s="41"/>
      <c r="Q282" s="41"/>
      <c r="R282" s="41"/>
      <c r="S282" s="95"/>
      <c r="T282" s="41"/>
      <c r="U282" s="41"/>
      <c r="V282" s="42"/>
      <c r="W282" s="95"/>
      <c r="X282" s="41"/>
      <c r="Y282" s="41"/>
      <c r="Z282" s="41"/>
      <c r="AA282" s="41"/>
      <c r="AB282" s="42"/>
      <c r="AC282" s="95"/>
      <c r="AD282" s="41"/>
      <c r="AE282" s="41"/>
      <c r="AF282" s="41"/>
      <c r="AG282" s="42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2"/>
    </row>
    <row r="283" spans="3:47" x14ac:dyDescent="0.25">
      <c r="C283" s="127">
        <f t="shared" si="213"/>
        <v>45710</v>
      </c>
      <c r="D283" s="274"/>
      <c r="E283" s="54"/>
      <c r="F283" s="53"/>
      <c r="G283" s="129"/>
      <c r="H283" s="297"/>
      <c r="I283" s="98"/>
      <c r="J283" s="118"/>
      <c r="K283" s="95"/>
      <c r="L283" s="41"/>
      <c r="M283" s="41"/>
      <c r="N283" s="41"/>
      <c r="O283" s="41"/>
      <c r="P283" s="41"/>
      <c r="Q283" s="41"/>
      <c r="R283" s="41"/>
      <c r="S283" s="95"/>
      <c r="T283" s="41"/>
      <c r="U283" s="41"/>
      <c r="V283" s="42"/>
      <c r="W283" s="95"/>
      <c r="X283" s="41"/>
      <c r="Y283" s="41"/>
      <c r="Z283" s="41"/>
      <c r="AA283" s="41"/>
      <c r="AB283" s="42"/>
      <c r="AC283" s="95"/>
      <c r="AD283" s="41"/>
      <c r="AE283" s="41"/>
      <c r="AF283" s="41"/>
      <c r="AG283" s="42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2"/>
    </row>
    <row r="284" spans="3:47" x14ac:dyDescent="0.25">
      <c r="C284" s="127">
        <f t="shared" si="213"/>
        <v>45711</v>
      </c>
      <c r="D284" s="274"/>
      <c r="E284" s="54"/>
      <c r="F284" s="53"/>
      <c r="G284" s="129"/>
      <c r="H284" s="297">
        <f>'Boat Expansion'!I1268</f>
        <v>0</v>
      </c>
      <c r="I284" s="98"/>
      <c r="J284" s="118"/>
      <c r="K284" s="95"/>
      <c r="L284" s="41"/>
      <c r="M284" s="41"/>
      <c r="N284" s="41"/>
      <c r="O284" s="41"/>
      <c r="P284" s="41"/>
      <c r="Q284" s="41"/>
      <c r="R284" s="41"/>
      <c r="S284" s="95"/>
      <c r="T284" s="41"/>
      <c r="U284" s="41"/>
      <c r="V284" s="42"/>
      <c r="W284" s="95"/>
      <c r="X284" s="41"/>
      <c r="Y284" s="41"/>
      <c r="Z284" s="41"/>
      <c r="AA284" s="41"/>
      <c r="AB284" s="42"/>
      <c r="AC284" s="95"/>
      <c r="AD284" s="41"/>
      <c r="AE284" s="41"/>
      <c r="AF284" s="41"/>
      <c r="AG284" s="42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2"/>
    </row>
    <row r="285" spans="3:47" x14ac:dyDescent="0.25">
      <c r="C285" s="127">
        <f t="shared" si="213"/>
        <v>45712</v>
      </c>
      <c r="D285" s="274"/>
      <c r="E285" s="54"/>
      <c r="F285" s="53"/>
      <c r="G285" s="129"/>
      <c r="H285" s="297"/>
      <c r="I285" s="98"/>
      <c r="J285" s="118"/>
      <c r="K285" s="95"/>
      <c r="L285" s="41"/>
      <c r="M285" s="41"/>
      <c r="N285" s="41"/>
      <c r="O285" s="41"/>
      <c r="P285" s="41"/>
      <c r="Q285" s="41"/>
      <c r="R285" s="41"/>
      <c r="S285" s="95"/>
      <c r="T285" s="41"/>
      <c r="U285" s="41"/>
      <c r="V285" s="42"/>
      <c r="W285" s="95"/>
      <c r="X285" s="41"/>
      <c r="Y285" s="41"/>
      <c r="Z285" s="41"/>
      <c r="AA285" s="41"/>
      <c r="AB285" s="42"/>
      <c r="AC285" s="95"/>
      <c r="AD285" s="41"/>
      <c r="AE285" s="41"/>
      <c r="AF285" s="41"/>
      <c r="AG285" s="42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2"/>
    </row>
    <row r="286" spans="3:47" x14ac:dyDescent="0.25">
      <c r="C286" s="127">
        <f t="shared" si="213"/>
        <v>45713</v>
      </c>
      <c r="D286" s="274"/>
      <c r="E286" s="54"/>
      <c r="F286" s="53"/>
      <c r="G286" s="129"/>
      <c r="H286" s="297"/>
      <c r="I286" s="98"/>
      <c r="J286" s="118"/>
      <c r="K286" s="95"/>
      <c r="L286" s="41"/>
      <c r="M286" s="41"/>
      <c r="N286" s="41"/>
      <c r="O286" s="41"/>
      <c r="P286" s="41"/>
      <c r="Q286" s="41"/>
      <c r="R286" s="41"/>
      <c r="S286" s="95"/>
      <c r="T286" s="41"/>
      <c r="U286" s="41"/>
      <c r="V286" s="42"/>
      <c r="W286" s="95"/>
      <c r="X286" s="41"/>
      <c r="Y286" s="41"/>
      <c r="Z286" s="41"/>
      <c r="AA286" s="41"/>
      <c r="AB286" s="42"/>
      <c r="AC286" s="95"/>
      <c r="AD286" s="41"/>
      <c r="AE286" s="41"/>
      <c r="AF286" s="41"/>
      <c r="AG286" s="42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2"/>
    </row>
    <row r="287" spans="3:47" ht="16.5" thickBot="1" x14ac:dyDescent="0.3">
      <c r="C287" s="192">
        <f t="shared" si="213"/>
        <v>45714</v>
      </c>
      <c r="D287" s="275"/>
      <c r="E287" s="99"/>
      <c r="F287" s="100"/>
      <c r="G287" s="131"/>
      <c r="H287" s="299"/>
      <c r="I287" s="102"/>
      <c r="J287" s="118"/>
      <c r="K287" s="96"/>
      <c r="L287" s="76"/>
      <c r="M287" s="76"/>
      <c r="N287" s="76"/>
      <c r="O287" s="76"/>
      <c r="P287" s="76"/>
      <c r="Q287" s="76"/>
      <c r="R287" s="76"/>
      <c r="S287" s="96"/>
      <c r="T287" s="76"/>
      <c r="U287" s="76"/>
      <c r="V287" s="77"/>
      <c r="W287" s="96"/>
      <c r="X287" s="76"/>
      <c r="Y287" s="76"/>
      <c r="Z287" s="76"/>
      <c r="AA287" s="76"/>
      <c r="AB287" s="77"/>
      <c r="AC287" s="96"/>
      <c r="AD287" s="76"/>
      <c r="AE287" s="76"/>
      <c r="AF287" s="76"/>
      <c r="AG287" s="77"/>
      <c r="AH287" s="76"/>
      <c r="AI287" s="76"/>
      <c r="AJ287" s="76"/>
      <c r="AK287" s="76"/>
      <c r="AL287" s="76"/>
      <c r="AM287" s="76"/>
      <c r="AN287" s="76"/>
      <c r="AO287" s="76"/>
      <c r="AP287" s="76"/>
      <c r="AQ287" s="76"/>
      <c r="AR287" s="76"/>
      <c r="AS287" s="76"/>
      <c r="AT287" s="76"/>
      <c r="AU287" s="77"/>
    </row>
    <row r="288" spans="3:47" ht="17.25" thickTop="1" thickBot="1" x14ac:dyDescent="0.3">
      <c r="C288" s="132" t="s">
        <v>17</v>
      </c>
      <c r="D288" s="276"/>
      <c r="E288" s="133">
        <f>SUM(E260:E287)</f>
        <v>0</v>
      </c>
      <c r="F288" s="101">
        <f>SUM(F260:F287)</f>
        <v>0</v>
      </c>
      <c r="G288" s="134">
        <f>SUM(G260:G287)</f>
        <v>0</v>
      </c>
      <c r="H288" s="300">
        <f>SUM(H260:H287)</f>
        <v>0</v>
      </c>
      <c r="I288" s="56" t="e">
        <f>E288/H288</f>
        <v>#DIV/0!</v>
      </c>
      <c r="J288" s="146"/>
      <c r="K288" s="166">
        <f t="shared" ref="K288:AU288" si="214">SUM(K260:K287)</f>
        <v>0</v>
      </c>
      <c r="L288" s="167">
        <f t="shared" si="214"/>
        <v>0</v>
      </c>
      <c r="M288" s="167">
        <f t="shared" si="214"/>
        <v>0</v>
      </c>
      <c r="N288" s="167">
        <f t="shared" si="214"/>
        <v>0</v>
      </c>
      <c r="O288" s="167">
        <f t="shared" si="214"/>
        <v>0</v>
      </c>
      <c r="P288" s="167">
        <f t="shared" si="214"/>
        <v>0</v>
      </c>
      <c r="Q288" s="167">
        <f t="shared" si="214"/>
        <v>0</v>
      </c>
      <c r="R288" s="168">
        <f t="shared" si="214"/>
        <v>0</v>
      </c>
      <c r="S288" s="166">
        <f t="shared" si="214"/>
        <v>0</v>
      </c>
      <c r="T288" s="167">
        <f t="shared" si="214"/>
        <v>0</v>
      </c>
      <c r="U288" s="167">
        <f t="shared" si="214"/>
        <v>0</v>
      </c>
      <c r="V288" s="168">
        <f t="shared" si="214"/>
        <v>0</v>
      </c>
      <c r="W288" s="166">
        <f t="shared" si="214"/>
        <v>0</v>
      </c>
      <c r="X288" s="167">
        <f t="shared" si="214"/>
        <v>0</v>
      </c>
      <c r="Y288" s="167">
        <f t="shared" si="214"/>
        <v>0</v>
      </c>
      <c r="Z288" s="167">
        <f t="shared" si="214"/>
        <v>0</v>
      </c>
      <c r="AA288" s="167">
        <f t="shared" si="214"/>
        <v>0</v>
      </c>
      <c r="AB288" s="168">
        <f t="shared" si="214"/>
        <v>0</v>
      </c>
      <c r="AC288" s="166">
        <f t="shared" si="214"/>
        <v>0</v>
      </c>
      <c r="AD288" s="167">
        <f t="shared" si="214"/>
        <v>0</v>
      </c>
      <c r="AE288" s="167">
        <f t="shared" si="214"/>
        <v>0</v>
      </c>
      <c r="AF288" s="167">
        <f t="shared" si="214"/>
        <v>0</v>
      </c>
      <c r="AG288" s="168">
        <f t="shared" si="214"/>
        <v>0</v>
      </c>
      <c r="AH288" s="166">
        <f t="shared" si="214"/>
        <v>0</v>
      </c>
      <c r="AI288" s="167">
        <f t="shared" si="214"/>
        <v>0</v>
      </c>
      <c r="AJ288" s="167">
        <f t="shared" si="214"/>
        <v>0</v>
      </c>
      <c r="AK288" s="167">
        <f t="shared" si="214"/>
        <v>0</v>
      </c>
      <c r="AL288" s="167">
        <f t="shared" si="214"/>
        <v>0</v>
      </c>
      <c r="AM288" s="167">
        <f t="shared" si="214"/>
        <v>0</v>
      </c>
      <c r="AN288" s="167">
        <f t="shared" si="214"/>
        <v>0</v>
      </c>
      <c r="AO288" s="167">
        <f t="shared" si="214"/>
        <v>0</v>
      </c>
      <c r="AP288" s="167">
        <f t="shared" si="214"/>
        <v>0</v>
      </c>
      <c r="AQ288" s="167">
        <f t="shared" si="214"/>
        <v>0</v>
      </c>
      <c r="AR288" s="167">
        <f t="shared" si="214"/>
        <v>0</v>
      </c>
      <c r="AS288" s="167">
        <f t="shared" si="214"/>
        <v>0</v>
      </c>
      <c r="AT288" s="167">
        <f t="shared" si="214"/>
        <v>0</v>
      </c>
      <c r="AU288" s="168">
        <f t="shared" si="214"/>
        <v>0</v>
      </c>
    </row>
    <row r="289" spans="3:47" ht="16.5" thickBot="1" x14ac:dyDescent="0.3">
      <c r="K289" s="163" t="e">
        <f>K288/$I288</f>
        <v>#DIV/0!</v>
      </c>
      <c r="L289" s="164" t="e">
        <f t="shared" ref="L289:AQ289" si="215">L288/$I288</f>
        <v>#DIV/0!</v>
      </c>
      <c r="M289" s="164" t="e">
        <f t="shared" si="215"/>
        <v>#DIV/0!</v>
      </c>
      <c r="N289" s="164" t="e">
        <f t="shared" si="215"/>
        <v>#DIV/0!</v>
      </c>
      <c r="O289" s="164" t="e">
        <f t="shared" si="215"/>
        <v>#DIV/0!</v>
      </c>
      <c r="P289" s="164" t="e">
        <f t="shared" si="215"/>
        <v>#DIV/0!</v>
      </c>
      <c r="Q289" s="164" t="e">
        <f t="shared" si="215"/>
        <v>#DIV/0!</v>
      </c>
      <c r="R289" s="164" t="e">
        <f t="shared" si="215"/>
        <v>#DIV/0!</v>
      </c>
      <c r="S289" s="163" t="e">
        <f t="shared" si="215"/>
        <v>#DIV/0!</v>
      </c>
      <c r="T289" s="164" t="e">
        <f t="shared" si="215"/>
        <v>#DIV/0!</v>
      </c>
      <c r="U289" s="164" t="e">
        <f t="shared" si="215"/>
        <v>#DIV/0!</v>
      </c>
      <c r="V289" s="165" t="e">
        <f t="shared" si="215"/>
        <v>#DIV/0!</v>
      </c>
      <c r="W289" s="164" t="e">
        <f t="shared" si="215"/>
        <v>#DIV/0!</v>
      </c>
      <c r="X289" s="164" t="e">
        <f t="shared" si="215"/>
        <v>#DIV/0!</v>
      </c>
      <c r="Y289" s="164" t="e">
        <f t="shared" si="215"/>
        <v>#DIV/0!</v>
      </c>
      <c r="Z289" s="164" t="e">
        <f t="shared" si="215"/>
        <v>#DIV/0!</v>
      </c>
      <c r="AA289" s="164" t="e">
        <f t="shared" si="215"/>
        <v>#DIV/0!</v>
      </c>
      <c r="AB289" s="164" t="e">
        <f t="shared" si="215"/>
        <v>#DIV/0!</v>
      </c>
      <c r="AC289" s="163" t="e">
        <f t="shared" si="215"/>
        <v>#DIV/0!</v>
      </c>
      <c r="AD289" s="164" t="e">
        <f t="shared" si="215"/>
        <v>#DIV/0!</v>
      </c>
      <c r="AE289" s="164" t="e">
        <f t="shared" si="215"/>
        <v>#DIV/0!</v>
      </c>
      <c r="AF289" s="164" t="e">
        <f t="shared" si="215"/>
        <v>#DIV/0!</v>
      </c>
      <c r="AG289" s="165" t="e">
        <f t="shared" si="215"/>
        <v>#DIV/0!</v>
      </c>
      <c r="AH289" s="164" t="e">
        <f t="shared" si="215"/>
        <v>#DIV/0!</v>
      </c>
      <c r="AI289" s="164" t="e">
        <f t="shared" si="215"/>
        <v>#DIV/0!</v>
      </c>
      <c r="AJ289" s="164" t="e">
        <f t="shared" si="215"/>
        <v>#DIV/0!</v>
      </c>
      <c r="AK289" s="164" t="e">
        <f t="shared" si="215"/>
        <v>#DIV/0!</v>
      </c>
      <c r="AL289" s="164" t="e">
        <f t="shared" si="215"/>
        <v>#DIV/0!</v>
      </c>
      <c r="AM289" s="164" t="e">
        <f t="shared" si="215"/>
        <v>#DIV/0!</v>
      </c>
      <c r="AN289" s="164" t="e">
        <f t="shared" si="215"/>
        <v>#DIV/0!</v>
      </c>
      <c r="AO289" s="164" t="e">
        <f t="shared" si="215"/>
        <v>#DIV/0!</v>
      </c>
      <c r="AP289" s="164" t="e">
        <f t="shared" si="215"/>
        <v>#DIV/0!</v>
      </c>
      <c r="AQ289" s="164" t="e">
        <f t="shared" si="215"/>
        <v>#DIV/0!</v>
      </c>
      <c r="AR289" s="164" t="e">
        <f t="shared" ref="AR289:AU289" si="216">AR288/$I288</f>
        <v>#DIV/0!</v>
      </c>
      <c r="AS289" s="164" t="e">
        <f t="shared" si="216"/>
        <v>#DIV/0!</v>
      </c>
      <c r="AT289" s="164" t="e">
        <f t="shared" si="216"/>
        <v>#DIV/0!</v>
      </c>
      <c r="AU289" s="165" t="e">
        <f t="shared" si="216"/>
        <v>#DIV/0!</v>
      </c>
    </row>
    <row r="290" spans="3:47" ht="16.5" thickBot="1" x14ac:dyDescent="0.3">
      <c r="E290" s="234">
        <f>COUNT(E291:E321)</f>
        <v>0</v>
      </c>
    </row>
    <row r="291" spans="3:47" x14ac:dyDescent="0.25">
      <c r="C291" s="154">
        <f>C287+1</f>
        <v>45715</v>
      </c>
      <c r="D291" s="278"/>
      <c r="E291" s="155"/>
      <c r="F291" s="103"/>
      <c r="G291" s="156"/>
      <c r="H291" s="302">
        <f>'Boat Expansion'!I1292</f>
        <v>0</v>
      </c>
      <c r="I291" s="104"/>
      <c r="J291" s="118"/>
      <c r="K291" s="157"/>
      <c r="L291" s="158"/>
      <c r="M291" s="158"/>
      <c r="N291" s="158"/>
      <c r="O291" s="158"/>
      <c r="P291" s="158"/>
      <c r="Q291" s="158"/>
      <c r="R291" s="158"/>
      <c r="S291" s="157"/>
      <c r="T291" s="158"/>
      <c r="U291" s="158"/>
      <c r="V291" s="159"/>
      <c r="W291" s="157"/>
      <c r="X291" s="158"/>
      <c r="Y291" s="158"/>
      <c r="Z291" s="158"/>
      <c r="AA291" s="158"/>
      <c r="AB291" s="159"/>
      <c r="AC291" s="157"/>
      <c r="AD291" s="158"/>
      <c r="AE291" s="158"/>
      <c r="AF291" s="158"/>
      <c r="AG291" s="159"/>
      <c r="AH291" s="158"/>
      <c r="AI291" s="158"/>
      <c r="AJ291" s="158"/>
      <c r="AK291" s="158"/>
      <c r="AL291" s="158"/>
      <c r="AM291" s="158"/>
      <c r="AN291" s="158"/>
      <c r="AO291" s="158"/>
      <c r="AP291" s="158"/>
      <c r="AQ291" s="158"/>
      <c r="AR291" s="158"/>
      <c r="AS291" s="158"/>
      <c r="AT291" s="158"/>
      <c r="AU291" s="159"/>
    </row>
    <row r="292" spans="3:47" x14ac:dyDescent="0.25">
      <c r="C292" s="127">
        <f t="shared" ref="C292:C297" si="217">C291+1</f>
        <v>45716</v>
      </c>
      <c r="D292" s="274"/>
      <c r="E292" s="54"/>
      <c r="F292" s="53"/>
      <c r="G292" s="129"/>
      <c r="H292" s="297">
        <f>'Boat Expansion'!I1298</f>
        <v>0</v>
      </c>
      <c r="I292" s="98"/>
      <c r="J292" s="118"/>
      <c r="K292" s="95"/>
      <c r="L292" s="41"/>
      <c r="M292" s="41"/>
      <c r="N292" s="41"/>
      <c r="O292" s="41"/>
      <c r="P292" s="41"/>
      <c r="Q292" s="41"/>
      <c r="R292" s="41"/>
      <c r="S292" s="95"/>
      <c r="T292" s="41"/>
      <c r="U292" s="41"/>
      <c r="V292" s="42"/>
      <c r="W292" s="95"/>
      <c r="X292" s="41"/>
      <c r="Y292" s="41"/>
      <c r="Z292" s="41"/>
      <c r="AA292" s="41"/>
      <c r="AB292" s="42"/>
      <c r="AC292" s="95"/>
      <c r="AD292" s="41"/>
      <c r="AE292" s="41"/>
      <c r="AF292" s="41"/>
      <c r="AG292" s="42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2"/>
    </row>
    <row r="293" spans="3:47" x14ac:dyDescent="0.25">
      <c r="C293" s="127">
        <f t="shared" si="217"/>
        <v>45717</v>
      </c>
      <c r="D293" s="274"/>
      <c r="E293" s="54"/>
      <c r="F293" s="53"/>
      <c r="G293" s="129"/>
      <c r="H293" s="297"/>
      <c r="I293" s="98"/>
      <c r="J293" s="118"/>
      <c r="K293" s="95"/>
      <c r="L293" s="41"/>
      <c r="M293" s="41"/>
      <c r="N293" s="41"/>
      <c r="O293" s="41"/>
      <c r="P293" s="41"/>
      <c r="Q293" s="41"/>
      <c r="R293" s="41"/>
      <c r="S293" s="95"/>
      <c r="T293" s="41"/>
      <c r="U293" s="41"/>
      <c r="V293" s="42"/>
      <c r="W293" s="95"/>
      <c r="X293" s="41"/>
      <c r="Y293" s="41"/>
      <c r="Z293" s="41"/>
      <c r="AA293" s="41"/>
      <c r="AB293" s="42"/>
      <c r="AC293" s="95"/>
      <c r="AD293" s="41"/>
      <c r="AE293" s="41"/>
      <c r="AF293" s="41"/>
      <c r="AG293" s="42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2"/>
    </row>
    <row r="294" spans="3:47" x14ac:dyDescent="0.25">
      <c r="C294" s="127">
        <f t="shared" si="217"/>
        <v>45718</v>
      </c>
      <c r="D294" s="274"/>
      <c r="E294" s="54"/>
      <c r="F294" s="53"/>
      <c r="G294" s="129"/>
      <c r="H294" s="297">
        <f>'Boat Expansion'!I1310</f>
        <v>0</v>
      </c>
      <c r="I294" s="98"/>
      <c r="J294" s="118"/>
      <c r="K294" s="95"/>
      <c r="L294" s="41"/>
      <c r="M294" s="41"/>
      <c r="N294" s="41"/>
      <c r="O294" s="41"/>
      <c r="P294" s="41"/>
      <c r="Q294" s="41"/>
      <c r="R294" s="41"/>
      <c r="S294" s="95"/>
      <c r="T294" s="41"/>
      <c r="U294" s="41"/>
      <c r="V294" s="42"/>
      <c r="W294" s="95"/>
      <c r="X294" s="41"/>
      <c r="Y294" s="41"/>
      <c r="Z294" s="41"/>
      <c r="AA294" s="41"/>
      <c r="AB294" s="42"/>
      <c r="AC294" s="95"/>
      <c r="AD294" s="41"/>
      <c r="AE294" s="41"/>
      <c r="AF294" s="41"/>
      <c r="AG294" s="42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2"/>
    </row>
    <row r="295" spans="3:47" x14ac:dyDescent="0.25">
      <c r="C295" s="127">
        <f t="shared" si="217"/>
        <v>45719</v>
      </c>
      <c r="D295" s="274"/>
      <c r="E295" s="54"/>
      <c r="F295" s="53"/>
      <c r="G295" s="129"/>
      <c r="H295" s="297"/>
      <c r="I295" s="98"/>
      <c r="J295" s="118"/>
      <c r="K295" s="95"/>
      <c r="L295" s="41"/>
      <c r="M295" s="41"/>
      <c r="N295" s="41"/>
      <c r="O295" s="41"/>
      <c r="P295" s="41"/>
      <c r="Q295" s="41"/>
      <c r="R295" s="41"/>
      <c r="S295" s="95"/>
      <c r="T295" s="41"/>
      <c r="U295" s="41"/>
      <c r="V295" s="42"/>
      <c r="W295" s="95"/>
      <c r="X295" s="41"/>
      <c r="Y295" s="41"/>
      <c r="Z295" s="41"/>
      <c r="AA295" s="41"/>
      <c r="AB295" s="42"/>
      <c r="AC295" s="95"/>
      <c r="AD295" s="41"/>
      <c r="AE295" s="41"/>
      <c r="AF295" s="41"/>
      <c r="AG295" s="42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2"/>
    </row>
    <row r="296" spans="3:47" x14ac:dyDescent="0.25">
      <c r="C296" s="127">
        <f t="shared" si="217"/>
        <v>45720</v>
      </c>
      <c r="D296" s="274"/>
      <c r="E296" s="54"/>
      <c r="F296" s="53"/>
      <c r="G296" s="129"/>
      <c r="H296" s="297"/>
      <c r="I296" s="98"/>
      <c r="J296" s="118"/>
      <c r="K296" s="95"/>
      <c r="L296" s="41"/>
      <c r="M296" s="41"/>
      <c r="N296" s="41"/>
      <c r="O296" s="41"/>
      <c r="P296" s="41"/>
      <c r="Q296" s="41"/>
      <c r="R296" s="41"/>
      <c r="S296" s="95"/>
      <c r="T296" s="41"/>
      <c r="U296" s="41"/>
      <c r="V296" s="42"/>
      <c r="W296" s="95"/>
      <c r="X296" s="41"/>
      <c r="Y296" s="41"/>
      <c r="Z296" s="41"/>
      <c r="AA296" s="41"/>
      <c r="AB296" s="42"/>
      <c r="AC296" s="95"/>
      <c r="AD296" s="41"/>
      <c r="AE296" s="41"/>
      <c r="AF296" s="41"/>
      <c r="AG296" s="42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2"/>
    </row>
    <row r="297" spans="3:47" x14ac:dyDescent="0.25">
      <c r="C297" s="239">
        <f t="shared" si="217"/>
        <v>45721</v>
      </c>
      <c r="D297" s="274"/>
      <c r="E297" s="54"/>
      <c r="F297" s="53"/>
      <c r="G297" s="129"/>
      <c r="H297" s="297">
        <f>'Boat Expansion'!I1328</f>
        <v>0</v>
      </c>
      <c r="I297" s="98"/>
      <c r="J297" s="118"/>
      <c r="K297" s="95"/>
      <c r="L297" s="41"/>
      <c r="M297" s="41"/>
      <c r="N297" s="41"/>
      <c r="O297" s="41"/>
      <c r="P297" s="41"/>
      <c r="Q297" s="41"/>
      <c r="R297" s="41"/>
      <c r="S297" s="95"/>
      <c r="T297" s="41"/>
      <c r="U297" s="41"/>
      <c r="V297" s="42"/>
      <c r="W297" s="95"/>
      <c r="X297" s="41"/>
      <c r="Y297" s="41"/>
      <c r="Z297" s="41"/>
      <c r="AA297" s="41"/>
      <c r="AB297" s="42"/>
      <c r="AC297" s="95"/>
      <c r="AD297" s="41"/>
      <c r="AE297" s="41"/>
      <c r="AF297" s="41"/>
      <c r="AG297" s="42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2"/>
    </row>
    <row r="298" spans="3:47" x14ac:dyDescent="0.25">
      <c r="C298" s="239">
        <f>C297+1</f>
        <v>45722</v>
      </c>
      <c r="D298" s="274"/>
      <c r="E298" s="54"/>
      <c r="F298" s="53"/>
      <c r="G298" s="129"/>
      <c r="H298" s="297"/>
      <c r="I298" s="98"/>
      <c r="J298" s="118"/>
      <c r="K298" s="95"/>
      <c r="L298" s="41"/>
      <c r="M298" s="41"/>
      <c r="N298" s="41"/>
      <c r="O298" s="41"/>
      <c r="P298" s="41"/>
      <c r="Q298" s="41"/>
      <c r="R298" s="41"/>
      <c r="S298" s="95"/>
      <c r="T298" s="41"/>
      <c r="U298" s="41"/>
      <c r="V298" s="42"/>
      <c r="W298" s="95"/>
      <c r="X298" s="41"/>
      <c r="Y298" s="41"/>
      <c r="Z298" s="41"/>
      <c r="AA298" s="41"/>
      <c r="AB298" s="42"/>
      <c r="AC298" s="95"/>
      <c r="AD298" s="41"/>
      <c r="AE298" s="41"/>
      <c r="AF298" s="41"/>
      <c r="AG298" s="42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2"/>
    </row>
    <row r="299" spans="3:47" x14ac:dyDescent="0.25">
      <c r="C299" s="127">
        <f t="shared" ref="C299:C304" si="218">C298+1</f>
        <v>45723</v>
      </c>
      <c r="D299" s="274"/>
      <c r="E299" s="54"/>
      <c r="F299" s="53"/>
      <c r="G299" s="129"/>
      <c r="H299" s="297"/>
      <c r="I299" s="98"/>
      <c r="J299" s="118"/>
      <c r="K299" s="95"/>
      <c r="L299" s="41"/>
      <c r="M299" s="41"/>
      <c r="N299" s="41"/>
      <c r="O299" s="41"/>
      <c r="P299" s="41"/>
      <c r="Q299" s="41"/>
      <c r="R299" s="41"/>
      <c r="S299" s="95"/>
      <c r="T299" s="41"/>
      <c r="U299" s="41"/>
      <c r="V299" s="42"/>
      <c r="W299" s="95"/>
      <c r="X299" s="41"/>
      <c r="Y299" s="41"/>
      <c r="Z299" s="41"/>
      <c r="AA299" s="41"/>
      <c r="AB299" s="42"/>
      <c r="AC299" s="95"/>
      <c r="AD299" s="41"/>
      <c r="AE299" s="41"/>
      <c r="AF299" s="41"/>
      <c r="AG299" s="42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2"/>
    </row>
    <row r="300" spans="3:47" x14ac:dyDescent="0.25">
      <c r="C300" s="127">
        <f t="shared" si="218"/>
        <v>45724</v>
      </c>
      <c r="D300" s="274"/>
      <c r="E300" s="54"/>
      <c r="F300" s="53"/>
      <c r="G300" s="129"/>
      <c r="H300" s="297">
        <f>'Boat Expansion'!I1346</f>
        <v>0</v>
      </c>
      <c r="I300" s="98"/>
      <c r="J300" s="118"/>
      <c r="K300" s="95"/>
      <c r="L300" s="41"/>
      <c r="M300" s="41"/>
      <c r="N300" s="41"/>
      <c r="O300" s="41"/>
      <c r="P300" s="41"/>
      <c r="Q300" s="41"/>
      <c r="R300" s="41"/>
      <c r="S300" s="95"/>
      <c r="T300" s="41"/>
      <c r="U300" s="41"/>
      <c r="V300" s="42"/>
      <c r="W300" s="95"/>
      <c r="X300" s="41"/>
      <c r="Y300" s="41"/>
      <c r="Z300" s="41"/>
      <c r="AA300" s="41"/>
      <c r="AB300" s="42"/>
      <c r="AC300" s="95"/>
      <c r="AD300" s="41"/>
      <c r="AE300" s="41"/>
      <c r="AF300" s="41"/>
      <c r="AG300" s="42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2"/>
    </row>
    <row r="301" spans="3:47" x14ac:dyDescent="0.25">
      <c r="C301" s="127">
        <f t="shared" si="218"/>
        <v>45725</v>
      </c>
      <c r="D301" s="274"/>
      <c r="E301" s="54"/>
      <c r="F301" s="53"/>
      <c r="G301" s="129"/>
      <c r="H301" s="297"/>
      <c r="I301" s="98"/>
      <c r="J301" s="118"/>
      <c r="K301" s="95"/>
      <c r="L301" s="41"/>
      <c r="M301" s="41"/>
      <c r="N301" s="41"/>
      <c r="O301" s="41"/>
      <c r="P301" s="41"/>
      <c r="Q301" s="41"/>
      <c r="R301" s="41"/>
      <c r="S301" s="95"/>
      <c r="T301" s="41"/>
      <c r="U301" s="41"/>
      <c r="V301" s="42"/>
      <c r="W301" s="95"/>
      <c r="X301" s="41"/>
      <c r="Y301" s="41"/>
      <c r="Z301" s="41"/>
      <c r="AA301" s="41"/>
      <c r="AB301" s="42"/>
      <c r="AC301" s="95"/>
      <c r="AD301" s="41"/>
      <c r="AE301" s="41"/>
      <c r="AF301" s="41"/>
      <c r="AG301" s="42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2"/>
    </row>
    <row r="302" spans="3:47" x14ac:dyDescent="0.25">
      <c r="C302" s="127">
        <f t="shared" si="218"/>
        <v>45726</v>
      </c>
      <c r="D302" s="274"/>
      <c r="E302" s="54"/>
      <c r="F302" s="53"/>
      <c r="G302" s="129"/>
      <c r="H302" s="297"/>
      <c r="I302" s="98"/>
      <c r="J302" s="118"/>
      <c r="K302" s="95"/>
      <c r="L302" s="41"/>
      <c r="M302" s="41"/>
      <c r="N302" s="41"/>
      <c r="O302" s="41"/>
      <c r="P302" s="41"/>
      <c r="Q302" s="41"/>
      <c r="R302" s="41"/>
      <c r="S302" s="95"/>
      <c r="T302" s="41"/>
      <c r="U302" s="41"/>
      <c r="V302" s="42"/>
      <c r="W302" s="95"/>
      <c r="X302" s="41"/>
      <c r="Y302" s="41"/>
      <c r="Z302" s="41"/>
      <c r="AA302" s="41"/>
      <c r="AB302" s="42"/>
      <c r="AC302" s="95"/>
      <c r="AD302" s="41"/>
      <c r="AE302" s="41"/>
      <c r="AF302" s="41"/>
      <c r="AG302" s="42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2"/>
    </row>
    <row r="303" spans="3:47" x14ac:dyDescent="0.25">
      <c r="C303" s="127">
        <f t="shared" si="218"/>
        <v>45727</v>
      </c>
      <c r="D303" s="274"/>
      <c r="E303" s="54"/>
      <c r="F303" s="53"/>
      <c r="G303" s="129"/>
      <c r="H303" s="297"/>
      <c r="I303" s="98"/>
      <c r="J303" s="118"/>
      <c r="K303" s="95"/>
      <c r="L303" s="41"/>
      <c r="M303" s="41"/>
      <c r="N303" s="41"/>
      <c r="O303" s="41"/>
      <c r="P303" s="41"/>
      <c r="Q303" s="41"/>
      <c r="R303" s="41"/>
      <c r="S303" s="95"/>
      <c r="T303" s="41"/>
      <c r="U303" s="41"/>
      <c r="V303" s="42"/>
      <c r="W303" s="95"/>
      <c r="X303" s="41"/>
      <c r="Y303" s="41"/>
      <c r="Z303" s="41"/>
      <c r="AA303" s="41"/>
      <c r="AB303" s="42"/>
      <c r="AC303" s="95"/>
      <c r="AD303" s="41"/>
      <c r="AE303" s="41"/>
      <c r="AF303" s="41"/>
      <c r="AG303" s="42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2"/>
    </row>
    <row r="304" spans="3:47" x14ac:dyDescent="0.25">
      <c r="C304" s="239">
        <f t="shared" si="218"/>
        <v>45728</v>
      </c>
      <c r="D304" s="274"/>
      <c r="E304" s="54"/>
      <c r="F304" s="53"/>
      <c r="G304" s="129"/>
      <c r="H304" s="297"/>
      <c r="I304" s="98"/>
      <c r="J304" s="118"/>
      <c r="K304" s="95"/>
      <c r="L304" s="41"/>
      <c r="M304" s="41"/>
      <c r="N304" s="41"/>
      <c r="O304" s="41"/>
      <c r="P304" s="41"/>
      <c r="Q304" s="41"/>
      <c r="R304" s="41"/>
      <c r="S304" s="95"/>
      <c r="T304" s="41"/>
      <c r="U304" s="41"/>
      <c r="V304" s="42"/>
      <c r="W304" s="95"/>
      <c r="X304" s="41"/>
      <c r="Y304" s="41"/>
      <c r="Z304" s="41"/>
      <c r="AA304" s="41"/>
      <c r="AB304" s="42"/>
      <c r="AC304" s="95"/>
      <c r="AD304" s="41"/>
      <c r="AE304" s="41"/>
      <c r="AF304" s="41"/>
      <c r="AG304" s="42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2"/>
    </row>
    <row r="305" spans="3:47" x14ac:dyDescent="0.25">
      <c r="C305" s="239">
        <f>C304+1</f>
        <v>45729</v>
      </c>
      <c r="D305" s="274"/>
      <c r="E305" s="54"/>
      <c r="F305" s="53"/>
      <c r="G305" s="129"/>
      <c r="H305" s="297"/>
      <c r="I305" s="98"/>
      <c r="J305" s="118"/>
      <c r="K305" s="95"/>
      <c r="L305" s="41"/>
      <c r="M305" s="41"/>
      <c r="N305" s="41"/>
      <c r="O305" s="41"/>
      <c r="P305" s="41"/>
      <c r="Q305" s="41"/>
      <c r="R305" s="41"/>
      <c r="S305" s="95"/>
      <c r="T305" s="41"/>
      <c r="U305" s="41"/>
      <c r="V305" s="42"/>
      <c r="W305" s="95"/>
      <c r="X305" s="41"/>
      <c r="Y305" s="41"/>
      <c r="Z305" s="41"/>
      <c r="AA305" s="41"/>
      <c r="AB305" s="42"/>
      <c r="AC305" s="95"/>
      <c r="AD305" s="41"/>
      <c r="AE305" s="41"/>
      <c r="AF305" s="41"/>
      <c r="AG305" s="42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2"/>
    </row>
    <row r="306" spans="3:47" x14ac:dyDescent="0.25">
      <c r="C306" s="127">
        <f t="shared" ref="C306:C311" si="219">C305+1</f>
        <v>45730</v>
      </c>
      <c r="D306" s="274"/>
      <c r="E306" s="54"/>
      <c r="F306" s="53"/>
      <c r="G306" s="129"/>
      <c r="H306" s="297"/>
      <c r="I306" s="98"/>
      <c r="J306" s="118"/>
      <c r="K306" s="95"/>
      <c r="L306" s="41"/>
      <c r="M306" s="41"/>
      <c r="N306" s="41"/>
      <c r="O306" s="41"/>
      <c r="P306" s="41"/>
      <c r="Q306" s="41"/>
      <c r="R306" s="41"/>
      <c r="S306" s="95"/>
      <c r="T306" s="41"/>
      <c r="U306" s="41"/>
      <c r="V306" s="42"/>
      <c r="W306" s="95"/>
      <c r="X306" s="41"/>
      <c r="Y306" s="41"/>
      <c r="Z306" s="41"/>
      <c r="AA306" s="41"/>
      <c r="AB306" s="42"/>
      <c r="AC306" s="95"/>
      <c r="AD306" s="41"/>
      <c r="AE306" s="41"/>
      <c r="AF306" s="41"/>
      <c r="AG306" s="42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2"/>
    </row>
    <row r="307" spans="3:47" x14ac:dyDescent="0.25">
      <c r="C307" s="127">
        <f t="shared" si="219"/>
        <v>45731</v>
      </c>
      <c r="D307" s="274"/>
      <c r="E307" s="54"/>
      <c r="F307" s="53"/>
      <c r="G307" s="129"/>
      <c r="H307" s="297"/>
      <c r="I307" s="98"/>
      <c r="J307" s="118"/>
      <c r="K307" s="95"/>
      <c r="L307" s="41"/>
      <c r="M307" s="41"/>
      <c r="N307" s="41"/>
      <c r="O307" s="41"/>
      <c r="P307" s="41"/>
      <c r="Q307" s="41"/>
      <c r="R307" s="41"/>
      <c r="S307" s="95"/>
      <c r="T307" s="41"/>
      <c r="U307" s="41"/>
      <c r="V307" s="42"/>
      <c r="W307" s="95"/>
      <c r="X307" s="41"/>
      <c r="Y307" s="41"/>
      <c r="Z307" s="41"/>
      <c r="AA307" s="41"/>
      <c r="AB307" s="42"/>
      <c r="AC307" s="95"/>
      <c r="AD307" s="41"/>
      <c r="AE307" s="41"/>
      <c r="AF307" s="41"/>
      <c r="AG307" s="42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2"/>
    </row>
    <row r="308" spans="3:47" x14ac:dyDescent="0.25">
      <c r="C308" s="127">
        <f t="shared" si="219"/>
        <v>45732</v>
      </c>
      <c r="D308" s="274"/>
      <c r="E308" s="54"/>
      <c r="F308" s="53"/>
      <c r="G308" s="129"/>
      <c r="H308" s="297"/>
      <c r="I308" s="98"/>
      <c r="J308" s="118"/>
      <c r="K308" s="95"/>
      <c r="L308" s="41"/>
      <c r="M308" s="41"/>
      <c r="N308" s="41"/>
      <c r="O308" s="41"/>
      <c r="P308" s="41"/>
      <c r="Q308" s="41"/>
      <c r="R308" s="41"/>
      <c r="S308" s="95"/>
      <c r="T308" s="41"/>
      <c r="U308" s="41"/>
      <c r="V308" s="42"/>
      <c r="W308" s="95"/>
      <c r="X308" s="41"/>
      <c r="Y308" s="41"/>
      <c r="Z308" s="41"/>
      <c r="AA308" s="41"/>
      <c r="AB308" s="42"/>
      <c r="AC308" s="95"/>
      <c r="AD308" s="41"/>
      <c r="AE308" s="41"/>
      <c r="AF308" s="41"/>
      <c r="AG308" s="42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2"/>
    </row>
    <row r="309" spans="3:47" x14ac:dyDescent="0.25">
      <c r="C309" s="127">
        <f t="shared" si="219"/>
        <v>45733</v>
      </c>
      <c r="D309" s="274"/>
      <c r="E309" s="54"/>
      <c r="F309" s="53"/>
      <c r="G309" s="129"/>
      <c r="H309" s="297">
        <f>'Boat Expansion'!I1400</f>
        <v>0</v>
      </c>
      <c r="I309" s="98"/>
      <c r="J309" s="118"/>
      <c r="K309" s="95"/>
      <c r="L309" s="41"/>
      <c r="M309" s="41"/>
      <c r="N309" s="41"/>
      <c r="O309" s="41"/>
      <c r="P309" s="41"/>
      <c r="Q309" s="41"/>
      <c r="R309" s="41"/>
      <c r="S309" s="95"/>
      <c r="T309" s="41"/>
      <c r="U309" s="41"/>
      <c r="V309" s="42"/>
      <c r="W309" s="95"/>
      <c r="X309" s="41"/>
      <c r="Y309" s="41"/>
      <c r="Z309" s="41"/>
      <c r="AA309" s="41"/>
      <c r="AB309" s="42"/>
      <c r="AC309" s="95"/>
      <c r="AD309" s="41"/>
      <c r="AE309" s="41"/>
      <c r="AF309" s="41"/>
      <c r="AG309" s="42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2"/>
    </row>
    <row r="310" spans="3:47" x14ac:dyDescent="0.25">
      <c r="C310" s="127">
        <f t="shared" si="219"/>
        <v>45734</v>
      </c>
      <c r="D310" s="274"/>
      <c r="E310" s="54"/>
      <c r="F310" s="53"/>
      <c r="G310" s="129"/>
      <c r="H310" s="297">
        <f>'Boat Expansion'!I1406</f>
        <v>0</v>
      </c>
      <c r="I310" s="98"/>
      <c r="J310" s="118"/>
      <c r="K310" s="95"/>
      <c r="L310" s="41"/>
      <c r="M310" s="41"/>
      <c r="N310" s="41"/>
      <c r="O310" s="41"/>
      <c r="P310" s="41"/>
      <c r="Q310" s="41"/>
      <c r="R310" s="41"/>
      <c r="S310" s="95"/>
      <c r="T310" s="41"/>
      <c r="U310" s="41"/>
      <c r="V310" s="42"/>
      <c r="W310" s="95"/>
      <c r="X310" s="41"/>
      <c r="Y310" s="41"/>
      <c r="Z310" s="41"/>
      <c r="AA310" s="41"/>
      <c r="AB310" s="42"/>
      <c r="AC310" s="95"/>
      <c r="AD310" s="41"/>
      <c r="AE310" s="41"/>
      <c r="AF310" s="41"/>
      <c r="AG310" s="42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2"/>
    </row>
    <row r="311" spans="3:47" x14ac:dyDescent="0.25">
      <c r="C311" s="239">
        <f t="shared" si="219"/>
        <v>45735</v>
      </c>
      <c r="D311" s="274"/>
      <c r="E311" s="54"/>
      <c r="F311" s="53"/>
      <c r="G311" s="129"/>
      <c r="H311" s="297"/>
      <c r="I311" s="98"/>
      <c r="J311" s="118"/>
      <c r="K311" s="95"/>
      <c r="L311" s="41"/>
      <c r="M311" s="41"/>
      <c r="N311" s="41"/>
      <c r="O311" s="41"/>
      <c r="P311" s="41"/>
      <c r="Q311" s="41"/>
      <c r="R311" s="41"/>
      <c r="S311" s="95"/>
      <c r="T311" s="41"/>
      <c r="U311" s="41"/>
      <c r="V311" s="42"/>
      <c r="W311" s="95"/>
      <c r="X311" s="41"/>
      <c r="Y311" s="41"/>
      <c r="Z311" s="41"/>
      <c r="AA311" s="41"/>
      <c r="AB311" s="42"/>
      <c r="AC311" s="95"/>
      <c r="AD311" s="41"/>
      <c r="AE311" s="41"/>
      <c r="AF311" s="41"/>
      <c r="AG311" s="42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2"/>
    </row>
    <row r="312" spans="3:47" x14ac:dyDescent="0.25">
      <c r="C312" s="239">
        <f>C311+1</f>
        <v>45736</v>
      </c>
      <c r="D312" s="274"/>
      <c r="E312" s="54"/>
      <c r="F312" s="53"/>
      <c r="G312" s="129"/>
      <c r="H312" s="297"/>
      <c r="I312" s="98"/>
      <c r="J312" s="118"/>
      <c r="K312" s="95"/>
      <c r="L312" s="41"/>
      <c r="M312" s="41"/>
      <c r="N312" s="41"/>
      <c r="O312" s="41"/>
      <c r="P312" s="41"/>
      <c r="Q312" s="41"/>
      <c r="R312" s="41"/>
      <c r="S312" s="95"/>
      <c r="T312" s="41"/>
      <c r="U312" s="41"/>
      <c r="V312" s="42"/>
      <c r="W312" s="95"/>
      <c r="X312" s="41"/>
      <c r="Y312" s="41"/>
      <c r="Z312" s="41"/>
      <c r="AA312" s="41"/>
      <c r="AB312" s="42"/>
      <c r="AC312" s="95"/>
      <c r="AD312" s="41"/>
      <c r="AE312" s="41"/>
      <c r="AF312" s="41"/>
      <c r="AG312" s="42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2"/>
    </row>
    <row r="313" spans="3:47" x14ac:dyDescent="0.25">
      <c r="C313" s="127">
        <f t="shared" ref="C313:C320" si="220">C312+1</f>
        <v>45737</v>
      </c>
      <c r="D313" s="274"/>
      <c r="E313" s="54"/>
      <c r="F313" s="53"/>
      <c r="G313" s="129"/>
      <c r="H313" s="297"/>
      <c r="I313" s="98"/>
      <c r="J313" s="118"/>
      <c r="K313" s="95"/>
      <c r="L313" s="41"/>
      <c r="M313" s="41"/>
      <c r="N313" s="41"/>
      <c r="O313" s="41"/>
      <c r="P313" s="41"/>
      <c r="Q313" s="41"/>
      <c r="R313" s="41"/>
      <c r="S313" s="95"/>
      <c r="T313" s="41"/>
      <c r="U313" s="41"/>
      <c r="V313" s="42"/>
      <c r="W313" s="95"/>
      <c r="X313" s="41"/>
      <c r="Y313" s="41"/>
      <c r="Z313" s="41"/>
      <c r="AA313" s="41"/>
      <c r="AB313" s="42"/>
      <c r="AC313" s="95"/>
      <c r="AD313" s="41"/>
      <c r="AE313" s="41"/>
      <c r="AF313" s="41"/>
      <c r="AG313" s="42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2"/>
    </row>
    <row r="314" spans="3:47" x14ac:dyDescent="0.25">
      <c r="C314" s="127">
        <f t="shared" si="220"/>
        <v>45738</v>
      </c>
      <c r="D314" s="274"/>
      <c r="E314" s="54"/>
      <c r="F314" s="53"/>
      <c r="G314" s="129"/>
      <c r="H314" s="297">
        <f>'Boat Expansion'!I1430</f>
        <v>0</v>
      </c>
      <c r="I314" s="98"/>
      <c r="J314" s="118"/>
      <c r="K314" s="95"/>
      <c r="L314" s="41"/>
      <c r="M314" s="41"/>
      <c r="N314" s="41"/>
      <c r="O314" s="41"/>
      <c r="P314" s="41"/>
      <c r="Q314" s="41"/>
      <c r="R314" s="41"/>
      <c r="S314" s="95"/>
      <c r="T314" s="41"/>
      <c r="U314" s="41"/>
      <c r="V314" s="42"/>
      <c r="W314" s="95"/>
      <c r="X314" s="41"/>
      <c r="Y314" s="41"/>
      <c r="Z314" s="41"/>
      <c r="AA314" s="41"/>
      <c r="AB314" s="42"/>
      <c r="AC314" s="95"/>
      <c r="AD314" s="41"/>
      <c r="AE314" s="41"/>
      <c r="AF314" s="41"/>
      <c r="AG314" s="42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2"/>
    </row>
    <row r="315" spans="3:47" x14ac:dyDescent="0.25">
      <c r="C315" s="127">
        <f t="shared" si="220"/>
        <v>45739</v>
      </c>
      <c r="D315" s="274"/>
      <c r="E315" s="54"/>
      <c r="F315" s="53"/>
      <c r="G315" s="129"/>
      <c r="H315" s="297"/>
      <c r="I315" s="98"/>
      <c r="J315" s="118"/>
      <c r="K315" s="95"/>
      <c r="L315" s="41"/>
      <c r="M315" s="41"/>
      <c r="N315" s="41"/>
      <c r="O315" s="41"/>
      <c r="P315" s="41"/>
      <c r="Q315" s="41"/>
      <c r="R315" s="41"/>
      <c r="S315" s="95"/>
      <c r="T315" s="41"/>
      <c r="U315" s="41"/>
      <c r="V315" s="42"/>
      <c r="W315" s="95"/>
      <c r="X315" s="41"/>
      <c r="Y315" s="41"/>
      <c r="Z315" s="41"/>
      <c r="AA315" s="41"/>
      <c r="AB315" s="42"/>
      <c r="AC315" s="95"/>
      <c r="AD315" s="41"/>
      <c r="AE315" s="41"/>
      <c r="AF315" s="41"/>
      <c r="AG315" s="42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2"/>
    </row>
    <row r="316" spans="3:47" x14ac:dyDescent="0.25">
      <c r="C316" s="127">
        <f t="shared" si="220"/>
        <v>45740</v>
      </c>
      <c r="D316" s="274"/>
      <c r="E316" s="54"/>
      <c r="F316" s="53"/>
      <c r="G316" s="129"/>
      <c r="H316" s="297"/>
      <c r="I316" s="98"/>
      <c r="J316" s="118"/>
      <c r="K316" s="95"/>
      <c r="L316" s="41"/>
      <c r="M316" s="41"/>
      <c r="N316" s="41"/>
      <c r="O316" s="41"/>
      <c r="P316" s="41"/>
      <c r="Q316" s="41"/>
      <c r="R316" s="41"/>
      <c r="S316" s="95"/>
      <c r="T316" s="41"/>
      <c r="U316" s="41"/>
      <c r="V316" s="42"/>
      <c r="W316" s="95"/>
      <c r="X316" s="41"/>
      <c r="Y316" s="41"/>
      <c r="Z316" s="41"/>
      <c r="AA316" s="41"/>
      <c r="AB316" s="42"/>
      <c r="AC316" s="95"/>
      <c r="AD316" s="41"/>
      <c r="AE316" s="41"/>
      <c r="AF316" s="41"/>
      <c r="AG316" s="42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2"/>
    </row>
    <row r="317" spans="3:47" x14ac:dyDescent="0.25">
      <c r="C317" s="127">
        <f t="shared" si="220"/>
        <v>45741</v>
      </c>
      <c r="D317" s="274"/>
      <c r="E317" s="54"/>
      <c r="F317" s="53"/>
      <c r="G317" s="129"/>
      <c r="H317" s="297"/>
      <c r="I317" s="98"/>
      <c r="J317" s="118"/>
      <c r="K317" s="95"/>
      <c r="L317" s="41"/>
      <c r="M317" s="41"/>
      <c r="N317" s="41"/>
      <c r="O317" s="41"/>
      <c r="P317" s="41"/>
      <c r="Q317" s="41"/>
      <c r="R317" s="41"/>
      <c r="S317" s="95"/>
      <c r="T317" s="41"/>
      <c r="U317" s="41"/>
      <c r="V317" s="42"/>
      <c r="W317" s="95"/>
      <c r="X317" s="41"/>
      <c r="Y317" s="41"/>
      <c r="Z317" s="41"/>
      <c r="AA317" s="41"/>
      <c r="AB317" s="42"/>
      <c r="AC317" s="95"/>
      <c r="AD317" s="41"/>
      <c r="AE317" s="41"/>
      <c r="AF317" s="41"/>
      <c r="AG317" s="42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2"/>
    </row>
    <row r="318" spans="3:47" x14ac:dyDescent="0.25">
      <c r="C318" s="127">
        <f t="shared" si="220"/>
        <v>45742</v>
      </c>
      <c r="D318" s="274"/>
      <c r="E318" s="54"/>
      <c r="F318" s="53"/>
      <c r="G318" s="129"/>
      <c r="H318" s="297"/>
      <c r="I318" s="98"/>
      <c r="J318" s="118"/>
      <c r="K318" s="95"/>
      <c r="L318" s="41"/>
      <c r="M318" s="41"/>
      <c r="N318" s="41"/>
      <c r="O318" s="41"/>
      <c r="P318" s="41"/>
      <c r="Q318" s="41"/>
      <c r="R318" s="41"/>
      <c r="S318" s="95"/>
      <c r="T318" s="41"/>
      <c r="U318" s="41"/>
      <c r="V318" s="42"/>
      <c r="W318" s="95"/>
      <c r="X318" s="41"/>
      <c r="Y318" s="41"/>
      <c r="Z318" s="41"/>
      <c r="AA318" s="41"/>
      <c r="AB318" s="42"/>
      <c r="AC318" s="95"/>
      <c r="AD318" s="41"/>
      <c r="AE318" s="41"/>
      <c r="AF318" s="41"/>
      <c r="AG318" s="42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2"/>
    </row>
    <row r="319" spans="3:47" x14ac:dyDescent="0.25">
      <c r="C319" s="127">
        <f t="shared" si="220"/>
        <v>45743</v>
      </c>
      <c r="D319" s="274"/>
      <c r="E319" s="54"/>
      <c r="F319" s="53"/>
      <c r="G319" s="129"/>
      <c r="H319" s="297"/>
      <c r="I319" s="98"/>
      <c r="J319" s="118"/>
      <c r="K319" s="95"/>
      <c r="L319" s="41"/>
      <c r="M319" s="41"/>
      <c r="N319" s="41"/>
      <c r="O319" s="41"/>
      <c r="P319" s="41"/>
      <c r="Q319" s="41"/>
      <c r="R319" s="41"/>
      <c r="S319" s="95"/>
      <c r="T319" s="41"/>
      <c r="U319" s="41"/>
      <c r="V319" s="42"/>
      <c r="W319" s="95"/>
      <c r="X319" s="41"/>
      <c r="Y319" s="41"/>
      <c r="Z319" s="41"/>
      <c r="AA319" s="41"/>
      <c r="AB319" s="42"/>
      <c r="AC319" s="95"/>
      <c r="AD319" s="41"/>
      <c r="AE319" s="41"/>
      <c r="AF319" s="41"/>
      <c r="AG319" s="42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2"/>
    </row>
    <row r="320" spans="3:47" x14ac:dyDescent="0.25">
      <c r="C320" s="127">
        <f t="shared" si="220"/>
        <v>45744</v>
      </c>
      <c r="D320" s="274"/>
      <c r="E320" s="54"/>
      <c r="F320" s="53"/>
      <c r="G320" s="129"/>
      <c r="H320" s="297">
        <f>'Boat Expansion'!I1466</f>
        <v>0</v>
      </c>
      <c r="I320" s="98"/>
      <c r="J320" s="118"/>
      <c r="K320" s="95"/>
      <c r="L320" s="41"/>
      <c r="M320" s="41"/>
      <c r="N320" s="41"/>
      <c r="O320" s="41"/>
      <c r="P320" s="41"/>
      <c r="Q320" s="41"/>
      <c r="R320" s="41"/>
      <c r="S320" s="95"/>
      <c r="T320" s="41"/>
      <c r="U320" s="41"/>
      <c r="V320" s="42"/>
      <c r="W320" s="95"/>
      <c r="X320" s="41"/>
      <c r="Y320" s="41"/>
      <c r="Z320" s="41"/>
      <c r="AA320" s="41"/>
      <c r="AB320" s="42"/>
      <c r="AC320" s="95"/>
      <c r="AD320" s="41"/>
      <c r="AE320" s="41"/>
      <c r="AF320" s="41"/>
      <c r="AG320" s="42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2"/>
    </row>
    <row r="321" spans="3:47" ht="16.5" thickBot="1" x14ac:dyDescent="0.3">
      <c r="C321" s="130">
        <f>C320+1</f>
        <v>45745</v>
      </c>
      <c r="D321" s="275"/>
      <c r="E321" s="99"/>
      <c r="F321" s="100"/>
      <c r="G321" s="131"/>
      <c r="H321" s="299"/>
      <c r="I321" s="102"/>
      <c r="J321" s="118"/>
      <c r="K321" s="96"/>
      <c r="L321" s="76"/>
      <c r="M321" s="76"/>
      <c r="N321" s="76"/>
      <c r="O321" s="76"/>
      <c r="P321" s="76"/>
      <c r="Q321" s="76"/>
      <c r="R321" s="76"/>
      <c r="S321" s="96"/>
      <c r="T321" s="76"/>
      <c r="U321" s="76"/>
      <c r="V321" s="77"/>
      <c r="W321" s="96"/>
      <c r="X321" s="76"/>
      <c r="Y321" s="76"/>
      <c r="Z321" s="76"/>
      <c r="AA321" s="76"/>
      <c r="AB321" s="77"/>
      <c r="AC321" s="96"/>
      <c r="AD321" s="76"/>
      <c r="AE321" s="76"/>
      <c r="AF321" s="76"/>
      <c r="AG321" s="77"/>
      <c r="AH321" s="76"/>
      <c r="AI321" s="76"/>
      <c r="AJ321" s="76"/>
      <c r="AK321" s="76"/>
      <c r="AL321" s="76"/>
      <c r="AM321" s="76"/>
      <c r="AN321" s="76"/>
      <c r="AO321" s="76"/>
      <c r="AP321" s="76"/>
      <c r="AQ321" s="76"/>
      <c r="AR321" s="76"/>
      <c r="AS321" s="76"/>
      <c r="AT321" s="76"/>
      <c r="AU321" s="77"/>
    </row>
    <row r="322" spans="3:47" ht="17.25" thickTop="1" thickBot="1" x14ac:dyDescent="0.3">
      <c r="C322" s="132" t="s">
        <v>17</v>
      </c>
      <c r="D322" s="276"/>
      <c r="E322" s="133">
        <f>SUM(E291:E321)</f>
        <v>0</v>
      </c>
      <c r="F322" s="101">
        <f>SUM(F291:F321)</f>
        <v>0</v>
      </c>
      <c r="G322" s="134">
        <f>SUM(G291:G321)</f>
        <v>0</v>
      </c>
      <c r="H322" s="300">
        <f>SUM(H291:H321)</f>
        <v>0</v>
      </c>
      <c r="I322" s="56" t="e">
        <f>E322/H322</f>
        <v>#DIV/0!</v>
      </c>
      <c r="J322" s="146"/>
      <c r="K322" s="166">
        <f t="shared" ref="K322:AU322" si="221">SUM(K291:K321)</f>
        <v>0</v>
      </c>
      <c r="L322" s="167">
        <f t="shared" si="221"/>
        <v>0</v>
      </c>
      <c r="M322" s="167">
        <f t="shared" si="221"/>
        <v>0</v>
      </c>
      <c r="N322" s="167">
        <f t="shared" si="221"/>
        <v>0</v>
      </c>
      <c r="O322" s="167">
        <f t="shared" si="221"/>
        <v>0</v>
      </c>
      <c r="P322" s="167">
        <f t="shared" si="221"/>
        <v>0</v>
      </c>
      <c r="Q322" s="167">
        <f t="shared" si="221"/>
        <v>0</v>
      </c>
      <c r="R322" s="168">
        <f t="shared" si="221"/>
        <v>0</v>
      </c>
      <c r="S322" s="166">
        <f t="shared" si="221"/>
        <v>0</v>
      </c>
      <c r="T322" s="167">
        <f t="shared" si="221"/>
        <v>0</v>
      </c>
      <c r="U322" s="167">
        <f t="shared" si="221"/>
        <v>0</v>
      </c>
      <c r="V322" s="168">
        <f t="shared" si="221"/>
        <v>0</v>
      </c>
      <c r="W322" s="166">
        <f t="shared" si="221"/>
        <v>0</v>
      </c>
      <c r="X322" s="167">
        <f t="shared" si="221"/>
        <v>0</v>
      </c>
      <c r="Y322" s="167">
        <f t="shared" si="221"/>
        <v>0</v>
      </c>
      <c r="Z322" s="167">
        <f t="shared" si="221"/>
        <v>0</v>
      </c>
      <c r="AA322" s="167">
        <f t="shared" si="221"/>
        <v>0</v>
      </c>
      <c r="AB322" s="168">
        <f t="shared" si="221"/>
        <v>0</v>
      </c>
      <c r="AC322" s="166">
        <f t="shared" si="221"/>
        <v>0</v>
      </c>
      <c r="AD322" s="167">
        <f t="shared" si="221"/>
        <v>0</v>
      </c>
      <c r="AE322" s="167">
        <f t="shared" si="221"/>
        <v>0</v>
      </c>
      <c r="AF322" s="167">
        <f t="shared" si="221"/>
        <v>0</v>
      </c>
      <c r="AG322" s="168">
        <f t="shared" si="221"/>
        <v>0</v>
      </c>
      <c r="AH322" s="166">
        <f t="shared" si="221"/>
        <v>0</v>
      </c>
      <c r="AI322" s="167">
        <f t="shared" si="221"/>
        <v>0</v>
      </c>
      <c r="AJ322" s="167">
        <f t="shared" si="221"/>
        <v>0</v>
      </c>
      <c r="AK322" s="167">
        <f t="shared" si="221"/>
        <v>0</v>
      </c>
      <c r="AL322" s="167">
        <f t="shared" si="221"/>
        <v>0</v>
      </c>
      <c r="AM322" s="167">
        <f t="shared" si="221"/>
        <v>0</v>
      </c>
      <c r="AN322" s="167">
        <f t="shared" si="221"/>
        <v>0</v>
      </c>
      <c r="AO322" s="167">
        <f t="shared" si="221"/>
        <v>0</v>
      </c>
      <c r="AP322" s="167">
        <f t="shared" si="221"/>
        <v>0</v>
      </c>
      <c r="AQ322" s="167">
        <f t="shared" si="221"/>
        <v>0</v>
      </c>
      <c r="AR322" s="167">
        <f t="shared" si="221"/>
        <v>0</v>
      </c>
      <c r="AS322" s="167">
        <f t="shared" si="221"/>
        <v>0</v>
      </c>
      <c r="AT322" s="167">
        <f t="shared" si="221"/>
        <v>0</v>
      </c>
      <c r="AU322" s="168">
        <f t="shared" si="221"/>
        <v>0</v>
      </c>
    </row>
    <row r="323" spans="3:47" ht="16.5" thickBot="1" x14ac:dyDescent="0.3">
      <c r="K323" s="163" t="e">
        <f>K322/$I322</f>
        <v>#DIV/0!</v>
      </c>
      <c r="L323" s="164" t="e">
        <f t="shared" ref="L323:AO323" si="222">L322/$I322</f>
        <v>#DIV/0!</v>
      </c>
      <c r="M323" s="164" t="e">
        <f t="shared" si="222"/>
        <v>#DIV/0!</v>
      </c>
      <c r="N323" s="164" t="e">
        <f t="shared" si="222"/>
        <v>#DIV/0!</v>
      </c>
      <c r="O323" s="164" t="e">
        <f t="shared" si="222"/>
        <v>#DIV/0!</v>
      </c>
      <c r="P323" s="164" t="e">
        <f t="shared" si="222"/>
        <v>#DIV/0!</v>
      </c>
      <c r="Q323" s="164" t="e">
        <f t="shared" si="222"/>
        <v>#DIV/0!</v>
      </c>
      <c r="R323" s="164" t="e">
        <f t="shared" si="222"/>
        <v>#DIV/0!</v>
      </c>
      <c r="S323" s="163" t="e">
        <f t="shared" si="222"/>
        <v>#DIV/0!</v>
      </c>
      <c r="T323" s="164" t="e">
        <f t="shared" si="222"/>
        <v>#DIV/0!</v>
      </c>
      <c r="U323" s="164" t="e">
        <f t="shared" si="222"/>
        <v>#DIV/0!</v>
      </c>
      <c r="V323" s="165" t="e">
        <f t="shared" si="222"/>
        <v>#DIV/0!</v>
      </c>
      <c r="W323" s="164" t="e">
        <f t="shared" si="222"/>
        <v>#DIV/0!</v>
      </c>
      <c r="X323" s="164" t="e">
        <f t="shared" si="222"/>
        <v>#DIV/0!</v>
      </c>
      <c r="Y323" s="164" t="e">
        <f t="shared" si="222"/>
        <v>#DIV/0!</v>
      </c>
      <c r="Z323" s="164" t="e">
        <f t="shared" si="222"/>
        <v>#DIV/0!</v>
      </c>
      <c r="AA323" s="164" t="e">
        <f t="shared" si="222"/>
        <v>#DIV/0!</v>
      </c>
      <c r="AB323" s="164" t="e">
        <f t="shared" si="222"/>
        <v>#DIV/0!</v>
      </c>
      <c r="AC323" s="163" t="e">
        <f t="shared" si="222"/>
        <v>#DIV/0!</v>
      </c>
      <c r="AD323" s="164" t="e">
        <f t="shared" si="222"/>
        <v>#DIV/0!</v>
      </c>
      <c r="AE323" s="164" t="e">
        <f t="shared" si="222"/>
        <v>#DIV/0!</v>
      </c>
      <c r="AF323" s="164" t="e">
        <f t="shared" si="222"/>
        <v>#DIV/0!</v>
      </c>
      <c r="AG323" s="165" t="e">
        <f t="shared" si="222"/>
        <v>#DIV/0!</v>
      </c>
      <c r="AH323" s="164" t="e">
        <f t="shared" si="222"/>
        <v>#DIV/0!</v>
      </c>
      <c r="AI323" s="164" t="e">
        <f t="shared" si="222"/>
        <v>#DIV/0!</v>
      </c>
      <c r="AJ323" s="164" t="e">
        <f t="shared" si="222"/>
        <v>#DIV/0!</v>
      </c>
      <c r="AK323" s="164" t="e">
        <f t="shared" si="222"/>
        <v>#DIV/0!</v>
      </c>
      <c r="AL323" s="164" t="e">
        <f t="shared" si="222"/>
        <v>#DIV/0!</v>
      </c>
      <c r="AM323" s="164" t="e">
        <f t="shared" si="222"/>
        <v>#DIV/0!</v>
      </c>
      <c r="AN323" s="164" t="e">
        <f t="shared" si="222"/>
        <v>#DIV/0!</v>
      </c>
      <c r="AO323" s="164" t="e">
        <f t="shared" si="222"/>
        <v>#DIV/0!</v>
      </c>
      <c r="AP323" s="164" t="e">
        <f t="shared" ref="AP323:AQ323" si="223">AP322/$I322</f>
        <v>#DIV/0!</v>
      </c>
      <c r="AQ323" s="164" t="e">
        <f t="shared" si="223"/>
        <v>#DIV/0!</v>
      </c>
      <c r="AR323" s="164" t="e">
        <f t="shared" ref="AR323:AU323" si="224">AR322/$I322</f>
        <v>#DIV/0!</v>
      </c>
      <c r="AS323" s="164" t="e">
        <f t="shared" si="224"/>
        <v>#DIV/0!</v>
      </c>
      <c r="AT323" s="164" t="e">
        <f t="shared" si="224"/>
        <v>#DIV/0!</v>
      </c>
      <c r="AU323" s="165" t="e">
        <f t="shared" si="224"/>
        <v>#DIV/0!</v>
      </c>
    </row>
  </sheetData>
  <mergeCells count="27">
    <mergeCell ref="AP13:AQ13"/>
    <mergeCell ref="W13:X13"/>
    <mergeCell ref="E11:F11"/>
    <mergeCell ref="K11:R11"/>
    <mergeCell ref="K13:L13"/>
    <mergeCell ref="M13:N13"/>
    <mergeCell ref="K12:N12"/>
    <mergeCell ref="O12:R12"/>
    <mergeCell ref="O13:P13"/>
    <mergeCell ref="Q13:R13"/>
    <mergeCell ref="D12:G12"/>
    <mergeCell ref="K10:AU10"/>
    <mergeCell ref="W11:AB11"/>
    <mergeCell ref="AC12:AG12"/>
    <mergeCell ref="AN13:AO13"/>
    <mergeCell ref="AR13:AS13"/>
    <mergeCell ref="AT13:AU13"/>
    <mergeCell ref="AD13:AE13"/>
    <mergeCell ref="AL13:AM13"/>
    <mergeCell ref="S11:V11"/>
    <mergeCell ref="S13:T13"/>
    <mergeCell ref="U13:V13"/>
    <mergeCell ref="Y13:Z13"/>
    <mergeCell ref="AA12:AB12"/>
    <mergeCell ref="W12:Z12"/>
    <mergeCell ref="AH13:AI13"/>
    <mergeCell ref="AJ13:AK13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G215"/>
  <sheetViews>
    <sheetView zoomScale="75" zoomScaleNormal="75" workbookViewId="0">
      <pane xSplit="5" ySplit="8" topLeftCell="F136" activePane="bottomRight" state="frozen"/>
      <selection pane="topRight" activeCell="D1" sqref="D1"/>
      <selection pane="bottomLeft" activeCell="A9" sqref="A9"/>
      <selection pane="bottomRight" activeCell="R158" sqref="R158"/>
    </sheetView>
  </sheetViews>
  <sheetFormatPr defaultColWidth="8.75" defaultRowHeight="15.75" x14ac:dyDescent="0.25"/>
  <cols>
    <col min="1" max="1" width="6.875" style="21" customWidth="1"/>
    <col min="2" max="2" width="7.625" style="21" customWidth="1"/>
    <col min="3" max="3" width="7.625" style="24" customWidth="1"/>
    <col min="4" max="4" width="7.75" style="21" customWidth="1"/>
    <col min="5" max="6" width="8.75" style="21" customWidth="1"/>
    <col min="7" max="7" width="3.5" style="21" customWidth="1"/>
    <col min="8" max="8" width="7.375" style="21" customWidth="1"/>
    <col min="9" max="9" width="6.625" style="21" customWidth="1"/>
    <col min="10" max="10" width="10.25" style="21" customWidth="1"/>
    <col min="11" max="11" width="11.875" style="21" customWidth="1"/>
    <col min="12" max="12" width="7.25" style="21" customWidth="1"/>
    <col min="13" max="13" width="9.5" style="21" customWidth="1"/>
    <col min="14" max="14" width="7.5" style="21" customWidth="1"/>
    <col min="15" max="15" width="3.5" style="21" customWidth="1"/>
    <col min="16" max="52" width="6.75" style="21" customWidth="1"/>
    <col min="53" max="86" width="5.75" style="21" customWidth="1"/>
    <col min="87" max="88" width="7.75" style="21" bestFit="1" customWidth="1"/>
    <col min="89" max="89" width="2.75" style="21" customWidth="1"/>
    <col min="90" max="90" width="8.75" style="21"/>
    <col min="91" max="91" width="2.75" style="21" customWidth="1"/>
    <col min="92" max="92" width="7.75" style="21" bestFit="1" customWidth="1"/>
    <col min="93" max="126" width="6.75" style="21" customWidth="1"/>
    <col min="127" max="16384" width="8.75" style="21"/>
  </cols>
  <sheetData>
    <row r="1" spans="2:162" x14ac:dyDescent="0.25">
      <c r="P1" s="25">
        <v>1</v>
      </c>
      <c r="Q1" s="25">
        <v>2</v>
      </c>
      <c r="R1" s="25">
        <v>3</v>
      </c>
      <c r="S1" s="25">
        <v>4</v>
      </c>
      <c r="T1" s="25">
        <v>5</v>
      </c>
      <c r="U1" s="25">
        <v>6</v>
      </c>
      <c r="V1" s="25">
        <v>7</v>
      </c>
      <c r="W1" s="25">
        <v>8</v>
      </c>
      <c r="X1" s="25">
        <v>9</v>
      </c>
      <c r="Y1" s="25">
        <v>10</v>
      </c>
      <c r="Z1" s="25">
        <v>11</v>
      </c>
      <c r="AA1" s="25">
        <v>12</v>
      </c>
      <c r="AB1" s="25">
        <v>13</v>
      </c>
      <c r="AC1" s="25">
        <v>14</v>
      </c>
      <c r="AD1" s="25">
        <v>15</v>
      </c>
      <c r="AE1" s="25">
        <v>16</v>
      </c>
      <c r="AF1" s="25">
        <v>17</v>
      </c>
      <c r="AG1" s="25">
        <v>18</v>
      </c>
      <c r="AH1" s="25">
        <v>19</v>
      </c>
      <c r="AI1" s="25">
        <v>20</v>
      </c>
      <c r="AJ1" s="25">
        <v>21</v>
      </c>
      <c r="AK1" s="25">
        <v>22</v>
      </c>
      <c r="AL1" s="25">
        <v>23</v>
      </c>
      <c r="AM1" s="25">
        <v>24</v>
      </c>
      <c r="AN1" s="25">
        <v>25</v>
      </c>
      <c r="AO1" s="25">
        <v>26</v>
      </c>
      <c r="AP1" s="25">
        <v>27</v>
      </c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>
        <v>28</v>
      </c>
      <c r="BB1" s="95">
        <v>0</v>
      </c>
      <c r="BC1" s="41">
        <v>0</v>
      </c>
      <c r="BD1" s="41">
        <v>0</v>
      </c>
      <c r="BE1" s="41">
        <v>0</v>
      </c>
      <c r="BF1" s="41">
        <v>0</v>
      </c>
      <c r="BG1" s="41">
        <v>0</v>
      </c>
      <c r="BH1" s="41">
        <v>0</v>
      </c>
      <c r="BI1" s="42">
        <v>0</v>
      </c>
      <c r="BJ1" s="95">
        <v>0</v>
      </c>
      <c r="BK1" s="41">
        <v>0</v>
      </c>
      <c r="BL1" s="41">
        <v>0</v>
      </c>
      <c r="BM1" s="42">
        <v>0</v>
      </c>
      <c r="BN1" s="95">
        <v>0</v>
      </c>
      <c r="BO1" s="41">
        <v>0</v>
      </c>
      <c r="BP1" s="41">
        <v>0</v>
      </c>
      <c r="BQ1" s="41">
        <v>0</v>
      </c>
      <c r="BR1" s="41">
        <v>0</v>
      </c>
      <c r="BS1" s="42">
        <v>0</v>
      </c>
      <c r="BT1" s="95">
        <v>0</v>
      </c>
      <c r="BU1" s="41">
        <v>0</v>
      </c>
      <c r="BV1" s="41">
        <v>0</v>
      </c>
      <c r="BW1" s="41">
        <v>0</v>
      </c>
      <c r="BX1" s="42">
        <v>0</v>
      </c>
      <c r="BY1" s="95">
        <v>0</v>
      </c>
      <c r="BZ1" s="41">
        <v>0</v>
      </c>
      <c r="CA1" s="41">
        <v>0</v>
      </c>
      <c r="CB1" s="41">
        <v>0</v>
      </c>
      <c r="CC1" s="41">
        <v>0</v>
      </c>
      <c r="CD1" s="41">
        <v>0</v>
      </c>
      <c r="CE1" s="41">
        <v>0</v>
      </c>
      <c r="CF1" s="41">
        <v>0</v>
      </c>
      <c r="CG1" s="41">
        <v>0</v>
      </c>
      <c r="CH1" s="41">
        <v>0</v>
      </c>
      <c r="CI1" s="41">
        <v>0</v>
      </c>
      <c r="CJ1" s="42">
        <v>0</v>
      </c>
    </row>
    <row r="2" spans="2:162" ht="18.75" x14ac:dyDescent="0.3">
      <c r="B2" s="10" t="s">
        <v>58</v>
      </c>
      <c r="C2" s="257"/>
    </row>
    <row r="3" spans="2:162" ht="16.5" thickBot="1" x14ac:dyDescent="0.3">
      <c r="BB3" s="1" t="s">
        <v>44</v>
      </c>
      <c r="DX3" s="1" t="s">
        <v>42</v>
      </c>
    </row>
    <row r="4" spans="2:162" ht="16.5" thickBot="1" x14ac:dyDescent="0.3">
      <c r="B4" s="51"/>
      <c r="C4" s="258"/>
      <c r="D4" s="51"/>
      <c r="E4" s="51"/>
      <c r="F4" s="51"/>
      <c r="G4" s="51"/>
      <c r="M4" s="215" t="s">
        <v>88</v>
      </c>
      <c r="N4" s="25">
        <v>1.1000000000000001</v>
      </c>
      <c r="O4" s="51"/>
      <c r="P4" s="377" t="s">
        <v>50</v>
      </c>
      <c r="Q4" s="378"/>
      <c r="R4" s="378"/>
      <c r="S4" s="378"/>
      <c r="T4" s="378"/>
      <c r="U4" s="378"/>
      <c r="V4" s="378"/>
      <c r="W4" s="378"/>
      <c r="X4" s="378"/>
      <c r="Y4" s="378"/>
      <c r="Z4" s="378"/>
      <c r="AA4" s="378"/>
      <c r="AB4" s="378"/>
      <c r="AC4" s="378"/>
      <c r="AD4" s="378"/>
      <c r="AE4" s="378"/>
      <c r="AF4" s="378"/>
      <c r="AG4" s="378"/>
      <c r="AH4" s="379"/>
      <c r="AI4" s="379"/>
      <c r="AJ4" s="379"/>
      <c r="AK4" s="379"/>
      <c r="AL4" s="379"/>
      <c r="AM4" s="378"/>
      <c r="AN4" s="378"/>
      <c r="AO4" s="378"/>
      <c r="AP4" s="378"/>
      <c r="AQ4" s="378"/>
      <c r="AR4" s="378"/>
      <c r="AS4" s="378"/>
      <c r="AT4" s="378"/>
      <c r="AU4" s="378"/>
      <c r="AV4" s="378"/>
      <c r="AW4" s="378"/>
      <c r="AX4" s="378"/>
      <c r="AY4" s="378"/>
      <c r="AZ4" s="380"/>
      <c r="BB4" s="377" t="s">
        <v>42</v>
      </c>
      <c r="BC4" s="378"/>
      <c r="BD4" s="378"/>
      <c r="BE4" s="378"/>
      <c r="BF4" s="378"/>
      <c r="BG4" s="378"/>
      <c r="BH4" s="378"/>
      <c r="BI4" s="378"/>
      <c r="BJ4" s="378"/>
      <c r="BK4" s="378"/>
      <c r="BL4" s="378"/>
      <c r="BM4" s="378"/>
      <c r="BN4" s="378"/>
      <c r="BO4" s="378"/>
      <c r="BP4" s="378"/>
      <c r="BQ4" s="378"/>
      <c r="BR4" s="378"/>
      <c r="BS4" s="378"/>
      <c r="BT4" s="379"/>
      <c r="BU4" s="379"/>
      <c r="BV4" s="379"/>
      <c r="BW4" s="379"/>
      <c r="BX4" s="379"/>
      <c r="BY4" s="378"/>
      <c r="BZ4" s="378"/>
      <c r="CA4" s="378"/>
      <c r="CB4" s="378"/>
      <c r="CC4" s="378"/>
      <c r="CD4" s="378"/>
      <c r="CE4" s="378"/>
      <c r="CF4" s="378"/>
      <c r="CG4" s="378"/>
      <c r="CH4" s="378"/>
      <c r="CI4" s="378"/>
      <c r="CJ4" s="380"/>
      <c r="CN4" s="377" t="s">
        <v>42</v>
      </c>
      <c r="CO4" s="378"/>
      <c r="CP4" s="378"/>
      <c r="CQ4" s="378"/>
      <c r="CR4" s="378"/>
      <c r="CS4" s="378"/>
      <c r="CT4" s="378"/>
      <c r="CU4" s="378"/>
      <c r="CV4" s="378"/>
      <c r="CW4" s="378"/>
      <c r="CX4" s="378"/>
      <c r="CY4" s="378"/>
      <c r="CZ4" s="378"/>
      <c r="DA4" s="378"/>
      <c r="DB4" s="378"/>
      <c r="DC4" s="378"/>
      <c r="DD4" s="378"/>
      <c r="DE4" s="378"/>
      <c r="DF4" s="379"/>
      <c r="DG4" s="379"/>
      <c r="DH4" s="379"/>
      <c r="DI4" s="379"/>
      <c r="DJ4" s="379"/>
      <c r="DK4" s="378"/>
      <c r="DL4" s="378"/>
      <c r="DM4" s="378"/>
      <c r="DN4" s="378"/>
      <c r="DO4" s="378"/>
      <c r="DP4" s="378"/>
      <c r="DQ4" s="378"/>
      <c r="DR4" s="378"/>
      <c r="DS4" s="378"/>
      <c r="DT4" s="378"/>
      <c r="DU4" s="378"/>
      <c r="DV4" s="380"/>
      <c r="DX4" s="377" t="s">
        <v>42</v>
      </c>
      <c r="DY4" s="378"/>
      <c r="DZ4" s="378"/>
      <c r="EA4" s="378"/>
      <c r="EB4" s="378"/>
      <c r="EC4" s="378"/>
      <c r="ED4" s="378"/>
      <c r="EE4" s="378"/>
      <c r="EF4" s="378"/>
      <c r="EG4" s="378"/>
      <c r="EH4" s="378"/>
      <c r="EI4" s="378"/>
      <c r="EJ4" s="378"/>
      <c r="EK4" s="378"/>
      <c r="EL4" s="378"/>
      <c r="EM4" s="378"/>
      <c r="EN4" s="378"/>
      <c r="EO4" s="378"/>
      <c r="EP4" s="379"/>
      <c r="EQ4" s="379"/>
      <c r="ER4" s="379"/>
      <c r="ES4" s="379"/>
      <c r="ET4" s="379"/>
      <c r="EU4" s="378"/>
      <c r="EV4" s="378"/>
      <c r="EW4" s="378"/>
      <c r="EX4" s="378"/>
      <c r="EY4" s="378"/>
      <c r="EZ4" s="378"/>
      <c r="FA4" s="378"/>
      <c r="FB4" s="378"/>
      <c r="FC4" s="378"/>
      <c r="FD4" s="378"/>
      <c r="FE4" s="378"/>
      <c r="FF4" s="380"/>
    </row>
    <row r="5" spans="2:162" ht="19.5" thickBot="1" x14ac:dyDescent="0.35">
      <c r="B5" s="63"/>
      <c r="C5" s="259"/>
      <c r="D5" s="94"/>
      <c r="E5" s="105"/>
      <c r="F5" s="13"/>
      <c r="G5" s="13"/>
      <c r="H5" s="10"/>
      <c r="L5" s="253" t="s">
        <v>146</v>
      </c>
      <c r="N5" s="25"/>
      <c r="O5" s="13"/>
      <c r="P5" s="407" t="s">
        <v>12</v>
      </c>
      <c r="Q5" s="408"/>
      <c r="R5" s="408"/>
      <c r="S5" s="408"/>
      <c r="T5" s="408"/>
      <c r="U5" s="408"/>
      <c r="V5" s="408"/>
      <c r="W5" s="409"/>
      <c r="AB5" s="381" t="s">
        <v>66</v>
      </c>
      <c r="AC5" s="382"/>
      <c r="AD5" s="382"/>
      <c r="AE5" s="382"/>
      <c r="AF5" s="382"/>
      <c r="AG5" s="383"/>
      <c r="AH5" s="135"/>
      <c r="AI5" s="136"/>
      <c r="AJ5" s="136"/>
      <c r="AK5" s="136"/>
      <c r="AL5" s="137"/>
      <c r="AM5" s="280">
        <f t="shared" ref="AM5:AZ5" si="0">AM16+AM25+AM34+AM43+AM52+AM61+AM70+AM79+AM88+AM97+AM106+AM115+AM124+AM133+AM142+AM151+AM160+AM169+AM182+AM194+AM204+AM215</f>
        <v>0</v>
      </c>
      <c r="AN5" s="281">
        <f t="shared" si="0"/>
        <v>0</v>
      </c>
      <c r="AO5" s="281">
        <f t="shared" si="0"/>
        <v>0</v>
      </c>
      <c r="AP5" s="281">
        <f t="shared" si="0"/>
        <v>0</v>
      </c>
      <c r="AQ5" s="281">
        <f t="shared" si="0"/>
        <v>7</v>
      </c>
      <c r="AR5" s="281">
        <f t="shared" si="0"/>
        <v>3</v>
      </c>
      <c r="AS5" s="281">
        <f t="shared" si="0"/>
        <v>0</v>
      </c>
      <c r="AT5" s="281">
        <f t="shared" si="0"/>
        <v>0</v>
      </c>
      <c r="AU5" s="281">
        <f t="shared" si="0"/>
        <v>0</v>
      </c>
      <c r="AV5" s="281">
        <f t="shared" si="0"/>
        <v>0</v>
      </c>
      <c r="AW5" s="281">
        <f t="shared" si="0"/>
        <v>0</v>
      </c>
      <c r="AX5" s="281">
        <f t="shared" si="0"/>
        <v>0</v>
      </c>
      <c r="AY5" s="281">
        <f t="shared" si="0"/>
        <v>0</v>
      </c>
      <c r="AZ5" s="282">
        <f t="shared" si="0"/>
        <v>13</v>
      </c>
      <c r="BB5" s="407" t="s">
        <v>12</v>
      </c>
      <c r="BC5" s="408"/>
      <c r="BD5" s="408"/>
      <c r="BE5" s="408"/>
      <c r="BF5" s="408"/>
      <c r="BG5" s="408"/>
      <c r="BH5" s="408"/>
      <c r="BI5" s="409"/>
      <c r="BN5" s="381" t="s">
        <v>66</v>
      </c>
      <c r="BO5" s="382"/>
      <c r="BP5" s="382"/>
      <c r="BQ5" s="382"/>
      <c r="BR5" s="382"/>
      <c r="BS5" s="383"/>
      <c r="BT5" s="135"/>
      <c r="BU5" s="136"/>
      <c r="BV5" s="136"/>
      <c r="BW5" s="136"/>
      <c r="BX5" s="137"/>
      <c r="BY5" s="38"/>
      <c r="BZ5" s="92"/>
      <c r="CA5" s="92"/>
      <c r="CB5" s="92"/>
      <c r="CC5" s="92"/>
      <c r="CD5" s="92"/>
      <c r="CE5" s="92"/>
      <c r="CF5" s="92"/>
      <c r="CG5" s="92"/>
      <c r="CH5" s="92"/>
      <c r="CI5" s="93"/>
      <c r="CJ5" s="105"/>
      <c r="CN5" s="407" t="s">
        <v>12</v>
      </c>
      <c r="CO5" s="408"/>
      <c r="CP5" s="408"/>
      <c r="CQ5" s="408"/>
      <c r="CR5" s="408"/>
      <c r="CS5" s="408"/>
      <c r="CT5" s="408"/>
      <c r="CU5" s="409"/>
      <c r="CZ5" s="381" t="s">
        <v>66</v>
      </c>
      <c r="DA5" s="382"/>
      <c r="DB5" s="382"/>
      <c r="DC5" s="382"/>
      <c r="DD5" s="382"/>
      <c r="DE5" s="383"/>
      <c r="DF5" s="135"/>
      <c r="DG5" s="136"/>
      <c r="DH5" s="136"/>
      <c r="DI5" s="136"/>
      <c r="DJ5" s="137"/>
      <c r="DK5" s="38"/>
      <c r="DL5" s="92"/>
      <c r="DM5" s="92"/>
      <c r="DN5" s="92"/>
      <c r="DO5" s="92"/>
      <c r="DP5" s="92"/>
      <c r="DQ5" s="92"/>
      <c r="DR5" s="92"/>
      <c r="DS5" s="92"/>
      <c r="DT5" s="92"/>
      <c r="DU5" s="93"/>
      <c r="DV5" s="105"/>
      <c r="DX5" s="407" t="s">
        <v>12</v>
      </c>
      <c r="DY5" s="408"/>
      <c r="DZ5" s="408"/>
      <c r="EA5" s="408"/>
      <c r="EB5" s="408"/>
      <c r="EC5" s="408"/>
      <c r="ED5" s="408"/>
      <c r="EE5" s="409"/>
      <c r="EJ5" s="381" t="s">
        <v>66</v>
      </c>
      <c r="EK5" s="382"/>
      <c r="EL5" s="382"/>
      <c r="EM5" s="382"/>
      <c r="EN5" s="382"/>
      <c r="EO5" s="383"/>
      <c r="EP5" s="135"/>
      <c r="EQ5" s="136"/>
      <c r="ER5" s="136"/>
      <c r="ES5" s="136"/>
      <c r="ET5" s="137"/>
      <c r="EU5" s="38"/>
      <c r="EV5" s="92"/>
      <c r="EW5" s="92"/>
      <c r="EX5" s="92"/>
      <c r="EY5" s="92"/>
      <c r="EZ5" s="92"/>
      <c r="FA5" s="92"/>
      <c r="FB5" s="92"/>
      <c r="FC5" s="92"/>
      <c r="FD5" s="92"/>
      <c r="FE5" s="93"/>
      <c r="FF5" s="105"/>
    </row>
    <row r="6" spans="2:162" ht="19.5" thickBot="1" x14ac:dyDescent="0.35">
      <c r="B6" s="122"/>
      <c r="C6" s="260"/>
      <c r="D6" s="112"/>
      <c r="E6" s="52"/>
      <c r="F6" s="13"/>
      <c r="G6" s="13"/>
      <c r="H6" s="417" t="s">
        <v>43</v>
      </c>
      <c r="I6" s="418"/>
      <c r="J6" s="418"/>
      <c r="K6" s="418"/>
      <c r="L6" s="418"/>
      <c r="M6" s="418"/>
      <c r="N6" s="419"/>
      <c r="O6" s="13"/>
      <c r="P6" s="410" t="s">
        <v>51</v>
      </c>
      <c r="Q6" s="411"/>
      <c r="R6" s="411"/>
      <c r="S6" s="411"/>
      <c r="T6" s="411" t="s">
        <v>68</v>
      </c>
      <c r="U6" s="411"/>
      <c r="V6" s="411"/>
      <c r="W6" s="412"/>
      <c r="X6" s="393" t="s">
        <v>65</v>
      </c>
      <c r="Y6" s="394"/>
      <c r="Z6" s="394"/>
      <c r="AA6" s="395"/>
      <c r="AB6" s="402" t="s">
        <v>51</v>
      </c>
      <c r="AC6" s="403"/>
      <c r="AD6" s="403"/>
      <c r="AE6" s="403"/>
      <c r="AF6" s="398" t="s">
        <v>70</v>
      </c>
      <c r="AG6" s="399"/>
      <c r="AH6" s="384" t="s">
        <v>59</v>
      </c>
      <c r="AI6" s="385"/>
      <c r="AJ6" s="386"/>
      <c r="AK6" s="386"/>
      <c r="AL6" s="387"/>
      <c r="AM6" s="37"/>
      <c r="AN6"/>
      <c r="AO6"/>
      <c r="AP6"/>
      <c r="AQ6"/>
      <c r="AR6"/>
      <c r="AS6"/>
      <c r="AT6"/>
      <c r="AU6"/>
      <c r="AV6"/>
      <c r="AW6"/>
      <c r="AX6"/>
      <c r="AY6" s="13"/>
      <c r="AZ6" s="52"/>
      <c r="BB6" s="410" t="s">
        <v>51</v>
      </c>
      <c r="BC6" s="411"/>
      <c r="BD6" s="411"/>
      <c r="BE6" s="411"/>
      <c r="BF6" s="411" t="s">
        <v>68</v>
      </c>
      <c r="BG6" s="411"/>
      <c r="BH6" s="411"/>
      <c r="BI6" s="412"/>
      <c r="BJ6" s="393" t="s">
        <v>65</v>
      </c>
      <c r="BK6" s="394"/>
      <c r="BL6" s="394"/>
      <c r="BM6" s="395"/>
      <c r="BN6" s="402" t="s">
        <v>51</v>
      </c>
      <c r="BO6" s="403"/>
      <c r="BP6" s="403"/>
      <c r="BQ6" s="403"/>
      <c r="BR6" s="398" t="s">
        <v>70</v>
      </c>
      <c r="BS6" s="399"/>
      <c r="BT6" s="384" t="s">
        <v>59</v>
      </c>
      <c r="BU6" s="385"/>
      <c r="BV6" s="386"/>
      <c r="BW6" s="386"/>
      <c r="BX6" s="387"/>
      <c r="BY6" s="37"/>
      <c r="BZ6"/>
      <c r="CA6"/>
      <c r="CB6"/>
      <c r="CC6"/>
      <c r="CD6"/>
      <c r="CE6"/>
      <c r="CF6"/>
      <c r="CG6"/>
      <c r="CH6"/>
      <c r="CI6" s="13"/>
      <c r="CJ6" s="52"/>
      <c r="CN6" s="410" t="s">
        <v>51</v>
      </c>
      <c r="CO6" s="411"/>
      <c r="CP6" s="411"/>
      <c r="CQ6" s="411"/>
      <c r="CR6" s="411" t="s">
        <v>68</v>
      </c>
      <c r="CS6" s="411"/>
      <c r="CT6" s="411"/>
      <c r="CU6" s="412"/>
      <c r="CV6" s="393" t="s">
        <v>65</v>
      </c>
      <c r="CW6" s="394"/>
      <c r="CX6" s="394"/>
      <c r="CY6" s="395"/>
      <c r="CZ6" s="402" t="s">
        <v>51</v>
      </c>
      <c r="DA6" s="403"/>
      <c r="DB6" s="403"/>
      <c r="DC6" s="403"/>
      <c r="DD6" s="398" t="s">
        <v>70</v>
      </c>
      <c r="DE6" s="399"/>
      <c r="DF6" s="384" t="s">
        <v>59</v>
      </c>
      <c r="DG6" s="385"/>
      <c r="DH6" s="386"/>
      <c r="DI6" s="386"/>
      <c r="DJ6" s="387"/>
      <c r="DK6" s="37"/>
      <c r="DL6"/>
      <c r="DM6"/>
      <c r="DN6"/>
      <c r="DO6"/>
      <c r="DP6"/>
      <c r="DQ6"/>
      <c r="DR6"/>
      <c r="DS6"/>
      <c r="DT6"/>
      <c r="DU6" s="13"/>
      <c r="DV6" s="52"/>
      <c r="DX6" s="410" t="s">
        <v>51</v>
      </c>
      <c r="DY6" s="411"/>
      <c r="DZ6" s="411"/>
      <c r="EA6" s="411"/>
      <c r="EB6" s="411" t="s">
        <v>68</v>
      </c>
      <c r="EC6" s="411"/>
      <c r="ED6" s="411"/>
      <c r="EE6" s="412"/>
      <c r="EF6" s="393" t="s">
        <v>65</v>
      </c>
      <c r="EG6" s="394"/>
      <c r="EH6" s="394"/>
      <c r="EI6" s="395"/>
      <c r="EJ6" s="402" t="s">
        <v>51</v>
      </c>
      <c r="EK6" s="403"/>
      <c r="EL6" s="403"/>
      <c r="EM6" s="403"/>
      <c r="EN6" s="398" t="s">
        <v>70</v>
      </c>
      <c r="EO6" s="399"/>
      <c r="EP6" s="384" t="s">
        <v>59</v>
      </c>
      <c r="EQ6" s="385"/>
      <c r="ER6" s="386"/>
      <c r="ES6" s="386"/>
      <c r="ET6" s="387"/>
      <c r="EU6" s="37"/>
      <c r="EV6"/>
      <c r="EW6"/>
      <c r="EX6"/>
      <c r="EY6"/>
      <c r="EZ6"/>
      <c r="FA6"/>
      <c r="FB6"/>
      <c r="FC6"/>
      <c r="FD6"/>
      <c r="FE6" s="13"/>
      <c r="FF6" s="52"/>
    </row>
    <row r="7" spans="2:162" x14ac:dyDescent="0.25">
      <c r="B7" s="123"/>
      <c r="C7" s="261" t="s">
        <v>46</v>
      </c>
      <c r="D7" s="19" t="s">
        <v>30</v>
      </c>
      <c r="E7" s="124" t="s">
        <v>31</v>
      </c>
      <c r="F7" s="13" t="s">
        <v>77</v>
      </c>
      <c r="G7" s="13"/>
      <c r="H7" s="87"/>
      <c r="I7" s="40"/>
      <c r="J7" s="40"/>
      <c r="K7" s="40"/>
      <c r="L7" s="169" t="s">
        <v>55</v>
      </c>
      <c r="M7" s="420" t="s">
        <v>57</v>
      </c>
      <c r="N7" s="421"/>
      <c r="O7" s="13"/>
      <c r="P7" s="402" t="s">
        <v>67</v>
      </c>
      <c r="Q7" s="401"/>
      <c r="R7" s="400" t="s">
        <v>28</v>
      </c>
      <c r="S7" s="401"/>
      <c r="T7" s="400" t="s">
        <v>67</v>
      </c>
      <c r="U7" s="401"/>
      <c r="V7" s="400" t="s">
        <v>9</v>
      </c>
      <c r="W7" s="413"/>
      <c r="X7" s="396" t="s">
        <v>51</v>
      </c>
      <c r="Y7" s="397"/>
      <c r="Z7" s="398" t="s">
        <v>70</v>
      </c>
      <c r="AA7" s="399"/>
      <c r="AB7" s="402" t="s">
        <v>7</v>
      </c>
      <c r="AC7" s="401"/>
      <c r="AD7" s="400" t="s">
        <v>8</v>
      </c>
      <c r="AE7" s="401"/>
      <c r="AG7" s="33"/>
      <c r="AH7" s="88"/>
      <c r="AI7" s="391" t="s">
        <v>37</v>
      </c>
      <c r="AJ7" s="392"/>
      <c r="AK7" s="81"/>
      <c r="AL7" s="89"/>
      <c r="AM7" s="404" t="s">
        <v>48</v>
      </c>
      <c r="AN7" s="389"/>
      <c r="AO7" s="388" t="s">
        <v>89</v>
      </c>
      <c r="AP7" s="389"/>
      <c r="AQ7" s="388" t="s">
        <v>39</v>
      </c>
      <c r="AR7" s="389"/>
      <c r="AS7" s="388" t="s">
        <v>45</v>
      </c>
      <c r="AT7" s="389"/>
      <c r="AU7" s="388" t="s">
        <v>60</v>
      </c>
      <c r="AV7" s="389"/>
      <c r="AW7" s="388" t="s">
        <v>96</v>
      </c>
      <c r="AX7" s="389"/>
      <c r="AY7" s="388" t="s">
        <v>61</v>
      </c>
      <c r="AZ7" s="390"/>
      <c r="BB7" s="402" t="s">
        <v>67</v>
      </c>
      <c r="BC7" s="401"/>
      <c r="BD7" s="400" t="s">
        <v>28</v>
      </c>
      <c r="BE7" s="401"/>
      <c r="BF7" s="400" t="s">
        <v>67</v>
      </c>
      <c r="BG7" s="401"/>
      <c r="BH7" s="400" t="s">
        <v>9</v>
      </c>
      <c r="BI7" s="413"/>
      <c r="BJ7" s="396" t="s">
        <v>51</v>
      </c>
      <c r="BK7" s="397"/>
      <c r="BL7" s="398" t="s">
        <v>70</v>
      </c>
      <c r="BM7" s="399"/>
      <c r="BN7" s="402" t="s">
        <v>7</v>
      </c>
      <c r="BO7" s="401"/>
      <c r="BP7" s="400" t="s">
        <v>8</v>
      </c>
      <c r="BQ7" s="401"/>
      <c r="BS7" s="33"/>
      <c r="BT7" s="88"/>
      <c r="BU7" s="391" t="s">
        <v>37</v>
      </c>
      <c r="BV7" s="392"/>
      <c r="BW7" s="81"/>
      <c r="BX7" s="89"/>
      <c r="BY7" s="404" t="s">
        <v>40</v>
      </c>
      <c r="BZ7" s="389"/>
      <c r="CA7" s="388" t="s">
        <v>45</v>
      </c>
      <c r="CB7" s="389"/>
      <c r="CC7" s="388" t="s">
        <v>39</v>
      </c>
      <c r="CD7" s="389"/>
      <c r="CE7" s="388" t="s">
        <v>48</v>
      </c>
      <c r="CF7" s="389"/>
      <c r="CG7" s="388" t="s">
        <v>60</v>
      </c>
      <c r="CH7" s="389"/>
      <c r="CI7" s="388" t="s">
        <v>61</v>
      </c>
      <c r="CJ7" s="390"/>
      <c r="CN7" s="402" t="s">
        <v>67</v>
      </c>
      <c r="CO7" s="401"/>
      <c r="CP7" s="400" t="s">
        <v>28</v>
      </c>
      <c r="CQ7" s="401"/>
      <c r="CR7" s="400" t="s">
        <v>67</v>
      </c>
      <c r="CS7" s="401"/>
      <c r="CT7" s="400" t="s">
        <v>9</v>
      </c>
      <c r="CU7" s="413"/>
      <c r="CV7" s="396" t="s">
        <v>51</v>
      </c>
      <c r="CW7" s="397"/>
      <c r="CX7" s="398" t="s">
        <v>70</v>
      </c>
      <c r="CY7" s="399"/>
      <c r="CZ7" s="402" t="s">
        <v>7</v>
      </c>
      <c r="DA7" s="401"/>
      <c r="DB7" s="400" t="s">
        <v>8</v>
      </c>
      <c r="DC7" s="401"/>
      <c r="DE7" s="33"/>
      <c r="DF7" s="88"/>
      <c r="DG7" s="391" t="s">
        <v>37</v>
      </c>
      <c r="DH7" s="392"/>
      <c r="DI7" s="81"/>
      <c r="DJ7" s="89"/>
      <c r="DK7" s="404" t="s">
        <v>40</v>
      </c>
      <c r="DL7" s="389"/>
      <c r="DM7" s="388" t="s">
        <v>45</v>
      </c>
      <c r="DN7" s="389"/>
      <c r="DO7" s="388" t="s">
        <v>39</v>
      </c>
      <c r="DP7" s="389"/>
      <c r="DQ7" s="388" t="s">
        <v>48</v>
      </c>
      <c r="DR7" s="389"/>
      <c r="DS7" s="388" t="s">
        <v>60</v>
      </c>
      <c r="DT7" s="389"/>
      <c r="DU7" s="388" t="s">
        <v>61</v>
      </c>
      <c r="DV7" s="390"/>
      <c r="DX7" s="402" t="s">
        <v>67</v>
      </c>
      <c r="DY7" s="401"/>
      <c r="DZ7" s="400" t="s">
        <v>28</v>
      </c>
      <c r="EA7" s="401"/>
      <c r="EB7" s="400" t="s">
        <v>67</v>
      </c>
      <c r="EC7" s="401"/>
      <c r="ED7" s="400" t="s">
        <v>9</v>
      </c>
      <c r="EE7" s="413"/>
      <c r="EF7" s="396" t="s">
        <v>51</v>
      </c>
      <c r="EG7" s="397"/>
      <c r="EH7" s="398" t="s">
        <v>70</v>
      </c>
      <c r="EI7" s="399"/>
      <c r="EJ7" s="402" t="s">
        <v>7</v>
      </c>
      <c r="EK7" s="401"/>
      <c r="EL7" s="400" t="s">
        <v>8</v>
      </c>
      <c r="EM7" s="401"/>
      <c r="EO7" s="33"/>
      <c r="EP7" s="88"/>
      <c r="EQ7" s="391" t="s">
        <v>37</v>
      </c>
      <c r="ER7" s="392"/>
      <c r="ES7" s="81"/>
      <c r="ET7" s="89"/>
      <c r="EU7" s="404" t="s">
        <v>40</v>
      </c>
      <c r="EV7" s="389"/>
      <c r="EW7" s="388" t="s">
        <v>45</v>
      </c>
      <c r="EX7" s="389"/>
      <c r="EY7" s="388" t="s">
        <v>39</v>
      </c>
      <c r="EZ7" s="389"/>
      <c r="FA7" s="388" t="s">
        <v>48</v>
      </c>
      <c r="FB7" s="389"/>
      <c r="FC7" s="388" t="s">
        <v>60</v>
      </c>
      <c r="FD7" s="389"/>
      <c r="FE7" s="388" t="s">
        <v>61</v>
      </c>
      <c r="FF7" s="390"/>
    </row>
    <row r="8" spans="2:162" ht="16.5" thickBot="1" x14ac:dyDescent="0.3">
      <c r="B8" s="125" t="s">
        <v>18</v>
      </c>
      <c r="C8" s="262"/>
      <c r="D8" s="80" t="s">
        <v>33</v>
      </c>
      <c r="E8" s="126" t="s">
        <v>32</v>
      </c>
      <c r="F8" s="24" t="s">
        <v>50</v>
      </c>
      <c r="G8" s="24"/>
      <c r="H8" s="148" t="s">
        <v>52</v>
      </c>
      <c r="I8" s="36" t="s">
        <v>41</v>
      </c>
      <c r="J8" s="36" t="s">
        <v>53</v>
      </c>
      <c r="K8" s="36" t="s">
        <v>54</v>
      </c>
      <c r="L8" s="147" t="s">
        <v>56</v>
      </c>
      <c r="M8" s="36" t="s">
        <v>28</v>
      </c>
      <c r="N8" s="149" t="s">
        <v>27</v>
      </c>
      <c r="O8" s="24"/>
      <c r="P8" s="30" t="s">
        <v>94</v>
      </c>
      <c r="Q8" s="23" t="s">
        <v>93</v>
      </c>
      <c r="R8" s="23" t="s">
        <v>94</v>
      </c>
      <c r="S8" s="23" t="s">
        <v>93</v>
      </c>
      <c r="T8" s="23" t="s">
        <v>94</v>
      </c>
      <c r="U8" s="23" t="s">
        <v>93</v>
      </c>
      <c r="V8" s="23" t="s">
        <v>94</v>
      </c>
      <c r="W8" s="84" t="s">
        <v>93</v>
      </c>
      <c r="X8" s="30" t="s">
        <v>69</v>
      </c>
      <c r="Y8" s="23" t="s">
        <v>67</v>
      </c>
      <c r="Z8" s="23" t="s">
        <v>69</v>
      </c>
      <c r="AA8" s="31" t="s">
        <v>67</v>
      </c>
      <c r="AB8" s="30" t="s">
        <v>69</v>
      </c>
      <c r="AC8" s="23" t="s">
        <v>67</v>
      </c>
      <c r="AD8" s="23" t="s">
        <v>69</v>
      </c>
      <c r="AE8" s="23" t="s">
        <v>67</v>
      </c>
      <c r="AF8" s="23" t="s">
        <v>7</v>
      </c>
      <c r="AG8" s="31" t="s">
        <v>8</v>
      </c>
      <c r="AH8" s="90" t="s">
        <v>49</v>
      </c>
      <c r="AI8" s="83" t="s">
        <v>11</v>
      </c>
      <c r="AJ8" s="26" t="s">
        <v>10</v>
      </c>
      <c r="AK8" s="82" t="s">
        <v>38</v>
      </c>
      <c r="AL8" s="91" t="s">
        <v>62</v>
      </c>
      <c r="AM8" s="106" t="s">
        <v>10</v>
      </c>
      <c r="AN8" s="26" t="s">
        <v>11</v>
      </c>
      <c r="AO8" s="3" t="s">
        <v>10</v>
      </c>
      <c r="AP8" s="3" t="s">
        <v>11</v>
      </c>
      <c r="AQ8" s="4" t="s">
        <v>10</v>
      </c>
      <c r="AR8" s="3" t="s">
        <v>11</v>
      </c>
      <c r="AS8" s="3" t="s">
        <v>10</v>
      </c>
      <c r="AT8" s="26" t="s">
        <v>11</v>
      </c>
      <c r="AU8" s="3" t="s">
        <v>10</v>
      </c>
      <c r="AV8" s="3" t="s">
        <v>11</v>
      </c>
      <c r="AW8" s="3" t="s">
        <v>10</v>
      </c>
      <c r="AX8" s="3" t="s">
        <v>11</v>
      </c>
      <c r="AY8" s="23" t="s">
        <v>10</v>
      </c>
      <c r="AZ8" s="31" t="s">
        <v>11</v>
      </c>
      <c r="BB8" s="30" t="s">
        <v>63</v>
      </c>
      <c r="BC8" s="23" t="s">
        <v>64</v>
      </c>
      <c r="BD8" s="23" t="s">
        <v>63</v>
      </c>
      <c r="BE8" s="23" t="s">
        <v>64</v>
      </c>
      <c r="BF8" s="23" t="s">
        <v>63</v>
      </c>
      <c r="BG8" s="23" t="s">
        <v>64</v>
      </c>
      <c r="BH8" s="23" t="s">
        <v>63</v>
      </c>
      <c r="BI8" s="31" t="s">
        <v>64</v>
      </c>
      <c r="BJ8" s="30" t="s">
        <v>69</v>
      </c>
      <c r="BK8" s="23" t="s">
        <v>67</v>
      </c>
      <c r="BL8" s="23" t="s">
        <v>69</v>
      </c>
      <c r="BM8" s="31" t="s">
        <v>67</v>
      </c>
      <c r="BN8" s="30" t="s">
        <v>69</v>
      </c>
      <c r="BO8" s="23" t="s">
        <v>67</v>
      </c>
      <c r="BP8" s="23" t="s">
        <v>69</v>
      </c>
      <c r="BQ8" s="23" t="s">
        <v>67</v>
      </c>
      <c r="BR8" s="23" t="s">
        <v>7</v>
      </c>
      <c r="BS8" s="31" t="s">
        <v>8</v>
      </c>
      <c r="BT8" s="90" t="s">
        <v>49</v>
      </c>
      <c r="BU8" s="83" t="s">
        <v>11</v>
      </c>
      <c r="BV8" s="26" t="s">
        <v>10</v>
      </c>
      <c r="BW8" s="82" t="s">
        <v>38</v>
      </c>
      <c r="BX8" s="91" t="s">
        <v>62</v>
      </c>
      <c r="BY8" s="106" t="s">
        <v>10</v>
      </c>
      <c r="BZ8" s="26" t="s">
        <v>11</v>
      </c>
      <c r="CA8" s="3" t="s">
        <v>10</v>
      </c>
      <c r="CB8" s="3" t="s">
        <v>11</v>
      </c>
      <c r="CC8" s="4" t="s">
        <v>10</v>
      </c>
      <c r="CD8" s="3" t="s">
        <v>11</v>
      </c>
      <c r="CE8" s="3" t="s">
        <v>10</v>
      </c>
      <c r="CF8" s="26" t="s">
        <v>11</v>
      </c>
      <c r="CG8" s="3" t="s">
        <v>10</v>
      </c>
      <c r="CH8" s="3" t="s">
        <v>11</v>
      </c>
      <c r="CI8" s="23" t="s">
        <v>10</v>
      </c>
      <c r="CJ8" s="31" t="s">
        <v>11</v>
      </c>
      <c r="CL8" s="36" t="s">
        <v>71</v>
      </c>
      <c r="CN8" s="30" t="s">
        <v>63</v>
      </c>
      <c r="CO8" s="23" t="s">
        <v>64</v>
      </c>
      <c r="CP8" s="23" t="s">
        <v>63</v>
      </c>
      <c r="CQ8" s="23" t="s">
        <v>64</v>
      </c>
      <c r="CR8" s="23" t="s">
        <v>63</v>
      </c>
      <c r="CS8" s="23" t="s">
        <v>64</v>
      </c>
      <c r="CT8" s="23" t="s">
        <v>63</v>
      </c>
      <c r="CU8" s="31" t="s">
        <v>64</v>
      </c>
      <c r="CV8" s="30" t="s">
        <v>69</v>
      </c>
      <c r="CW8" s="23" t="s">
        <v>67</v>
      </c>
      <c r="CX8" s="23" t="s">
        <v>69</v>
      </c>
      <c r="CY8" s="31" t="s">
        <v>67</v>
      </c>
      <c r="CZ8" s="30" t="s">
        <v>69</v>
      </c>
      <c r="DA8" s="23" t="s">
        <v>67</v>
      </c>
      <c r="DB8" s="23" t="s">
        <v>69</v>
      </c>
      <c r="DC8" s="23" t="s">
        <v>67</v>
      </c>
      <c r="DD8" s="23" t="s">
        <v>7</v>
      </c>
      <c r="DE8" s="31" t="s">
        <v>8</v>
      </c>
      <c r="DF8" s="90" t="s">
        <v>49</v>
      </c>
      <c r="DG8" s="83" t="s">
        <v>11</v>
      </c>
      <c r="DH8" s="26" t="s">
        <v>10</v>
      </c>
      <c r="DI8" s="82" t="s">
        <v>38</v>
      </c>
      <c r="DJ8" s="91" t="s">
        <v>62</v>
      </c>
      <c r="DK8" s="106" t="s">
        <v>10</v>
      </c>
      <c r="DL8" s="26" t="s">
        <v>11</v>
      </c>
      <c r="DM8" s="3" t="s">
        <v>10</v>
      </c>
      <c r="DN8" s="3" t="s">
        <v>11</v>
      </c>
      <c r="DO8" s="4" t="s">
        <v>10</v>
      </c>
      <c r="DP8" s="3" t="s">
        <v>11</v>
      </c>
      <c r="DQ8" s="3" t="s">
        <v>10</v>
      </c>
      <c r="DR8" s="26" t="s">
        <v>11</v>
      </c>
      <c r="DS8" s="3" t="s">
        <v>10</v>
      </c>
      <c r="DT8" s="3" t="s">
        <v>11</v>
      </c>
      <c r="DU8" s="23" t="s">
        <v>10</v>
      </c>
      <c r="DV8" s="31" t="s">
        <v>11</v>
      </c>
      <c r="DX8" s="30" t="s">
        <v>63</v>
      </c>
      <c r="DY8" s="23" t="s">
        <v>64</v>
      </c>
      <c r="DZ8" s="23" t="s">
        <v>63</v>
      </c>
      <c r="EA8" s="23" t="s">
        <v>64</v>
      </c>
      <c r="EB8" s="23" t="s">
        <v>63</v>
      </c>
      <c r="EC8" s="23" t="s">
        <v>64</v>
      </c>
      <c r="ED8" s="23" t="s">
        <v>63</v>
      </c>
      <c r="EE8" s="31" t="s">
        <v>64</v>
      </c>
      <c r="EF8" s="30" t="s">
        <v>69</v>
      </c>
      <c r="EG8" s="23" t="s">
        <v>67</v>
      </c>
      <c r="EH8" s="23" t="s">
        <v>69</v>
      </c>
      <c r="EI8" s="31" t="s">
        <v>67</v>
      </c>
      <c r="EJ8" s="30" t="s">
        <v>69</v>
      </c>
      <c r="EK8" s="23" t="s">
        <v>67</v>
      </c>
      <c r="EL8" s="23" t="s">
        <v>69</v>
      </c>
      <c r="EM8" s="23" t="s">
        <v>67</v>
      </c>
      <c r="EN8" s="23" t="s">
        <v>7</v>
      </c>
      <c r="EO8" s="31" t="s">
        <v>8</v>
      </c>
      <c r="EP8" s="90" t="s">
        <v>49</v>
      </c>
      <c r="EQ8" s="83" t="s">
        <v>11</v>
      </c>
      <c r="ER8" s="26" t="s">
        <v>10</v>
      </c>
      <c r="ES8" s="82" t="s">
        <v>38</v>
      </c>
      <c r="ET8" s="91" t="s">
        <v>62</v>
      </c>
      <c r="EU8" s="106" t="s">
        <v>10</v>
      </c>
      <c r="EV8" s="26" t="s">
        <v>11</v>
      </c>
      <c r="EW8" s="3" t="s">
        <v>10</v>
      </c>
      <c r="EX8" s="3" t="s">
        <v>11</v>
      </c>
      <c r="EY8" s="4" t="s">
        <v>10</v>
      </c>
      <c r="EZ8" s="3" t="s">
        <v>11</v>
      </c>
      <c r="FA8" s="3" t="s">
        <v>10</v>
      </c>
      <c r="FB8" s="26" t="s">
        <v>11</v>
      </c>
      <c r="FC8" s="3" t="s">
        <v>10</v>
      </c>
      <c r="FD8" s="3" t="s">
        <v>11</v>
      </c>
      <c r="FE8" s="23" t="s">
        <v>10</v>
      </c>
      <c r="FF8" s="31" t="s">
        <v>11</v>
      </c>
    </row>
    <row r="9" spans="2:162" x14ac:dyDescent="0.25">
      <c r="B9" s="254"/>
      <c r="C9" s="263"/>
      <c r="D9" s="58"/>
      <c r="E9" s="128"/>
      <c r="F9" s="25"/>
      <c r="G9" s="25"/>
      <c r="H9" s="150"/>
      <c r="I9" s="24"/>
      <c r="J9" s="151"/>
      <c r="K9" s="151"/>
      <c r="L9" s="152">
        <v>16</v>
      </c>
      <c r="M9" s="182" t="e">
        <f t="shared" ref="M9:M15" si="1">H9/I9*K9*L9*1.5</f>
        <v>#DIV/0!</v>
      </c>
      <c r="N9" s="183" t="e">
        <f t="shared" ref="N9:N15" si="2">H9/I9*J9*L9*N$4</f>
        <v>#DIV/0!</v>
      </c>
      <c r="O9" s="25"/>
      <c r="P9" s="157"/>
      <c r="Q9" s="158"/>
      <c r="R9" s="158"/>
      <c r="S9" s="158"/>
      <c r="T9" s="158"/>
      <c r="U9" s="158"/>
      <c r="V9" s="158"/>
      <c r="W9" s="159"/>
      <c r="X9" s="157"/>
      <c r="Y9" s="158"/>
      <c r="Z9" s="158"/>
      <c r="AA9" s="159"/>
      <c r="AB9" s="157"/>
      <c r="AC9" s="158"/>
      <c r="AD9" s="158"/>
      <c r="AE9" s="158"/>
      <c r="AF9" s="158"/>
      <c r="AG9" s="159"/>
      <c r="AH9" s="157"/>
      <c r="AI9" s="158"/>
      <c r="AJ9" s="158"/>
      <c r="AK9" s="158"/>
      <c r="AL9" s="159"/>
      <c r="AM9" s="157"/>
      <c r="AN9" s="158"/>
      <c r="AO9" s="158"/>
      <c r="AP9" s="158"/>
      <c r="AQ9" s="158"/>
      <c r="AR9" s="158"/>
      <c r="AS9" s="158"/>
      <c r="AT9" s="158"/>
      <c r="AU9" s="158"/>
      <c r="AV9" s="158"/>
      <c r="AW9" s="158"/>
      <c r="AX9" s="158"/>
      <c r="AY9" s="158"/>
      <c r="AZ9" s="159"/>
      <c r="BB9" s="157" t="e">
        <f t="shared" ref="BB9:BB15" si="3">$N9*DX9</f>
        <v>#DIV/0!</v>
      </c>
      <c r="BC9" s="158" t="e">
        <f t="shared" ref="BC9:BC15" si="4">$N9*DY9</f>
        <v>#DIV/0!</v>
      </c>
      <c r="BD9" s="158" t="e">
        <f t="shared" ref="BD9:BD15" si="5">$N9*DZ9</f>
        <v>#DIV/0!</v>
      </c>
      <c r="BE9" s="158" t="e">
        <f t="shared" ref="BE9:BE15" si="6">$N9*EA9</f>
        <v>#DIV/0!</v>
      </c>
      <c r="BF9" s="158" t="e">
        <f t="shared" ref="BF9:BF15" si="7">$N9*EB9</f>
        <v>#DIV/0!</v>
      </c>
      <c r="BG9" s="158" t="e">
        <f t="shared" ref="BG9:BG15" si="8">$N9*EC9</f>
        <v>#DIV/0!</v>
      </c>
      <c r="BH9" s="158" t="e">
        <f t="shared" ref="BH9:BH15" si="9">$N9*ED9</f>
        <v>#DIV/0!</v>
      </c>
      <c r="BI9" s="159" t="e">
        <f t="shared" ref="BI9:BI15" si="10">$N9*EE9</f>
        <v>#DIV/0!</v>
      </c>
      <c r="BJ9" s="157" t="e">
        <f t="shared" ref="BJ9:BJ15" si="11">$N9*EF9</f>
        <v>#DIV/0!</v>
      </c>
      <c r="BK9" s="158" t="e">
        <f t="shared" ref="BK9:BK15" si="12">$N9*EG9</f>
        <v>#DIV/0!</v>
      </c>
      <c r="BL9" s="158" t="e">
        <f t="shared" ref="BL9:BL15" si="13">$N9*EH9</f>
        <v>#DIV/0!</v>
      </c>
      <c r="BM9" s="159" t="e">
        <f t="shared" ref="BM9:BM15" si="14">$N9*EI9</f>
        <v>#DIV/0!</v>
      </c>
      <c r="BN9" s="157" t="e">
        <f t="shared" ref="BN9:BN15" si="15">$N9*EJ9</f>
        <v>#DIV/0!</v>
      </c>
      <c r="BO9" s="158" t="e">
        <f t="shared" ref="BO9:BO15" si="16">$N9*EK9</f>
        <v>#DIV/0!</v>
      </c>
      <c r="BP9" s="158" t="e">
        <f t="shared" ref="BP9:BP15" si="17">$N9*EL9</f>
        <v>#DIV/0!</v>
      </c>
      <c r="BQ9" s="158" t="e">
        <f t="shared" ref="BQ9:BQ15" si="18">$N9*EM9</f>
        <v>#DIV/0!</v>
      </c>
      <c r="BR9" s="158" t="e">
        <f t="shared" ref="BR9:BR15" si="19">$N9*EN9</f>
        <v>#DIV/0!</v>
      </c>
      <c r="BS9" s="159" t="e">
        <f t="shared" ref="BS9:BS15" si="20">$N9*EO9</f>
        <v>#DIV/0!</v>
      </c>
      <c r="BT9" s="157" t="e">
        <f t="shared" ref="BT9:BT15" si="21">$N9*EP9</f>
        <v>#DIV/0!</v>
      </c>
      <c r="BU9" s="158" t="e">
        <f t="shared" ref="BU9:BU15" si="22">$N9*EQ9</f>
        <v>#DIV/0!</v>
      </c>
      <c r="BV9" s="158" t="e">
        <f t="shared" ref="BV9:BV15" si="23">$N9*ER9</f>
        <v>#DIV/0!</v>
      </c>
      <c r="BW9" s="158" t="e">
        <f t="shared" ref="BW9:BW15" si="24">$N9*ES9</f>
        <v>#DIV/0!</v>
      </c>
      <c r="BX9" s="159" t="e">
        <f t="shared" ref="BX9:BX15" si="25">$N9*ET9</f>
        <v>#DIV/0!</v>
      </c>
      <c r="BY9" s="157" t="e">
        <f t="shared" ref="BY9:BY15" si="26">$N9*EU9</f>
        <v>#DIV/0!</v>
      </c>
      <c r="BZ9" s="158" t="e">
        <f t="shared" ref="BZ9:BZ15" si="27">$N9*EV9</f>
        <v>#DIV/0!</v>
      </c>
      <c r="CA9" s="158" t="e">
        <f t="shared" ref="CA9:CA15" si="28">$N9*EW9</f>
        <v>#DIV/0!</v>
      </c>
      <c r="CB9" s="158" t="e">
        <f t="shared" ref="CB9:CB15" si="29">$N9*EX9</f>
        <v>#DIV/0!</v>
      </c>
      <c r="CC9" s="158" t="e">
        <f t="shared" ref="CC9:CC15" si="30">$N9*EY9</f>
        <v>#DIV/0!</v>
      </c>
      <c r="CD9" s="158" t="e">
        <f t="shared" ref="CD9:CD15" si="31">$N9*EZ9</f>
        <v>#DIV/0!</v>
      </c>
      <c r="CE9" s="158" t="e">
        <f t="shared" ref="CE9:CE15" si="32">$N9*FA9</f>
        <v>#DIV/0!</v>
      </c>
      <c r="CF9" s="158" t="e">
        <f t="shared" ref="CF9:CF15" si="33">$N9*FB9</f>
        <v>#DIV/0!</v>
      </c>
      <c r="CG9" s="158" t="e">
        <f t="shared" ref="CG9:CG15" si="34">$N9*FC9</f>
        <v>#DIV/0!</v>
      </c>
      <c r="CH9" s="158" t="e">
        <f t="shared" ref="CH9:CH15" si="35">$N9*FD9</f>
        <v>#DIV/0!</v>
      </c>
      <c r="CI9" s="158" t="e">
        <f t="shared" ref="CI9:CI15" si="36">$N9*FE9</f>
        <v>#DIV/0!</v>
      </c>
      <c r="CJ9" s="159" t="e">
        <f t="shared" ref="CJ9:CJ15" si="37">$N9*FF9</f>
        <v>#DIV/0!</v>
      </c>
      <c r="CL9" s="36">
        <v>5</v>
      </c>
      <c r="CN9" s="157" t="e">
        <f>AVERAGE(BB9:BB13)*$CL9</f>
        <v>#DIV/0!</v>
      </c>
      <c r="CO9" s="158" t="e">
        <f t="shared" ref="CO9" si="38">AVERAGE(BC9:BC13)*$CL9</f>
        <v>#DIV/0!</v>
      </c>
      <c r="CP9" s="158" t="e">
        <f t="shared" ref="CP9" si="39">AVERAGE(BD9:BD13)*$CL9</f>
        <v>#DIV/0!</v>
      </c>
      <c r="CQ9" s="158" t="e">
        <f t="shared" ref="CQ9" si="40">AVERAGE(BE9:BE13)*$CL9</f>
        <v>#DIV/0!</v>
      </c>
      <c r="CR9" s="158" t="e">
        <f t="shared" ref="CR9" si="41">AVERAGE(BF9:BF13)*$CL9</f>
        <v>#DIV/0!</v>
      </c>
      <c r="CS9" s="158" t="e">
        <f t="shared" ref="CS9" si="42">AVERAGE(BG9:BG13)*$CL9</f>
        <v>#DIV/0!</v>
      </c>
      <c r="CT9" s="158" t="e">
        <f t="shared" ref="CT9" si="43">AVERAGE(BH9:BH13)*$CL9</f>
        <v>#DIV/0!</v>
      </c>
      <c r="CU9" s="159" t="e">
        <f t="shared" ref="CU9" si="44">AVERAGE(BI9:BI13)*$CL9</f>
        <v>#DIV/0!</v>
      </c>
      <c r="CV9" s="157" t="e">
        <f t="shared" ref="CV9" si="45">AVERAGE(BJ9:BJ13)*$CL9</f>
        <v>#DIV/0!</v>
      </c>
      <c r="CW9" s="158" t="e">
        <f t="shared" ref="CW9" si="46">AVERAGE(BK9:BK13)*$CL9</f>
        <v>#DIV/0!</v>
      </c>
      <c r="CX9" s="158" t="e">
        <f t="shared" ref="CX9" si="47">AVERAGE(BL9:BL13)*$CL9</f>
        <v>#DIV/0!</v>
      </c>
      <c r="CY9" s="159" t="e">
        <f t="shared" ref="CY9" si="48">AVERAGE(BM9:BM13)*$CL9</f>
        <v>#DIV/0!</v>
      </c>
      <c r="CZ9" s="157" t="e">
        <f t="shared" ref="CZ9" si="49">AVERAGE(BN9:BN13)*$CL9</f>
        <v>#DIV/0!</v>
      </c>
      <c r="DA9" s="158" t="e">
        <f t="shared" ref="DA9" si="50">AVERAGE(BO9:BO13)*$CL9</f>
        <v>#DIV/0!</v>
      </c>
      <c r="DB9" s="158" t="e">
        <f t="shared" ref="DB9" si="51">AVERAGE(BP9:BP13)*$CL9</f>
        <v>#DIV/0!</v>
      </c>
      <c r="DC9" s="158" t="e">
        <f t="shared" ref="DC9" si="52">AVERAGE(BQ9:BQ13)*$CL9</f>
        <v>#DIV/0!</v>
      </c>
      <c r="DD9" s="158" t="e">
        <f t="shared" ref="DD9" si="53">AVERAGE(BR9:BR13)*$CL9</f>
        <v>#DIV/0!</v>
      </c>
      <c r="DE9" s="159" t="e">
        <f t="shared" ref="DE9" si="54">AVERAGE(BS9:BS13)*$CL9</f>
        <v>#DIV/0!</v>
      </c>
      <c r="DF9" s="157" t="e">
        <f t="shared" ref="DF9" si="55">AVERAGE(BT9:BT13)*$CL9</f>
        <v>#DIV/0!</v>
      </c>
      <c r="DG9" s="158" t="e">
        <f t="shared" ref="DG9" si="56">AVERAGE(BU9:BU13)*$CL9</f>
        <v>#DIV/0!</v>
      </c>
      <c r="DH9" s="158" t="e">
        <f t="shared" ref="DH9" si="57">AVERAGE(BV9:BV13)*$CL9</f>
        <v>#DIV/0!</v>
      </c>
      <c r="DI9" s="158" t="e">
        <f t="shared" ref="DI9" si="58">AVERAGE(BW9:BW13)*$CL9</f>
        <v>#DIV/0!</v>
      </c>
      <c r="DJ9" s="159" t="e">
        <f t="shared" ref="DJ9" si="59">AVERAGE(BX9:BX13)*$CL9</f>
        <v>#DIV/0!</v>
      </c>
      <c r="DK9" s="157" t="e">
        <f t="shared" ref="DK9" si="60">AVERAGE(BY9:BY13)*$CL9</f>
        <v>#DIV/0!</v>
      </c>
      <c r="DL9" s="158" t="e">
        <f t="shared" ref="DL9" si="61">AVERAGE(BZ9:BZ13)*$CL9</f>
        <v>#DIV/0!</v>
      </c>
      <c r="DM9" s="158" t="e">
        <f t="shared" ref="DM9" si="62">AVERAGE(CA9:CA13)*$CL9</f>
        <v>#DIV/0!</v>
      </c>
      <c r="DN9" s="158" t="e">
        <f t="shared" ref="DN9" si="63">AVERAGE(CB9:CB13)*$CL9</f>
        <v>#DIV/0!</v>
      </c>
      <c r="DO9" s="158" t="e">
        <f t="shared" ref="DO9" si="64">AVERAGE(CC9:CC13)*$CL9</f>
        <v>#DIV/0!</v>
      </c>
      <c r="DP9" s="158" t="e">
        <f t="shared" ref="DP9" si="65">AVERAGE(CD9:CD13)*$CL9</f>
        <v>#DIV/0!</v>
      </c>
      <c r="DQ9" s="158" t="e">
        <f t="shared" ref="DQ9" si="66">AVERAGE(CE9:CE13)*$CL9</f>
        <v>#DIV/0!</v>
      </c>
      <c r="DR9" s="158" t="e">
        <f t="shared" ref="DR9" si="67">AVERAGE(CF9:CF13)*$CL9</f>
        <v>#DIV/0!</v>
      </c>
      <c r="DS9" s="158" t="e">
        <f t="shared" ref="DS9" si="68">AVERAGE(CG9:CG13)*$CL9</f>
        <v>#DIV/0!</v>
      </c>
      <c r="DT9" s="158" t="e">
        <f t="shared" ref="DT9" si="69">AVERAGE(CH9:CH13)*$CL9</f>
        <v>#DIV/0!</v>
      </c>
      <c r="DU9" s="158" t="e">
        <f t="shared" ref="DU9" si="70">AVERAGE(CI9:CI13)*$CL9</f>
        <v>#DIV/0!</v>
      </c>
      <c r="DV9" s="159" t="e">
        <f t="shared" ref="DV9" si="71">AVERAGE(CJ9:CJ13)*$CL9</f>
        <v>#DIV/0!</v>
      </c>
      <c r="DX9" s="186" t="e">
        <f t="shared" ref="DX9:DX15" si="72">P9/$E9</f>
        <v>#DIV/0!</v>
      </c>
      <c r="DY9" s="187" t="e">
        <f t="shared" ref="DY9:DY15" si="73">Q9/$E9</f>
        <v>#DIV/0!</v>
      </c>
      <c r="DZ9" s="187" t="e">
        <f t="shared" ref="DZ9:DZ15" si="74">R9/$E9</f>
        <v>#DIV/0!</v>
      </c>
      <c r="EA9" s="187" t="e">
        <f t="shared" ref="EA9:EA15" si="75">S9/$E9</f>
        <v>#DIV/0!</v>
      </c>
      <c r="EB9" s="187" t="e">
        <f t="shared" ref="EB9:EB15" si="76">T9/$E9</f>
        <v>#DIV/0!</v>
      </c>
      <c r="EC9" s="187" t="e">
        <f t="shared" ref="EC9:EC15" si="77">U9/$E9</f>
        <v>#DIV/0!</v>
      </c>
      <c r="ED9" s="187" t="e">
        <f t="shared" ref="ED9:ED15" si="78">V9/$E9</f>
        <v>#DIV/0!</v>
      </c>
      <c r="EE9" s="188" t="e">
        <f t="shared" ref="EE9:EE15" si="79">W9/$E9</f>
        <v>#DIV/0!</v>
      </c>
      <c r="EF9" s="186" t="e">
        <f t="shared" ref="EF9:EF15" si="80">X9/$E9</f>
        <v>#DIV/0!</v>
      </c>
      <c r="EG9" s="187" t="e">
        <f t="shared" ref="EG9:EG15" si="81">Y9/$E9</f>
        <v>#DIV/0!</v>
      </c>
      <c r="EH9" s="187" t="e">
        <f t="shared" ref="EH9:EH15" si="82">Z9/$E9</f>
        <v>#DIV/0!</v>
      </c>
      <c r="EI9" s="188" t="e">
        <f t="shared" ref="EI9:EI15" si="83">AA9/$E9</f>
        <v>#DIV/0!</v>
      </c>
      <c r="EJ9" s="186" t="e">
        <f t="shared" ref="EJ9:EJ15" si="84">AB9/$E9</f>
        <v>#DIV/0!</v>
      </c>
      <c r="EK9" s="187" t="e">
        <f t="shared" ref="EK9:EK15" si="85">AC9/$E9</f>
        <v>#DIV/0!</v>
      </c>
      <c r="EL9" s="187" t="e">
        <f t="shared" ref="EL9:EL15" si="86">AD9/$E9</f>
        <v>#DIV/0!</v>
      </c>
      <c r="EM9" s="187" t="e">
        <f t="shared" ref="EM9:EM15" si="87">AE9/$E9</f>
        <v>#DIV/0!</v>
      </c>
      <c r="EN9" s="187" t="e">
        <f t="shared" ref="EN9:EN15" si="88">AF9/$E9</f>
        <v>#DIV/0!</v>
      </c>
      <c r="EO9" s="188" t="e">
        <f t="shared" ref="EO9:EO15" si="89">AG9/$E9</f>
        <v>#DIV/0!</v>
      </c>
      <c r="EP9" s="186" t="e">
        <f t="shared" ref="EP9:EP15" si="90">AH9/$E9</f>
        <v>#DIV/0!</v>
      </c>
      <c r="EQ9" s="187" t="e">
        <f t="shared" ref="EQ9:EQ15" si="91">AI9/$E9</f>
        <v>#DIV/0!</v>
      </c>
      <c r="ER9" s="187" t="e">
        <f t="shared" ref="ER9:ER15" si="92">AJ9/$E9</f>
        <v>#DIV/0!</v>
      </c>
      <c r="ES9" s="187" t="e">
        <f t="shared" ref="ES9:ES15" si="93">AK9/$E9</f>
        <v>#DIV/0!</v>
      </c>
      <c r="ET9" s="188" t="e">
        <f t="shared" ref="ET9:ET15" si="94">AL9/$E9</f>
        <v>#DIV/0!</v>
      </c>
      <c r="EU9" s="186" t="e">
        <f t="shared" ref="EU9:EU15" si="95">AM9/$E9</f>
        <v>#DIV/0!</v>
      </c>
      <c r="EV9" s="187" t="e">
        <f t="shared" ref="EV9:EV15" si="96">AN9/$E9</f>
        <v>#DIV/0!</v>
      </c>
      <c r="EW9" s="187" t="e">
        <f t="shared" ref="EW9:EW15" si="97">AO9/$E9</f>
        <v>#DIV/0!</v>
      </c>
      <c r="EX9" s="187" t="e">
        <f t="shared" ref="EX9:EX15" si="98">AP9/$E9</f>
        <v>#DIV/0!</v>
      </c>
      <c r="EY9" s="187" t="e">
        <f t="shared" ref="EY9:EY15" si="99">AQ9/$E9</f>
        <v>#DIV/0!</v>
      </c>
      <c r="EZ9" s="187" t="e">
        <f t="shared" ref="EZ9:EZ15" si="100">AR9/$E9</f>
        <v>#DIV/0!</v>
      </c>
      <c r="FA9" s="187" t="e">
        <f t="shared" ref="FA9:FA15" si="101">AS9/$E9</f>
        <v>#DIV/0!</v>
      </c>
      <c r="FB9" s="187" t="e">
        <f t="shared" ref="FB9:FB15" si="102">AT9/$E9</f>
        <v>#DIV/0!</v>
      </c>
      <c r="FC9" s="187" t="e">
        <f t="shared" ref="FC9:FC15" si="103">AU9/$E9</f>
        <v>#DIV/0!</v>
      </c>
      <c r="FD9" s="187" t="e">
        <f t="shared" ref="FD9:FD15" si="104">AV9/$E9</f>
        <v>#DIV/0!</v>
      </c>
      <c r="FE9" s="187" t="e">
        <f t="shared" ref="FE9:FE15" si="105">AY9/$E9</f>
        <v>#DIV/0!</v>
      </c>
      <c r="FF9" s="188" t="e">
        <f t="shared" ref="FF9:FF15" si="106">AZ9/$E9</f>
        <v>#DIV/0!</v>
      </c>
    </row>
    <row r="10" spans="2:162" x14ac:dyDescent="0.25">
      <c r="B10" s="255"/>
      <c r="C10" s="263"/>
      <c r="D10" s="53"/>
      <c r="E10" s="129"/>
      <c r="F10" s="25"/>
      <c r="G10" s="25"/>
      <c r="H10" s="150"/>
      <c r="I10" s="24"/>
      <c r="J10" s="151"/>
      <c r="K10" s="151"/>
      <c r="L10" s="152"/>
      <c r="M10" s="152" t="e">
        <f t="shared" si="1"/>
        <v>#DIV/0!</v>
      </c>
      <c r="N10" s="153" t="e">
        <f t="shared" si="2"/>
        <v>#DIV/0!</v>
      </c>
      <c r="O10" s="25"/>
      <c r="P10" s="95"/>
      <c r="Q10" s="41"/>
      <c r="R10" s="41"/>
      <c r="S10" s="41"/>
      <c r="T10" s="41"/>
      <c r="U10" s="41"/>
      <c r="V10" s="41"/>
      <c r="W10" s="42"/>
      <c r="X10" s="95"/>
      <c r="Y10" s="41"/>
      <c r="Z10" s="41"/>
      <c r="AA10" s="42"/>
      <c r="AB10" s="95"/>
      <c r="AC10" s="41"/>
      <c r="AD10" s="41"/>
      <c r="AE10" s="41"/>
      <c r="AF10" s="41"/>
      <c r="AG10" s="42"/>
      <c r="AH10" s="95"/>
      <c r="AI10" s="41"/>
      <c r="AJ10" s="41"/>
      <c r="AK10" s="41"/>
      <c r="AL10" s="42"/>
      <c r="AM10" s="95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2"/>
      <c r="BB10" s="95" t="e">
        <f t="shared" si="3"/>
        <v>#DIV/0!</v>
      </c>
      <c r="BC10" s="41" t="e">
        <f t="shared" si="4"/>
        <v>#DIV/0!</v>
      </c>
      <c r="BD10" s="41" t="e">
        <f t="shared" si="5"/>
        <v>#DIV/0!</v>
      </c>
      <c r="BE10" s="41" t="e">
        <f t="shared" si="6"/>
        <v>#DIV/0!</v>
      </c>
      <c r="BF10" s="41" t="e">
        <f t="shared" si="7"/>
        <v>#DIV/0!</v>
      </c>
      <c r="BG10" s="41" t="e">
        <f t="shared" si="8"/>
        <v>#DIV/0!</v>
      </c>
      <c r="BH10" s="41" t="e">
        <f t="shared" si="9"/>
        <v>#DIV/0!</v>
      </c>
      <c r="BI10" s="42" t="e">
        <f t="shared" si="10"/>
        <v>#DIV/0!</v>
      </c>
      <c r="BJ10" s="95" t="e">
        <f t="shared" si="11"/>
        <v>#DIV/0!</v>
      </c>
      <c r="BK10" s="41" t="e">
        <f t="shared" si="12"/>
        <v>#DIV/0!</v>
      </c>
      <c r="BL10" s="41" t="e">
        <f t="shared" si="13"/>
        <v>#DIV/0!</v>
      </c>
      <c r="BM10" s="42" t="e">
        <f t="shared" si="14"/>
        <v>#DIV/0!</v>
      </c>
      <c r="BN10" s="95" t="e">
        <f t="shared" si="15"/>
        <v>#DIV/0!</v>
      </c>
      <c r="BO10" s="41" t="e">
        <f t="shared" si="16"/>
        <v>#DIV/0!</v>
      </c>
      <c r="BP10" s="41" t="e">
        <f t="shared" si="17"/>
        <v>#DIV/0!</v>
      </c>
      <c r="BQ10" s="41" t="e">
        <f t="shared" si="18"/>
        <v>#DIV/0!</v>
      </c>
      <c r="BR10" s="41" t="e">
        <f t="shared" si="19"/>
        <v>#DIV/0!</v>
      </c>
      <c r="BS10" s="42" t="e">
        <f t="shared" si="20"/>
        <v>#DIV/0!</v>
      </c>
      <c r="BT10" s="95" t="e">
        <f t="shared" si="21"/>
        <v>#DIV/0!</v>
      </c>
      <c r="BU10" s="41" t="e">
        <f t="shared" si="22"/>
        <v>#DIV/0!</v>
      </c>
      <c r="BV10" s="41" t="e">
        <f t="shared" si="23"/>
        <v>#DIV/0!</v>
      </c>
      <c r="BW10" s="41" t="e">
        <f t="shared" si="24"/>
        <v>#DIV/0!</v>
      </c>
      <c r="BX10" s="42" t="e">
        <f t="shared" si="25"/>
        <v>#DIV/0!</v>
      </c>
      <c r="BY10" s="95" t="e">
        <f t="shared" si="26"/>
        <v>#DIV/0!</v>
      </c>
      <c r="BZ10" s="41" t="e">
        <f t="shared" si="27"/>
        <v>#DIV/0!</v>
      </c>
      <c r="CA10" s="41" t="e">
        <f t="shared" si="28"/>
        <v>#DIV/0!</v>
      </c>
      <c r="CB10" s="41" t="e">
        <f t="shared" si="29"/>
        <v>#DIV/0!</v>
      </c>
      <c r="CC10" s="41" t="e">
        <f t="shared" si="30"/>
        <v>#DIV/0!</v>
      </c>
      <c r="CD10" s="41" t="e">
        <f t="shared" si="31"/>
        <v>#DIV/0!</v>
      </c>
      <c r="CE10" s="41" t="e">
        <f t="shared" si="32"/>
        <v>#DIV/0!</v>
      </c>
      <c r="CF10" s="41" t="e">
        <f t="shared" si="33"/>
        <v>#DIV/0!</v>
      </c>
      <c r="CG10" s="41" t="e">
        <f t="shared" si="34"/>
        <v>#DIV/0!</v>
      </c>
      <c r="CH10" s="41" t="e">
        <f t="shared" si="35"/>
        <v>#DIV/0!</v>
      </c>
      <c r="CI10" s="41" t="e">
        <f t="shared" si="36"/>
        <v>#DIV/0!</v>
      </c>
      <c r="CJ10" s="42" t="e">
        <f t="shared" si="37"/>
        <v>#DIV/0!</v>
      </c>
      <c r="CL10" s="36"/>
      <c r="CN10" s="95"/>
      <c r="CO10" s="41"/>
      <c r="CP10" s="41"/>
      <c r="CQ10" s="41"/>
      <c r="CR10" s="41"/>
      <c r="CS10" s="41"/>
      <c r="CT10" s="41"/>
      <c r="CU10" s="42"/>
      <c r="CV10" s="95"/>
      <c r="CW10" s="41"/>
      <c r="CX10" s="41"/>
      <c r="CY10" s="42"/>
      <c r="CZ10" s="95"/>
      <c r="DA10" s="41"/>
      <c r="DB10" s="41"/>
      <c r="DC10" s="41"/>
      <c r="DD10" s="41"/>
      <c r="DE10" s="42"/>
      <c r="DF10" s="95"/>
      <c r="DG10" s="41"/>
      <c r="DH10" s="41"/>
      <c r="DI10" s="41"/>
      <c r="DJ10" s="42"/>
      <c r="DK10" s="95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2"/>
      <c r="DX10" s="138" t="e">
        <f t="shared" si="72"/>
        <v>#DIV/0!</v>
      </c>
      <c r="DY10" s="34" t="e">
        <f t="shared" si="73"/>
        <v>#DIV/0!</v>
      </c>
      <c r="DZ10" s="34" t="e">
        <f t="shared" si="74"/>
        <v>#DIV/0!</v>
      </c>
      <c r="EA10" s="34" t="e">
        <f t="shared" si="75"/>
        <v>#DIV/0!</v>
      </c>
      <c r="EB10" s="34" t="e">
        <f t="shared" si="76"/>
        <v>#DIV/0!</v>
      </c>
      <c r="EC10" s="34" t="e">
        <f t="shared" si="77"/>
        <v>#DIV/0!</v>
      </c>
      <c r="ED10" s="34" t="e">
        <f t="shared" si="78"/>
        <v>#DIV/0!</v>
      </c>
      <c r="EE10" s="139" t="e">
        <f t="shared" si="79"/>
        <v>#DIV/0!</v>
      </c>
      <c r="EF10" s="138" t="e">
        <f t="shared" si="80"/>
        <v>#DIV/0!</v>
      </c>
      <c r="EG10" s="34" t="e">
        <f t="shared" si="81"/>
        <v>#DIV/0!</v>
      </c>
      <c r="EH10" s="34" t="e">
        <f t="shared" si="82"/>
        <v>#DIV/0!</v>
      </c>
      <c r="EI10" s="139" t="e">
        <f t="shared" si="83"/>
        <v>#DIV/0!</v>
      </c>
      <c r="EJ10" s="138" t="e">
        <f t="shared" si="84"/>
        <v>#DIV/0!</v>
      </c>
      <c r="EK10" s="34" t="e">
        <f t="shared" si="85"/>
        <v>#DIV/0!</v>
      </c>
      <c r="EL10" s="34" t="e">
        <f t="shared" si="86"/>
        <v>#DIV/0!</v>
      </c>
      <c r="EM10" s="34" t="e">
        <f t="shared" si="87"/>
        <v>#DIV/0!</v>
      </c>
      <c r="EN10" s="34" t="e">
        <f t="shared" si="88"/>
        <v>#DIV/0!</v>
      </c>
      <c r="EO10" s="139" t="e">
        <f t="shared" si="89"/>
        <v>#DIV/0!</v>
      </c>
      <c r="EP10" s="138" t="e">
        <f t="shared" si="90"/>
        <v>#DIV/0!</v>
      </c>
      <c r="EQ10" s="34" t="e">
        <f t="shared" si="91"/>
        <v>#DIV/0!</v>
      </c>
      <c r="ER10" s="34" t="e">
        <f t="shared" si="92"/>
        <v>#DIV/0!</v>
      </c>
      <c r="ES10" s="34" t="e">
        <f t="shared" si="93"/>
        <v>#DIV/0!</v>
      </c>
      <c r="ET10" s="139" t="e">
        <f t="shared" si="94"/>
        <v>#DIV/0!</v>
      </c>
      <c r="EU10" s="138" t="e">
        <f t="shared" si="95"/>
        <v>#DIV/0!</v>
      </c>
      <c r="EV10" s="34" t="e">
        <f t="shared" si="96"/>
        <v>#DIV/0!</v>
      </c>
      <c r="EW10" s="34" t="e">
        <f t="shared" si="97"/>
        <v>#DIV/0!</v>
      </c>
      <c r="EX10" s="34" t="e">
        <f t="shared" si="98"/>
        <v>#DIV/0!</v>
      </c>
      <c r="EY10" s="34" t="e">
        <f t="shared" si="99"/>
        <v>#DIV/0!</v>
      </c>
      <c r="EZ10" s="34" t="e">
        <f t="shared" si="100"/>
        <v>#DIV/0!</v>
      </c>
      <c r="FA10" s="34" t="e">
        <f t="shared" si="101"/>
        <v>#DIV/0!</v>
      </c>
      <c r="FB10" s="34" t="e">
        <f t="shared" si="102"/>
        <v>#DIV/0!</v>
      </c>
      <c r="FC10" s="34" t="e">
        <f t="shared" si="103"/>
        <v>#DIV/0!</v>
      </c>
      <c r="FD10" s="34" t="e">
        <f t="shared" si="104"/>
        <v>#DIV/0!</v>
      </c>
      <c r="FE10" s="34" t="e">
        <f t="shared" si="105"/>
        <v>#DIV/0!</v>
      </c>
      <c r="FF10" s="139" t="e">
        <f t="shared" si="106"/>
        <v>#DIV/0!</v>
      </c>
    </row>
    <row r="11" spans="2:162" x14ac:dyDescent="0.25">
      <c r="B11" s="255"/>
      <c r="C11" s="263"/>
      <c r="D11" s="53"/>
      <c r="E11" s="129"/>
      <c r="F11" s="25"/>
      <c r="G11" s="25"/>
      <c r="H11" s="150"/>
      <c r="I11" s="24"/>
      <c r="J11" s="151"/>
      <c r="K11" s="151"/>
      <c r="L11" s="152"/>
      <c r="M11" s="152" t="e">
        <f t="shared" si="1"/>
        <v>#DIV/0!</v>
      </c>
      <c r="N11" s="153" t="e">
        <f t="shared" si="2"/>
        <v>#DIV/0!</v>
      </c>
      <c r="O11" s="25"/>
      <c r="P11" s="95"/>
      <c r="Q11" s="41"/>
      <c r="R11" s="41"/>
      <c r="S11" s="41"/>
      <c r="T11" s="41"/>
      <c r="U11" s="41"/>
      <c r="V11" s="41"/>
      <c r="W11" s="42"/>
      <c r="X11" s="95"/>
      <c r="Y11" s="41"/>
      <c r="Z11" s="41"/>
      <c r="AA11" s="42"/>
      <c r="AB11" s="95"/>
      <c r="AC11" s="41"/>
      <c r="AD11" s="41"/>
      <c r="AE11" s="41"/>
      <c r="AF11" s="41"/>
      <c r="AG11" s="42"/>
      <c r="AH11" s="95"/>
      <c r="AI11" s="41"/>
      <c r="AJ11" s="41"/>
      <c r="AK11" s="41"/>
      <c r="AL11" s="42"/>
      <c r="AM11" s="95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2"/>
      <c r="BB11" s="95" t="e">
        <f t="shared" si="3"/>
        <v>#DIV/0!</v>
      </c>
      <c r="BC11" s="41" t="e">
        <f t="shared" si="4"/>
        <v>#DIV/0!</v>
      </c>
      <c r="BD11" s="41" t="e">
        <f t="shared" si="5"/>
        <v>#DIV/0!</v>
      </c>
      <c r="BE11" s="41" t="e">
        <f t="shared" si="6"/>
        <v>#DIV/0!</v>
      </c>
      <c r="BF11" s="41" t="e">
        <f t="shared" si="7"/>
        <v>#DIV/0!</v>
      </c>
      <c r="BG11" s="41" t="e">
        <f t="shared" si="8"/>
        <v>#DIV/0!</v>
      </c>
      <c r="BH11" s="41" t="e">
        <f t="shared" si="9"/>
        <v>#DIV/0!</v>
      </c>
      <c r="BI11" s="42" t="e">
        <f t="shared" si="10"/>
        <v>#DIV/0!</v>
      </c>
      <c r="BJ11" s="95" t="e">
        <f t="shared" si="11"/>
        <v>#DIV/0!</v>
      </c>
      <c r="BK11" s="41" t="e">
        <f t="shared" si="12"/>
        <v>#DIV/0!</v>
      </c>
      <c r="BL11" s="41" t="e">
        <f t="shared" si="13"/>
        <v>#DIV/0!</v>
      </c>
      <c r="BM11" s="42" t="e">
        <f t="shared" si="14"/>
        <v>#DIV/0!</v>
      </c>
      <c r="BN11" s="95" t="e">
        <f t="shared" si="15"/>
        <v>#DIV/0!</v>
      </c>
      <c r="BO11" s="41" t="e">
        <f t="shared" si="16"/>
        <v>#DIV/0!</v>
      </c>
      <c r="BP11" s="41" t="e">
        <f t="shared" si="17"/>
        <v>#DIV/0!</v>
      </c>
      <c r="BQ11" s="41" t="e">
        <f t="shared" si="18"/>
        <v>#DIV/0!</v>
      </c>
      <c r="BR11" s="41" t="e">
        <f t="shared" si="19"/>
        <v>#DIV/0!</v>
      </c>
      <c r="BS11" s="42" t="e">
        <f t="shared" si="20"/>
        <v>#DIV/0!</v>
      </c>
      <c r="BT11" s="95" t="e">
        <f t="shared" si="21"/>
        <v>#DIV/0!</v>
      </c>
      <c r="BU11" s="41" t="e">
        <f t="shared" si="22"/>
        <v>#DIV/0!</v>
      </c>
      <c r="BV11" s="41" t="e">
        <f t="shared" si="23"/>
        <v>#DIV/0!</v>
      </c>
      <c r="BW11" s="41" t="e">
        <f t="shared" si="24"/>
        <v>#DIV/0!</v>
      </c>
      <c r="BX11" s="42" t="e">
        <f t="shared" si="25"/>
        <v>#DIV/0!</v>
      </c>
      <c r="BY11" s="95" t="e">
        <f t="shared" si="26"/>
        <v>#DIV/0!</v>
      </c>
      <c r="BZ11" s="41" t="e">
        <f t="shared" si="27"/>
        <v>#DIV/0!</v>
      </c>
      <c r="CA11" s="41" t="e">
        <f t="shared" si="28"/>
        <v>#DIV/0!</v>
      </c>
      <c r="CB11" s="41" t="e">
        <f t="shared" si="29"/>
        <v>#DIV/0!</v>
      </c>
      <c r="CC11" s="41" t="e">
        <f t="shared" si="30"/>
        <v>#DIV/0!</v>
      </c>
      <c r="CD11" s="41" t="e">
        <f t="shared" si="31"/>
        <v>#DIV/0!</v>
      </c>
      <c r="CE11" s="41" t="e">
        <f t="shared" si="32"/>
        <v>#DIV/0!</v>
      </c>
      <c r="CF11" s="41" t="e">
        <f t="shared" si="33"/>
        <v>#DIV/0!</v>
      </c>
      <c r="CG11" s="41" t="e">
        <f t="shared" si="34"/>
        <v>#DIV/0!</v>
      </c>
      <c r="CH11" s="41" t="e">
        <f t="shared" si="35"/>
        <v>#DIV/0!</v>
      </c>
      <c r="CI11" s="41" t="e">
        <f t="shared" si="36"/>
        <v>#DIV/0!</v>
      </c>
      <c r="CJ11" s="42" t="e">
        <f t="shared" si="37"/>
        <v>#DIV/0!</v>
      </c>
      <c r="CL11" s="36"/>
      <c r="CN11" s="95"/>
      <c r="CO11" s="41"/>
      <c r="CP11" s="41"/>
      <c r="CQ11" s="41"/>
      <c r="CR11" s="41"/>
      <c r="CS11" s="41"/>
      <c r="CT11" s="41"/>
      <c r="CU11" s="42"/>
      <c r="CV11" s="95"/>
      <c r="CW11" s="41"/>
      <c r="CX11" s="41"/>
      <c r="CY11" s="42"/>
      <c r="CZ11" s="95"/>
      <c r="DA11" s="41"/>
      <c r="DB11" s="41"/>
      <c r="DC11" s="41"/>
      <c r="DD11" s="41"/>
      <c r="DE11" s="42"/>
      <c r="DF11" s="95"/>
      <c r="DG11" s="41"/>
      <c r="DH11" s="41"/>
      <c r="DI11" s="41"/>
      <c r="DJ11" s="42"/>
      <c r="DK11" s="95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2"/>
      <c r="DX11" s="138" t="e">
        <f t="shared" si="72"/>
        <v>#DIV/0!</v>
      </c>
      <c r="DY11" s="34" t="e">
        <f t="shared" si="73"/>
        <v>#DIV/0!</v>
      </c>
      <c r="DZ11" s="34" t="e">
        <f t="shared" si="74"/>
        <v>#DIV/0!</v>
      </c>
      <c r="EA11" s="34" t="e">
        <f t="shared" si="75"/>
        <v>#DIV/0!</v>
      </c>
      <c r="EB11" s="34" t="e">
        <f t="shared" si="76"/>
        <v>#DIV/0!</v>
      </c>
      <c r="EC11" s="34" t="e">
        <f t="shared" si="77"/>
        <v>#DIV/0!</v>
      </c>
      <c r="ED11" s="34" t="e">
        <f t="shared" si="78"/>
        <v>#DIV/0!</v>
      </c>
      <c r="EE11" s="139" t="e">
        <f t="shared" si="79"/>
        <v>#DIV/0!</v>
      </c>
      <c r="EF11" s="138" t="e">
        <f t="shared" si="80"/>
        <v>#DIV/0!</v>
      </c>
      <c r="EG11" s="34" t="e">
        <f t="shared" si="81"/>
        <v>#DIV/0!</v>
      </c>
      <c r="EH11" s="34" t="e">
        <f t="shared" si="82"/>
        <v>#DIV/0!</v>
      </c>
      <c r="EI11" s="139" t="e">
        <f t="shared" si="83"/>
        <v>#DIV/0!</v>
      </c>
      <c r="EJ11" s="138" t="e">
        <f t="shared" si="84"/>
        <v>#DIV/0!</v>
      </c>
      <c r="EK11" s="34" t="e">
        <f t="shared" si="85"/>
        <v>#DIV/0!</v>
      </c>
      <c r="EL11" s="34" t="e">
        <f t="shared" si="86"/>
        <v>#DIV/0!</v>
      </c>
      <c r="EM11" s="34" t="e">
        <f t="shared" si="87"/>
        <v>#DIV/0!</v>
      </c>
      <c r="EN11" s="34" t="e">
        <f t="shared" si="88"/>
        <v>#DIV/0!</v>
      </c>
      <c r="EO11" s="139" t="e">
        <f t="shared" si="89"/>
        <v>#DIV/0!</v>
      </c>
      <c r="EP11" s="138" t="e">
        <f t="shared" si="90"/>
        <v>#DIV/0!</v>
      </c>
      <c r="EQ11" s="34" t="e">
        <f t="shared" si="91"/>
        <v>#DIV/0!</v>
      </c>
      <c r="ER11" s="34" t="e">
        <f t="shared" si="92"/>
        <v>#DIV/0!</v>
      </c>
      <c r="ES11" s="34" t="e">
        <f t="shared" si="93"/>
        <v>#DIV/0!</v>
      </c>
      <c r="ET11" s="139" t="e">
        <f t="shared" si="94"/>
        <v>#DIV/0!</v>
      </c>
      <c r="EU11" s="138" t="e">
        <f t="shared" si="95"/>
        <v>#DIV/0!</v>
      </c>
      <c r="EV11" s="34" t="e">
        <f t="shared" si="96"/>
        <v>#DIV/0!</v>
      </c>
      <c r="EW11" s="34" t="e">
        <f t="shared" si="97"/>
        <v>#DIV/0!</v>
      </c>
      <c r="EX11" s="34" t="e">
        <f t="shared" si="98"/>
        <v>#DIV/0!</v>
      </c>
      <c r="EY11" s="34" t="e">
        <f t="shared" si="99"/>
        <v>#DIV/0!</v>
      </c>
      <c r="EZ11" s="34" t="e">
        <f t="shared" si="100"/>
        <v>#DIV/0!</v>
      </c>
      <c r="FA11" s="34" t="e">
        <f t="shared" si="101"/>
        <v>#DIV/0!</v>
      </c>
      <c r="FB11" s="34" t="e">
        <f t="shared" si="102"/>
        <v>#DIV/0!</v>
      </c>
      <c r="FC11" s="34" t="e">
        <f t="shared" si="103"/>
        <v>#DIV/0!</v>
      </c>
      <c r="FD11" s="34" t="e">
        <f t="shared" si="104"/>
        <v>#DIV/0!</v>
      </c>
      <c r="FE11" s="34" t="e">
        <f t="shared" si="105"/>
        <v>#DIV/0!</v>
      </c>
      <c r="FF11" s="139" t="e">
        <f t="shared" si="106"/>
        <v>#DIV/0!</v>
      </c>
    </row>
    <row r="12" spans="2:162" x14ac:dyDescent="0.25">
      <c r="B12" s="255">
        <v>45505</v>
      </c>
      <c r="C12" s="263"/>
      <c r="D12" s="53"/>
      <c r="E12" s="129"/>
      <c r="F12" s="25"/>
      <c r="G12" s="25"/>
      <c r="H12" s="150"/>
      <c r="I12" s="24"/>
      <c r="J12" s="151"/>
      <c r="K12" s="151"/>
      <c r="L12" s="152"/>
      <c r="M12" s="152" t="e">
        <f t="shared" si="1"/>
        <v>#DIV/0!</v>
      </c>
      <c r="N12" s="153" t="e">
        <f t="shared" si="2"/>
        <v>#DIV/0!</v>
      </c>
      <c r="O12" s="25"/>
      <c r="P12" s="95"/>
      <c r="Q12" s="41"/>
      <c r="R12" s="41"/>
      <c r="S12" s="41"/>
      <c r="T12" s="41"/>
      <c r="U12" s="41"/>
      <c r="V12" s="41"/>
      <c r="W12" s="42"/>
      <c r="X12" s="95"/>
      <c r="Y12" s="41"/>
      <c r="Z12" s="41"/>
      <c r="AA12" s="42"/>
      <c r="AB12" s="95"/>
      <c r="AC12" s="41"/>
      <c r="AD12" s="41"/>
      <c r="AE12" s="41"/>
      <c r="AF12" s="41"/>
      <c r="AG12" s="42"/>
      <c r="AH12" s="95"/>
      <c r="AI12" s="41"/>
      <c r="AJ12" s="41"/>
      <c r="AK12" s="41"/>
      <c r="AL12" s="42"/>
      <c r="AM12" s="95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2"/>
      <c r="BB12" s="95" t="e">
        <f t="shared" si="3"/>
        <v>#DIV/0!</v>
      </c>
      <c r="BC12" s="41" t="e">
        <f t="shared" si="4"/>
        <v>#DIV/0!</v>
      </c>
      <c r="BD12" s="41" t="e">
        <f t="shared" si="5"/>
        <v>#DIV/0!</v>
      </c>
      <c r="BE12" s="41" t="e">
        <f t="shared" si="6"/>
        <v>#DIV/0!</v>
      </c>
      <c r="BF12" s="41" t="e">
        <f t="shared" si="7"/>
        <v>#DIV/0!</v>
      </c>
      <c r="BG12" s="41" t="e">
        <f t="shared" si="8"/>
        <v>#DIV/0!</v>
      </c>
      <c r="BH12" s="41" t="e">
        <f t="shared" si="9"/>
        <v>#DIV/0!</v>
      </c>
      <c r="BI12" s="42" t="e">
        <f t="shared" si="10"/>
        <v>#DIV/0!</v>
      </c>
      <c r="BJ12" s="95" t="e">
        <f t="shared" si="11"/>
        <v>#DIV/0!</v>
      </c>
      <c r="BK12" s="41" t="e">
        <f t="shared" si="12"/>
        <v>#DIV/0!</v>
      </c>
      <c r="BL12" s="41" t="e">
        <f t="shared" si="13"/>
        <v>#DIV/0!</v>
      </c>
      <c r="BM12" s="42" t="e">
        <f t="shared" si="14"/>
        <v>#DIV/0!</v>
      </c>
      <c r="BN12" s="95" t="e">
        <f t="shared" si="15"/>
        <v>#DIV/0!</v>
      </c>
      <c r="BO12" s="41" t="e">
        <f t="shared" si="16"/>
        <v>#DIV/0!</v>
      </c>
      <c r="BP12" s="41" t="e">
        <f t="shared" si="17"/>
        <v>#DIV/0!</v>
      </c>
      <c r="BQ12" s="41" t="e">
        <f t="shared" si="18"/>
        <v>#DIV/0!</v>
      </c>
      <c r="BR12" s="41" t="e">
        <f t="shared" si="19"/>
        <v>#DIV/0!</v>
      </c>
      <c r="BS12" s="42" t="e">
        <f t="shared" si="20"/>
        <v>#DIV/0!</v>
      </c>
      <c r="BT12" s="95" t="e">
        <f t="shared" si="21"/>
        <v>#DIV/0!</v>
      </c>
      <c r="BU12" s="41" t="e">
        <f t="shared" si="22"/>
        <v>#DIV/0!</v>
      </c>
      <c r="BV12" s="41" t="e">
        <f t="shared" si="23"/>
        <v>#DIV/0!</v>
      </c>
      <c r="BW12" s="41" t="e">
        <f t="shared" si="24"/>
        <v>#DIV/0!</v>
      </c>
      <c r="BX12" s="42" t="e">
        <f t="shared" si="25"/>
        <v>#DIV/0!</v>
      </c>
      <c r="BY12" s="95" t="e">
        <f t="shared" si="26"/>
        <v>#DIV/0!</v>
      </c>
      <c r="BZ12" s="41" t="e">
        <f t="shared" si="27"/>
        <v>#DIV/0!</v>
      </c>
      <c r="CA12" s="41" t="e">
        <f t="shared" si="28"/>
        <v>#DIV/0!</v>
      </c>
      <c r="CB12" s="41" t="e">
        <f t="shared" si="29"/>
        <v>#DIV/0!</v>
      </c>
      <c r="CC12" s="41" t="e">
        <f t="shared" si="30"/>
        <v>#DIV/0!</v>
      </c>
      <c r="CD12" s="41" t="e">
        <f t="shared" si="31"/>
        <v>#DIV/0!</v>
      </c>
      <c r="CE12" s="41" t="e">
        <f t="shared" si="32"/>
        <v>#DIV/0!</v>
      </c>
      <c r="CF12" s="41" t="e">
        <f t="shared" si="33"/>
        <v>#DIV/0!</v>
      </c>
      <c r="CG12" s="41" t="e">
        <f t="shared" si="34"/>
        <v>#DIV/0!</v>
      </c>
      <c r="CH12" s="41" t="e">
        <f t="shared" si="35"/>
        <v>#DIV/0!</v>
      </c>
      <c r="CI12" s="41" t="e">
        <f t="shared" si="36"/>
        <v>#DIV/0!</v>
      </c>
      <c r="CJ12" s="42" t="e">
        <f t="shared" si="37"/>
        <v>#DIV/0!</v>
      </c>
      <c r="CL12" s="36"/>
      <c r="CN12" s="95"/>
      <c r="CO12" s="41"/>
      <c r="CP12" s="41"/>
      <c r="CQ12" s="41"/>
      <c r="CR12" s="41"/>
      <c r="CS12" s="41"/>
      <c r="CT12" s="41"/>
      <c r="CU12" s="42"/>
      <c r="CV12" s="95"/>
      <c r="CW12" s="41"/>
      <c r="CX12" s="41"/>
      <c r="CY12" s="42"/>
      <c r="CZ12" s="95"/>
      <c r="DA12" s="41"/>
      <c r="DB12" s="41"/>
      <c r="DC12" s="41"/>
      <c r="DD12" s="41"/>
      <c r="DE12" s="42"/>
      <c r="DF12" s="95"/>
      <c r="DG12" s="41"/>
      <c r="DH12" s="41"/>
      <c r="DI12" s="41"/>
      <c r="DJ12" s="42"/>
      <c r="DK12" s="95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2"/>
      <c r="DX12" s="138" t="e">
        <f t="shared" si="72"/>
        <v>#DIV/0!</v>
      </c>
      <c r="DY12" s="34" t="e">
        <f t="shared" si="73"/>
        <v>#DIV/0!</v>
      </c>
      <c r="DZ12" s="34" t="e">
        <f t="shared" si="74"/>
        <v>#DIV/0!</v>
      </c>
      <c r="EA12" s="34" t="e">
        <f t="shared" si="75"/>
        <v>#DIV/0!</v>
      </c>
      <c r="EB12" s="34" t="e">
        <f t="shared" si="76"/>
        <v>#DIV/0!</v>
      </c>
      <c r="EC12" s="34" t="e">
        <f t="shared" si="77"/>
        <v>#DIV/0!</v>
      </c>
      <c r="ED12" s="34" t="e">
        <f t="shared" si="78"/>
        <v>#DIV/0!</v>
      </c>
      <c r="EE12" s="139" t="e">
        <f t="shared" si="79"/>
        <v>#DIV/0!</v>
      </c>
      <c r="EF12" s="138" t="e">
        <f t="shared" si="80"/>
        <v>#DIV/0!</v>
      </c>
      <c r="EG12" s="34" t="e">
        <f t="shared" si="81"/>
        <v>#DIV/0!</v>
      </c>
      <c r="EH12" s="34" t="e">
        <f t="shared" si="82"/>
        <v>#DIV/0!</v>
      </c>
      <c r="EI12" s="139" t="e">
        <f t="shared" si="83"/>
        <v>#DIV/0!</v>
      </c>
      <c r="EJ12" s="138" t="e">
        <f t="shared" si="84"/>
        <v>#DIV/0!</v>
      </c>
      <c r="EK12" s="34" t="e">
        <f t="shared" si="85"/>
        <v>#DIV/0!</v>
      </c>
      <c r="EL12" s="34" t="e">
        <f t="shared" si="86"/>
        <v>#DIV/0!</v>
      </c>
      <c r="EM12" s="34" t="e">
        <f t="shared" si="87"/>
        <v>#DIV/0!</v>
      </c>
      <c r="EN12" s="34" t="e">
        <f t="shared" si="88"/>
        <v>#DIV/0!</v>
      </c>
      <c r="EO12" s="139" t="e">
        <f t="shared" si="89"/>
        <v>#DIV/0!</v>
      </c>
      <c r="EP12" s="138" t="e">
        <f t="shared" si="90"/>
        <v>#DIV/0!</v>
      </c>
      <c r="EQ12" s="34" t="e">
        <f t="shared" si="91"/>
        <v>#DIV/0!</v>
      </c>
      <c r="ER12" s="34" t="e">
        <f t="shared" si="92"/>
        <v>#DIV/0!</v>
      </c>
      <c r="ES12" s="34" t="e">
        <f t="shared" si="93"/>
        <v>#DIV/0!</v>
      </c>
      <c r="ET12" s="139" t="e">
        <f t="shared" si="94"/>
        <v>#DIV/0!</v>
      </c>
      <c r="EU12" s="138" t="e">
        <f t="shared" si="95"/>
        <v>#DIV/0!</v>
      </c>
      <c r="EV12" s="34" t="e">
        <f t="shared" si="96"/>
        <v>#DIV/0!</v>
      </c>
      <c r="EW12" s="34" t="e">
        <f t="shared" si="97"/>
        <v>#DIV/0!</v>
      </c>
      <c r="EX12" s="34" t="e">
        <f t="shared" si="98"/>
        <v>#DIV/0!</v>
      </c>
      <c r="EY12" s="34" t="e">
        <f t="shared" si="99"/>
        <v>#DIV/0!</v>
      </c>
      <c r="EZ12" s="34" t="e">
        <f t="shared" si="100"/>
        <v>#DIV/0!</v>
      </c>
      <c r="FA12" s="34" t="e">
        <f t="shared" si="101"/>
        <v>#DIV/0!</v>
      </c>
      <c r="FB12" s="34" t="e">
        <f t="shared" si="102"/>
        <v>#DIV/0!</v>
      </c>
      <c r="FC12" s="34" t="e">
        <f t="shared" si="103"/>
        <v>#DIV/0!</v>
      </c>
      <c r="FD12" s="34" t="e">
        <f t="shared" si="104"/>
        <v>#DIV/0!</v>
      </c>
      <c r="FE12" s="34" t="e">
        <f t="shared" si="105"/>
        <v>#DIV/0!</v>
      </c>
      <c r="FF12" s="139" t="e">
        <f t="shared" si="106"/>
        <v>#DIV/0!</v>
      </c>
    </row>
    <row r="13" spans="2:162" x14ac:dyDescent="0.25">
      <c r="B13" s="255">
        <f>B12+1</f>
        <v>45506</v>
      </c>
      <c r="C13" s="263"/>
      <c r="D13" s="53"/>
      <c r="E13" s="129"/>
      <c r="F13" s="25"/>
      <c r="G13" s="25"/>
      <c r="H13" s="150"/>
      <c r="I13" s="24"/>
      <c r="J13" s="151"/>
      <c r="K13" s="151"/>
      <c r="L13" s="152">
        <v>15.8</v>
      </c>
      <c r="M13" s="152" t="e">
        <f t="shared" si="1"/>
        <v>#DIV/0!</v>
      </c>
      <c r="N13" s="153" t="e">
        <f t="shared" si="2"/>
        <v>#DIV/0!</v>
      </c>
      <c r="O13" s="25"/>
      <c r="P13" s="95"/>
      <c r="Q13" s="41"/>
      <c r="R13" s="41"/>
      <c r="S13" s="41"/>
      <c r="T13" s="41"/>
      <c r="U13" s="41"/>
      <c r="V13" s="41"/>
      <c r="W13" s="42"/>
      <c r="X13" s="95"/>
      <c r="Y13" s="41"/>
      <c r="Z13" s="41"/>
      <c r="AA13" s="42"/>
      <c r="AB13" s="95"/>
      <c r="AC13" s="41"/>
      <c r="AD13" s="41"/>
      <c r="AE13" s="41"/>
      <c r="AF13" s="41"/>
      <c r="AG13" s="42"/>
      <c r="AH13" s="95"/>
      <c r="AI13" s="41"/>
      <c r="AJ13" s="41"/>
      <c r="AK13" s="41"/>
      <c r="AL13" s="42"/>
      <c r="AM13" s="95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2"/>
      <c r="BB13" s="95" t="e">
        <f t="shared" si="3"/>
        <v>#DIV/0!</v>
      </c>
      <c r="BC13" s="41" t="e">
        <f t="shared" si="4"/>
        <v>#DIV/0!</v>
      </c>
      <c r="BD13" s="41" t="e">
        <f t="shared" si="5"/>
        <v>#DIV/0!</v>
      </c>
      <c r="BE13" s="41" t="e">
        <f t="shared" si="6"/>
        <v>#DIV/0!</v>
      </c>
      <c r="BF13" s="41" t="e">
        <f t="shared" si="7"/>
        <v>#DIV/0!</v>
      </c>
      <c r="BG13" s="41" t="e">
        <f t="shared" si="8"/>
        <v>#DIV/0!</v>
      </c>
      <c r="BH13" s="41" t="e">
        <f t="shared" si="9"/>
        <v>#DIV/0!</v>
      </c>
      <c r="BI13" s="42" t="e">
        <f t="shared" si="10"/>
        <v>#DIV/0!</v>
      </c>
      <c r="BJ13" s="95" t="e">
        <f t="shared" si="11"/>
        <v>#DIV/0!</v>
      </c>
      <c r="BK13" s="41" t="e">
        <f t="shared" si="12"/>
        <v>#DIV/0!</v>
      </c>
      <c r="BL13" s="41" t="e">
        <f t="shared" si="13"/>
        <v>#DIV/0!</v>
      </c>
      <c r="BM13" s="42" t="e">
        <f t="shared" si="14"/>
        <v>#DIV/0!</v>
      </c>
      <c r="BN13" s="95" t="e">
        <f t="shared" si="15"/>
        <v>#DIV/0!</v>
      </c>
      <c r="BO13" s="41" t="e">
        <f t="shared" si="16"/>
        <v>#DIV/0!</v>
      </c>
      <c r="BP13" s="41" t="e">
        <f t="shared" si="17"/>
        <v>#DIV/0!</v>
      </c>
      <c r="BQ13" s="41" t="e">
        <f t="shared" si="18"/>
        <v>#DIV/0!</v>
      </c>
      <c r="BR13" s="41" t="e">
        <f t="shared" si="19"/>
        <v>#DIV/0!</v>
      </c>
      <c r="BS13" s="42" t="e">
        <f t="shared" si="20"/>
        <v>#DIV/0!</v>
      </c>
      <c r="BT13" s="95" t="e">
        <f t="shared" si="21"/>
        <v>#DIV/0!</v>
      </c>
      <c r="BU13" s="41" t="e">
        <f t="shared" si="22"/>
        <v>#DIV/0!</v>
      </c>
      <c r="BV13" s="41" t="e">
        <f t="shared" si="23"/>
        <v>#DIV/0!</v>
      </c>
      <c r="BW13" s="41" t="e">
        <f t="shared" si="24"/>
        <v>#DIV/0!</v>
      </c>
      <c r="BX13" s="42" t="e">
        <f t="shared" si="25"/>
        <v>#DIV/0!</v>
      </c>
      <c r="BY13" s="95" t="e">
        <f t="shared" si="26"/>
        <v>#DIV/0!</v>
      </c>
      <c r="BZ13" s="41" t="e">
        <f t="shared" si="27"/>
        <v>#DIV/0!</v>
      </c>
      <c r="CA13" s="41" t="e">
        <f t="shared" si="28"/>
        <v>#DIV/0!</v>
      </c>
      <c r="CB13" s="41" t="e">
        <f t="shared" si="29"/>
        <v>#DIV/0!</v>
      </c>
      <c r="CC13" s="41" t="e">
        <f t="shared" si="30"/>
        <v>#DIV/0!</v>
      </c>
      <c r="CD13" s="41" t="e">
        <f t="shared" si="31"/>
        <v>#DIV/0!</v>
      </c>
      <c r="CE13" s="41" t="e">
        <f t="shared" si="32"/>
        <v>#DIV/0!</v>
      </c>
      <c r="CF13" s="41" t="e">
        <f t="shared" si="33"/>
        <v>#DIV/0!</v>
      </c>
      <c r="CG13" s="41" t="e">
        <f t="shared" si="34"/>
        <v>#DIV/0!</v>
      </c>
      <c r="CH13" s="41" t="e">
        <f t="shared" si="35"/>
        <v>#DIV/0!</v>
      </c>
      <c r="CI13" s="41" t="e">
        <f t="shared" si="36"/>
        <v>#DIV/0!</v>
      </c>
      <c r="CJ13" s="42" t="e">
        <f t="shared" si="37"/>
        <v>#DIV/0!</v>
      </c>
      <c r="CL13" s="36"/>
      <c r="CN13" s="95"/>
      <c r="CO13" s="41"/>
      <c r="CP13" s="41"/>
      <c r="CQ13" s="41"/>
      <c r="CR13" s="41"/>
      <c r="CS13" s="41"/>
      <c r="CT13" s="41"/>
      <c r="CU13" s="42"/>
      <c r="CV13" s="95"/>
      <c r="CW13" s="41"/>
      <c r="CX13" s="41"/>
      <c r="CY13" s="42"/>
      <c r="CZ13" s="95"/>
      <c r="DA13" s="41"/>
      <c r="DB13" s="41"/>
      <c r="DC13" s="41"/>
      <c r="DD13" s="41"/>
      <c r="DE13" s="42"/>
      <c r="DF13" s="95"/>
      <c r="DG13" s="41"/>
      <c r="DH13" s="41"/>
      <c r="DI13" s="41"/>
      <c r="DJ13" s="42"/>
      <c r="DK13" s="95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2"/>
      <c r="DX13" s="138" t="e">
        <f t="shared" si="72"/>
        <v>#DIV/0!</v>
      </c>
      <c r="DY13" s="34" t="e">
        <f t="shared" si="73"/>
        <v>#DIV/0!</v>
      </c>
      <c r="DZ13" s="34" t="e">
        <f t="shared" si="74"/>
        <v>#DIV/0!</v>
      </c>
      <c r="EA13" s="34" t="e">
        <f t="shared" si="75"/>
        <v>#DIV/0!</v>
      </c>
      <c r="EB13" s="34" t="e">
        <f t="shared" si="76"/>
        <v>#DIV/0!</v>
      </c>
      <c r="EC13" s="34" t="e">
        <f t="shared" si="77"/>
        <v>#DIV/0!</v>
      </c>
      <c r="ED13" s="34" t="e">
        <f t="shared" si="78"/>
        <v>#DIV/0!</v>
      </c>
      <c r="EE13" s="139" t="e">
        <f t="shared" si="79"/>
        <v>#DIV/0!</v>
      </c>
      <c r="EF13" s="138" t="e">
        <f t="shared" si="80"/>
        <v>#DIV/0!</v>
      </c>
      <c r="EG13" s="34" t="e">
        <f t="shared" si="81"/>
        <v>#DIV/0!</v>
      </c>
      <c r="EH13" s="34" t="e">
        <f t="shared" si="82"/>
        <v>#DIV/0!</v>
      </c>
      <c r="EI13" s="139" t="e">
        <f t="shared" si="83"/>
        <v>#DIV/0!</v>
      </c>
      <c r="EJ13" s="138" t="e">
        <f t="shared" si="84"/>
        <v>#DIV/0!</v>
      </c>
      <c r="EK13" s="34" t="e">
        <f t="shared" si="85"/>
        <v>#DIV/0!</v>
      </c>
      <c r="EL13" s="34" t="e">
        <f t="shared" si="86"/>
        <v>#DIV/0!</v>
      </c>
      <c r="EM13" s="34" t="e">
        <f t="shared" si="87"/>
        <v>#DIV/0!</v>
      </c>
      <c r="EN13" s="34" t="e">
        <f t="shared" si="88"/>
        <v>#DIV/0!</v>
      </c>
      <c r="EO13" s="139" t="e">
        <f t="shared" si="89"/>
        <v>#DIV/0!</v>
      </c>
      <c r="EP13" s="138" t="e">
        <f t="shared" si="90"/>
        <v>#DIV/0!</v>
      </c>
      <c r="EQ13" s="34" t="e">
        <f t="shared" si="91"/>
        <v>#DIV/0!</v>
      </c>
      <c r="ER13" s="34" t="e">
        <f t="shared" si="92"/>
        <v>#DIV/0!</v>
      </c>
      <c r="ES13" s="34" t="e">
        <f t="shared" si="93"/>
        <v>#DIV/0!</v>
      </c>
      <c r="ET13" s="139" t="e">
        <f t="shared" si="94"/>
        <v>#DIV/0!</v>
      </c>
      <c r="EU13" s="138" t="e">
        <f t="shared" si="95"/>
        <v>#DIV/0!</v>
      </c>
      <c r="EV13" s="34" t="e">
        <f t="shared" si="96"/>
        <v>#DIV/0!</v>
      </c>
      <c r="EW13" s="34" t="e">
        <f t="shared" si="97"/>
        <v>#DIV/0!</v>
      </c>
      <c r="EX13" s="34" t="e">
        <f t="shared" si="98"/>
        <v>#DIV/0!</v>
      </c>
      <c r="EY13" s="34" t="e">
        <f t="shared" si="99"/>
        <v>#DIV/0!</v>
      </c>
      <c r="EZ13" s="34" t="e">
        <f t="shared" si="100"/>
        <v>#DIV/0!</v>
      </c>
      <c r="FA13" s="34" t="e">
        <f t="shared" si="101"/>
        <v>#DIV/0!</v>
      </c>
      <c r="FB13" s="34" t="e">
        <f t="shared" si="102"/>
        <v>#DIV/0!</v>
      </c>
      <c r="FC13" s="34" t="e">
        <f t="shared" si="103"/>
        <v>#DIV/0!</v>
      </c>
      <c r="FD13" s="34" t="e">
        <f t="shared" si="104"/>
        <v>#DIV/0!</v>
      </c>
      <c r="FE13" s="34" t="e">
        <f t="shared" si="105"/>
        <v>#DIV/0!</v>
      </c>
      <c r="FF13" s="139" t="e">
        <f t="shared" si="106"/>
        <v>#DIV/0!</v>
      </c>
    </row>
    <row r="14" spans="2:162" x14ac:dyDescent="0.25">
      <c r="B14" s="127">
        <f>B13+1</f>
        <v>45507</v>
      </c>
      <c r="C14" s="266"/>
      <c r="D14" s="53"/>
      <c r="E14" s="129"/>
      <c r="F14" s="25"/>
      <c r="G14" s="25"/>
      <c r="H14" s="150"/>
      <c r="I14" s="24"/>
      <c r="J14" s="151"/>
      <c r="K14" s="151"/>
      <c r="L14" s="152">
        <v>15.7</v>
      </c>
      <c r="M14" s="152" t="e">
        <f t="shared" si="1"/>
        <v>#DIV/0!</v>
      </c>
      <c r="N14" s="153" t="e">
        <f t="shared" si="2"/>
        <v>#DIV/0!</v>
      </c>
      <c r="O14" s="25"/>
      <c r="P14" s="95"/>
      <c r="Q14" s="41"/>
      <c r="R14" s="41"/>
      <c r="S14" s="41"/>
      <c r="T14" s="41"/>
      <c r="U14" s="41"/>
      <c r="V14" s="41"/>
      <c r="W14" s="42"/>
      <c r="X14" s="95"/>
      <c r="Y14" s="41"/>
      <c r="Z14" s="41"/>
      <c r="AA14" s="42"/>
      <c r="AB14" s="95"/>
      <c r="AC14" s="41"/>
      <c r="AD14" s="41"/>
      <c r="AE14" s="41"/>
      <c r="AF14" s="41"/>
      <c r="AG14" s="42"/>
      <c r="AH14" s="95"/>
      <c r="AI14" s="41"/>
      <c r="AJ14" s="41"/>
      <c r="AK14" s="41"/>
      <c r="AL14" s="42"/>
      <c r="AM14" s="95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2"/>
      <c r="BB14" s="95" t="e">
        <f t="shared" si="3"/>
        <v>#DIV/0!</v>
      </c>
      <c r="BC14" s="41" t="e">
        <f t="shared" si="4"/>
        <v>#DIV/0!</v>
      </c>
      <c r="BD14" s="41" t="e">
        <f t="shared" si="5"/>
        <v>#DIV/0!</v>
      </c>
      <c r="BE14" s="41" t="e">
        <f t="shared" si="6"/>
        <v>#DIV/0!</v>
      </c>
      <c r="BF14" s="41" t="e">
        <f t="shared" si="7"/>
        <v>#DIV/0!</v>
      </c>
      <c r="BG14" s="41" t="e">
        <f t="shared" si="8"/>
        <v>#DIV/0!</v>
      </c>
      <c r="BH14" s="41" t="e">
        <f t="shared" si="9"/>
        <v>#DIV/0!</v>
      </c>
      <c r="BI14" s="42" t="e">
        <f t="shared" si="10"/>
        <v>#DIV/0!</v>
      </c>
      <c r="BJ14" s="95" t="e">
        <f t="shared" si="11"/>
        <v>#DIV/0!</v>
      </c>
      <c r="BK14" s="41" t="e">
        <f t="shared" si="12"/>
        <v>#DIV/0!</v>
      </c>
      <c r="BL14" s="41" t="e">
        <f t="shared" si="13"/>
        <v>#DIV/0!</v>
      </c>
      <c r="BM14" s="42" t="e">
        <f t="shared" si="14"/>
        <v>#DIV/0!</v>
      </c>
      <c r="BN14" s="95" t="e">
        <f t="shared" si="15"/>
        <v>#DIV/0!</v>
      </c>
      <c r="BO14" s="41" t="e">
        <f t="shared" si="16"/>
        <v>#DIV/0!</v>
      </c>
      <c r="BP14" s="41" t="e">
        <f t="shared" si="17"/>
        <v>#DIV/0!</v>
      </c>
      <c r="BQ14" s="41" t="e">
        <f t="shared" si="18"/>
        <v>#DIV/0!</v>
      </c>
      <c r="BR14" s="41" t="e">
        <f t="shared" si="19"/>
        <v>#DIV/0!</v>
      </c>
      <c r="BS14" s="42" t="e">
        <f t="shared" si="20"/>
        <v>#DIV/0!</v>
      </c>
      <c r="BT14" s="95" t="e">
        <f t="shared" si="21"/>
        <v>#DIV/0!</v>
      </c>
      <c r="BU14" s="41" t="e">
        <f t="shared" si="22"/>
        <v>#DIV/0!</v>
      </c>
      <c r="BV14" s="41" t="e">
        <f t="shared" si="23"/>
        <v>#DIV/0!</v>
      </c>
      <c r="BW14" s="41" t="e">
        <f t="shared" si="24"/>
        <v>#DIV/0!</v>
      </c>
      <c r="BX14" s="42" t="e">
        <f t="shared" si="25"/>
        <v>#DIV/0!</v>
      </c>
      <c r="BY14" s="95" t="e">
        <f t="shared" si="26"/>
        <v>#DIV/0!</v>
      </c>
      <c r="BZ14" s="41" t="e">
        <f t="shared" si="27"/>
        <v>#DIV/0!</v>
      </c>
      <c r="CA14" s="41" t="e">
        <f t="shared" si="28"/>
        <v>#DIV/0!</v>
      </c>
      <c r="CB14" s="41" t="e">
        <f t="shared" si="29"/>
        <v>#DIV/0!</v>
      </c>
      <c r="CC14" s="41" t="e">
        <f t="shared" si="30"/>
        <v>#DIV/0!</v>
      </c>
      <c r="CD14" s="41" t="e">
        <f t="shared" si="31"/>
        <v>#DIV/0!</v>
      </c>
      <c r="CE14" s="41" t="e">
        <f t="shared" si="32"/>
        <v>#DIV/0!</v>
      </c>
      <c r="CF14" s="41" t="e">
        <f t="shared" si="33"/>
        <v>#DIV/0!</v>
      </c>
      <c r="CG14" s="41" t="e">
        <f t="shared" si="34"/>
        <v>#DIV/0!</v>
      </c>
      <c r="CH14" s="41" t="e">
        <f t="shared" si="35"/>
        <v>#DIV/0!</v>
      </c>
      <c r="CI14" s="41" t="e">
        <f t="shared" si="36"/>
        <v>#DIV/0!</v>
      </c>
      <c r="CJ14" s="42" t="e">
        <f t="shared" si="37"/>
        <v>#DIV/0!</v>
      </c>
      <c r="CL14" s="36">
        <v>2</v>
      </c>
      <c r="CN14" s="95" t="e">
        <f t="shared" ref="CN14" si="107">AVERAGE(BB14:BB15)*$CL14</f>
        <v>#DIV/0!</v>
      </c>
      <c r="CO14" s="41" t="e">
        <f t="shared" ref="CO14" si="108">AVERAGE(BC14:BC15)*$CL14</f>
        <v>#DIV/0!</v>
      </c>
      <c r="CP14" s="41" t="e">
        <f t="shared" ref="CP14" si="109">AVERAGE(BD14:BD15)*$CL14</f>
        <v>#DIV/0!</v>
      </c>
      <c r="CQ14" s="41" t="e">
        <f t="shared" ref="CQ14" si="110">AVERAGE(BE14:BE15)*$CL14</f>
        <v>#DIV/0!</v>
      </c>
      <c r="CR14" s="41" t="e">
        <f t="shared" ref="CR14" si="111">AVERAGE(BF14:BF15)*$CL14</f>
        <v>#DIV/0!</v>
      </c>
      <c r="CS14" s="41" t="e">
        <f t="shared" ref="CS14" si="112">AVERAGE(BG14:BG15)*$CL14</f>
        <v>#DIV/0!</v>
      </c>
      <c r="CT14" s="41" t="e">
        <f t="shared" ref="CT14" si="113">AVERAGE(BH14:BH15)*$CL14</f>
        <v>#DIV/0!</v>
      </c>
      <c r="CU14" s="42" t="e">
        <f t="shared" ref="CU14" si="114">AVERAGE(BI14:BI15)*$CL14</f>
        <v>#DIV/0!</v>
      </c>
      <c r="CV14" s="95" t="e">
        <f t="shared" ref="CV14" si="115">AVERAGE(BJ14:BJ15)*$CL14</f>
        <v>#DIV/0!</v>
      </c>
      <c r="CW14" s="41" t="e">
        <f t="shared" ref="CW14" si="116">AVERAGE(BK14:BK15)*$CL14</f>
        <v>#DIV/0!</v>
      </c>
      <c r="CX14" s="41" t="e">
        <f t="shared" ref="CX14" si="117">AVERAGE(BL14:BL15)*$CL14</f>
        <v>#DIV/0!</v>
      </c>
      <c r="CY14" s="42" t="e">
        <f t="shared" ref="CY14" si="118">AVERAGE(BM14:BM15)*$CL14</f>
        <v>#DIV/0!</v>
      </c>
      <c r="CZ14" s="95" t="e">
        <f t="shared" ref="CZ14" si="119">AVERAGE(BN14:BN15)*$CL14</f>
        <v>#DIV/0!</v>
      </c>
      <c r="DA14" s="41" t="e">
        <f t="shared" ref="DA14" si="120">AVERAGE(BO14:BO15)*$CL14</f>
        <v>#DIV/0!</v>
      </c>
      <c r="DB14" s="41" t="e">
        <f t="shared" ref="DB14" si="121">AVERAGE(BP14:BP15)*$CL14</f>
        <v>#DIV/0!</v>
      </c>
      <c r="DC14" s="41" t="e">
        <f t="shared" ref="DC14" si="122">AVERAGE(BQ14:BQ15)*$CL14</f>
        <v>#DIV/0!</v>
      </c>
      <c r="DD14" s="41" t="e">
        <f t="shared" ref="DD14" si="123">AVERAGE(BR14:BR15)*$CL14</f>
        <v>#DIV/0!</v>
      </c>
      <c r="DE14" s="42" t="e">
        <f t="shared" ref="DE14" si="124">AVERAGE(BS14:BS15)*$CL14</f>
        <v>#DIV/0!</v>
      </c>
      <c r="DF14" s="95" t="e">
        <f t="shared" ref="DF14" si="125">AVERAGE(BT14:BT15)*$CL14</f>
        <v>#DIV/0!</v>
      </c>
      <c r="DG14" s="41" t="e">
        <f t="shared" ref="DG14" si="126">AVERAGE(BU14:BU15)*$CL14</f>
        <v>#DIV/0!</v>
      </c>
      <c r="DH14" s="41" t="e">
        <f t="shared" ref="DH14" si="127">AVERAGE(BV14:BV15)*$CL14</f>
        <v>#DIV/0!</v>
      </c>
      <c r="DI14" s="41" t="e">
        <f t="shared" ref="DI14" si="128">AVERAGE(BW14:BW15)*$CL14</f>
        <v>#DIV/0!</v>
      </c>
      <c r="DJ14" s="42" t="e">
        <f t="shared" ref="DJ14" si="129">AVERAGE(BX14:BX15)*$CL14</f>
        <v>#DIV/0!</v>
      </c>
      <c r="DK14" s="95" t="e">
        <f t="shared" ref="DK14" si="130">AVERAGE(BY14:BY15)*$CL14</f>
        <v>#DIV/0!</v>
      </c>
      <c r="DL14" s="41" t="e">
        <f t="shared" ref="DL14" si="131">AVERAGE(BZ14:BZ15)*$CL14</f>
        <v>#DIV/0!</v>
      </c>
      <c r="DM14" s="41" t="e">
        <f t="shared" ref="DM14" si="132">AVERAGE(CA14:CA15)*$CL14</f>
        <v>#DIV/0!</v>
      </c>
      <c r="DN14" s="41" t="e">
        <f t="shared" ref="DN14" si="133">AVERAGE(CB14:CB15)*$CL14</f>
        <v>#DIV/0!</v>
      </c>
      <c r="DO14" s="41" t="e">
        <f t="shared" ref="DO14" si="134">AVERAGE(CC14:CC15)*$CL14</f>
        <v>#DIV/0!</v>
      </c>
      <c r="DP14" s="41" t="e">
        <f t="shared" ref="DP14" si="135">AVERAGE(CD14:CD15)*$CL14</f>
        <v>#DIV/0!</v>
      </c>
      <c r="DQ14" s="41" t="e">
        <f t="shared" ref="DQ14" si="136">AVERAGE(CE14:CE15)*$CL14</f>
        <v>#DIV/0!</v>
      </c>
      <c r="DR14" s="41" t="e">
        <f t="shared" ref="DR14" si="137">AVERAGE(CF14:CF15)*$CL14</f>
        <v>#DIV/0!</v>
      </c>
      <c r="DS14" s="41" t="e">
        <f t="shared" ref="DS14" si="138">AVERAGE(CG14:CG15)*$CL14</f>
        <v>#DIV/0!</v>
      </c>
      <c r="DT14" s="41" t="e">
        <f t="shared" ref="DT14" si="139">AVERAGE(CH14:CH15)*$CL14</f>
        <v>#DIV/0!</v>
      </c>
      <c r="DU14" s="41" t="e">
        <f t="shared" ref="DU14" si="140">AVERAGE(CI14:CI15)*$CL14</f>
        <v>#DIV/0!</v>
      </c>
      <c r="DV14" s="42" t="e">
        <f t="shared" ref="DV14" si="141">AVERAGE(CJ14:CJ15)*$CL14</f>
        <v>#DIV/0!</v>
      </c>
      <c r="DX14" s="138" t="e">
        <f t="shared" si="72"/>
        <v>#DIV/0!</v>
      </c>
      <c r="DY14" s="34" t="e">
        <f t="shared" si="73"/>
        <v>#DIV/0!</v>
      </c>
      <c r="DZ14" s="34" t="e">
        <f t="shared" si="74"/>
        <v>#DIV/0!</v>
      </c>
      <c r="EA14" s="34" t="e">
        <f t="shared" si="75"/>
        <v>#DIV/0!</v>
      </c>
      <c r="EB14" s="34" t="e">
        <f t="shared" si="76"/>
        <v>#DIV/0!</v>
      </c>
      <c r="EC14" s="34" t="e">
        <f t="shared" si="77"/>
        <v>#DIV/0!</v>
      </c>
      <c r="ED14" s="34" t="e">
        <f t="shared" si="78"/>
        <v>#DIV/0!</v>
      </c>
      <c r="EE14" s="139" t="e">
        <f t="shared" si="79"/>
        <v>#DIV/0!</v>
      </c>
      <c r="EF14" s="138" t="e">
        <f t="shared" si="80"/>
        <v>#DIV/0!</v>
      </c>
      <c r="EG14" s="34" t="e">
        <f t="shared" si="81"/>
        <v>#DIV/0!</v>
      </c>
      <c r="EH14" s="34" t="e">
        <f t="shared" si="82"/>
        <v>#DIV/0!</v>
      </c>
      <c r="EI14" s="139" t="e">
        <f t="shared" si="83"/>
        <v>#DIV/0!</v>
      </c>
      <c r="EJ14" s="138" t="e">
        <f t="shared" si="84"/>
        <v>#DIV/0!</v>
      </c>
      <c r="EK14" s="34" t="e">
        <f t="shared" si="85"/>
        <v>#DIV/0!</v>
      </c>
      <c r="EL14" s="34" t="e">
        <f t="shared" si="86"/>
        <v>#DIV/0!</v>
      </c>
      <c r="EM14" s="34" t="e">
        <f t="shared" si="87"/>
        <v>#DIV/0!</v>
      </c>
      <c r="EN14" s="34" t="e">
        <f t="shared" si="88"/>
        <v>#DIV/0!</v>
      </c>
      <c r="EO14" s="139" t="e">
        <f t="shared" si="89"/>
        <v>#DIV/0!</v>
      </c>
      <c r="EP14" s="138" t="e">
        <f t="shared" si="90"/>
        <v>#DIV/0!</v>
      </c>
      <c r="EQ14" s="34" t="e">
        <f t="shared" si="91"/>
        <v>#DIV/0!</v>
      </c>
      <c r="ER14" s="34" t="e">
        <f t="shared" si="92"/>
        <v>#DIV/0!</v>
      </c>
      <c r="ES14" s="34" t="e">
        <f t="shared" si="93"/>
        <v>#DIV/0!</v>
      </c>
      <c r="ET14" s="139" t="e">
        <f t="shared" si="94"/>
        <v>#DIV/0!</v>
      </c>
      <c r="EU14" s="138" t="e">
        <f t="shared" si="95"/>
        <v>#DIV/0!</v>
      </c>
      <c r="EV14" s="34" t="e">
        <f t="shared" si="96"/>
        <v>#DIV/0!</v>
      </c>
      <c r="EW14" s="34" t="e">
        <f t="shared" si="97"/>
        <v>#DIV/0!</v>
      </c>
      <c r="EX14" s="34" t="e">
        <f t="shared" si="98"/>
        <v>#DIV/0!</v>
      </c>
      <c r="EY14" s="34" t="e">
        <f t="shared" si="99"/>
        <v>#DIV/0!</v>
      </c>
      <c r="EZ14" s="34" t="e">
        <f t="shared" si="100"/>
        <v>#DIV/0!</v>
      </c>
      <c r="FA14" s="34" t="e">
        <f t="shared" si="101"/>
        <v>#DIV/0!</v>
      </c>
      <c r="FB14" s="34" t="e">
        <f t="shared" si="102"/>
        <v>#DIV/0!</v>
      </c>
      <c r="FC14" s="34" t="e">
        <f t="shared" si="103"/>
        <v>#DIV/0!</v>
      </c>
      <c r="FD14" s="34" t="e">
        <f t="shared" si="104"/>
        <v>#DIV/0!</v>
      </c>
      <c r="FE14" s="34" t="e">
        <f t="shared" si="105"/>
        <v>#DIV/0!</v>
      </c>
      <c r="FF14" s="139" t="e">
        <f t="shared" si="106"/>
        <v>#DIV/0!</v>
      </c>
    </row>
    <row r="15" spans="2:162" ht="16.5" thickBot="1" x14ac:dyDescent="0.3">
      <c r="B15" s="130">
        <f>B14+1</f>
        <v>45508</v>
      </c>
      <c r="C15" s="267"/>
      <c r="D15" s="100"/>
      <c r="E15" s="131"/>
      <c r="F15" s="25"/>
      <c r="G15" s="25"/>
      <c r="H15" s="171"/>
      <c r="I15" s="172"/>
      <c r="J15" s="173"/>
      <c r="K15" s="173"/>
      <c r="L15" s="174"/>
      <c r="M15" s="174" t="e">
        <f t="shared" si="1"/>
        <v>#DIV/0!</v>
      </c>
      <c r="N15" s="175" t="e">
        <f t="shared" si="2"/>
        <v>#DIV/0!</v>
      </c>
      <c r="O15" s="25"/>
      <c r="P15" s="96"/>
      <c r="Q15" s="76"/>
      <c r="R15" s="76"/>
      <c r="S15" s="76"/>
      <c r="T15" s="76"/>
      <c r="U15" s="76"/>
      <c r="V15" s="76"/>
      <c r="W15" s="77"/>
      <c r="X15" s="96"/>
      <c r="Y15" s="76"/>
      <c r="Z15" s="76"/>
      <c r="AA15" s="77"/>
      <c r="AB15" s="96"/>
      <c r="AC15" s="76"/>
      <c r="AD15" s="76"/>
      <c r="AE15" s="76"/>
      <c r="AF15" s="76"/>
      <c r="AG15" s="77"/>
      <c r="AH15" s="96"/>
      <c r="AI15" s="76"/>
      <c r="AJ15" s="76"/>
      <c r="AK15" s="76"/>
      <c r="AL15" s="77"/>
      <c r="AM15" s="9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7"/>
      <c r="BB15" s="96" t="e">
        <f t="shared" si="3"/>
        <v>#DIV/0!</v>
      </c>
      <c r="BC15" s="76" t="e">
        <f t="shared" si="4"/>
        <v>#DIV/0!</v>
      </c>
      <c r="BD15" s="76" t="e">
        <f t="shared" si="5"/>
        <v>#DIV/0!</v>
      </c>
      <c r="BE15" s="76" t="e">
        <f t="shared" si="6"/>
        <v>#DIV/0!</v>
      </c>
      <c r="BF15" s="76" t="e">
        <f t="shared" si="7"/>
        <v>#DIV/0!</v>
      </c>
      <c r="BG15" s="76" t="e">
        <f t="shared" si="8"/>
        <v>#DIV/0!</v>
      </c>
      <c r="BH15" s="76" t="e">
        <f t="shared" si="9"/>
        <v>#DIV/0!</v>
      </c>
      <c r="BI15" s="77" t="e">
        <f t="shared" si="10"/>
        <v>#DIV/0!</v>
      </c>
      <c r="BJ15" s="96" t="e">
        <f t="shared" si="11"/>
        <v>#DIV/0!</v>
      </c>
      <c r="BK15" s="76" t="e">
        <f t="shared" si="12"/>
        <v>#DIV/0!</v>
      </c>
      <c r="BL15" s="76" t="e">
        <f t="shared" si="13"/>
        <v>#DIV/0!</v>
      </c>
      <c r="BM15" s="77" t="e">
        <f t="shared" si="14"/>
        <v>#DIV/0!</v>
      </c>
      <c r="BN15" s="96" t="e">
        <f t="shared" si="15"/>
        <v>#DIV/0!</v>
      </c>
      <c r="BO15" s="76" t="e">
        <f t="shared" si="16"/>
        <v>#DIV/0!</v>
      </c>
      <c r="BP15" s="76" t="e">
        <f t="shared" si="17"/>
        <v>#DIV/0!</v>
      </c>
      <c r="BQ15" s="76" t="e">
        <f t="shared" si="18"/>
        <v>#DIV/0!</v>
      </c>
      <c r="BR15" s="76" t="e">
        <f t="shared" si="19"/>
        <v>#DIV/0!</v>
      </c>
      <c r="BS15" s="77" t="e">
        <f t="shared" si="20"/>
        <v>#DIV/0!</v>
      </c>
      <c r="BT15" s="96" t="e">
        <f t="shared" si="21"/>
        <v>#DIV/0!</v>
      </c>
      <c r="BU15" s="76" t="e">
        <f t="shared" si="22"/>
        <v>#DIV/0!</v>
      </c>
      <c r="BV15" s="76" t="e">
        <f t="shared" si="23"/>
        <v>#DIV/0!</v>
      </c>
      <c r="BW15" s="76" t="e">
        <f t="shared" si="24"/>
        <v>#DIV/0!</v>
      </c>
      <c r="BX15" s="77" t="e">
        <f t="shared" si="25"/>
        <v>#DIV/0!</v>
      </c>
      <c r="BY15" s="96" t="e">
        <f t="shared" si="26"/>
        <v>#DIV/0!</v>
      </c>
      <c r="BZ15" s="76" t="e">
        <f t="shared" si="27"/>
        <v>#DIV/0!</v>
      </c>
      <c r="CA15" s="76" t="e">
        <f t="shared" si="28"/>
        <v>#DIV/0!</v>
      </c>
      <c r="CB15" s="76" t="e">
        <f t="shared" si="29"/>
        <v>#DIV/0!</v>
      </c>
      <c r="CC15" s="76" t="e">
        <f t="shared" si="30"/>
        <v>#DIV/0!</v>
      </c>
      <c r="CD15" s="76" t="e">
        <f t="shared" si="31"/>
        <v>#DIV/0!</v>
      </c>
      <c r="CE15" s="76" t="e">
        <f t="shared" si="32"/>
        <v>#DIV/0!</v>
      </c>
      <c r="CF15" s="76" t="e">
        <f t="shared" si="33"/>
        <v>#DIV/0!</v>
      </c>
      <c r="CG15" s="76" t="e">
        <f t="shared" si="34"/>
        <v>#DIV/0!</v>
      </c>
      <c r="CH15" s="76" t="e">
        <f t="shared" si="35"/>
        <v>#DIV/0!</v>
      </c>
      <c r="CI15" s="76" t="e">
        <f t="shared" si="36"/>
        <v>#DIV/0!</v>
      </c>
      <c r="CJ15" s="77" t="e">
        <f t="shared" si="37"/>
        <v>#DIV/0!</v>
      </c>
      <c r="CN15" s="96"/>
      <c r="CO15" s="76"/>
      <c r="CP15" s="76"/>
      <c r="CQ15" s="76"/>
      <c r="CR15" s="76"/>
      <c r="CS15" s="76"/>
      <c r="CT15" s="76"/>
      <c r="CU15" s="77"/>
      <c r="CV15" s="96"/>
      <c r="CW15" s="76"/>
      <c r="CX15" s="76"/>
      <c r="CY15" s="77"/>
      <c r="CZ15" s="96"/>
      <c r="DA15" s="76"/>
      <c r="DB15" s="76"/>
      <c r="DC15" s="76"/>
      <c r="DD15" s="76"/>
      <c r="DE15" s="77"/>
      <c r="DF15" s="96"/>
      <c r="DG15" s="76"/>
      <c r="DH15" s="76"/>
      <c r="DI15" s="76"/>
      <c r="DJ15" s="77"/>
      <c r="DK15" s="96"/>
      <c r="DL15" s="76"/>
      <c r="DM15" s="76"/>
      <c r="DN15" s="76"/>
      <c r="DO15" s="76"/>
      <c r="DP15" s="76"/>
      <c r="DQ15" s="76"/>
      <c r="DR15" s="76"/>
      <c r="DS15" s="76"/>
      <c r="DT15" s="76"/>
      <c r="DU15" s="76"/>
      <c r="DV15" s="77"/>
      <c r="DX15" s="140" t="e">
        <f t="shared" si="72"/>
        <v>#DIV/0!</v>
      </c>
      <c r="DY15" s="141" t="e">
        <f t="shared" si="73"/>
        <v>#DIV/0!</v>
      </c>
      <c r="DZ15" s="141" t="e">
        <f t="shared" si="74"/>
        <v>#DIV/0!</v>
      </c>
      <c r="EA15" s="141" t="e">
        <f t="shared" si="75"/>
        <v>#DIV/0!</v>
      </c>
      <c r="EB15" s="141" t="e">
        <f t="shared" si="76"/>
        <v>#DIV/0!</v>
      </c>
      <c r="EC15" s="141" t="e">
        <f t="shared" si="77"/>
        <v>#DIV/0!</v>
      </c>
      <c r="ED15" s="141" t="e">
        <f t="shared" si="78"/>
        <v>#DIV/0!</v>
      </c>
      <c r="EE15" s="142" t="e">
        <f t="shared" si="79"/>
        <v>#DIV/0!</v>
      </c>
      <c r="EF15" s="140" t="e">
        <f t="shared" si="80"/>
        <v>#DIV/0!</v>
      </c>
      <c r="EG15" s="141" t="e">
        <f t="shared" si="81"/>
        <v>#DIV/0!</v>
      </c>
      <c r="EH15" s="141" t="e">
        <f t="shared" si="82"/>
        <v>#DIV/0!</v>
      </c>
      <c r="EI15" s="142" t="e">
        <f t="shared" si="83"/>
        <v>#DIV/0!</v>
      </c>
      <c r="EJ15" s="140" t="e">
        <f t="shared" si="84"/>
        <v>#DIV/0!</v>
      </c>
      <c r="EK15" s="141" t="e">
        <f t="shared" si="85"/>
        <v>#DIV/0!</v>
      </c>
      <c r="EL15" s="141" t="e">
        <f t="shared" si="86"/>
        <v>#DIV/0!</v>
      </c>
      <c r="EM15" s="141" t="e">
        <f t="shared" si="87"/>
        <v>#DIV/0!</v>
      </c>
      <c r="EN15" s="141" t="e">
        <f t="shared" si="88"/>
        <v>#DIV/0!</v>
      </c>
      <c r="EO15" s="142" t="e">
        <f t="shared" si="89"/>
        <v>#DIV/0!</v>
      </c>
      <c r="EP15" s="140" t="e">
        <f t="shared" si="90"/>
        <v>#DIV/0!</v>
      </c>
      <c r="EQ15" s="141" t="e">
        <f t="shared" si="91"/>
        <v>#DIV/0!</v>
      </c>
      <c r="ER15" s="141" t="e">
        <f t="shared" si="92"/>
        <v>#DIV/0!</v>
      </c>
      <c r="ES15" s="141" t="e">
        <f t="shared" si="93"/>
        <v>#DIV/0!</v>
      </c>
      <c r="ET15" s="142" t="e">
        <f t="shared" si="94"/>
        <v>#DIV/0!</v>
      </c>
      <c r="EU15" s="140" t="e">
        <f t="shared" si="95"/>
        <v>#DIV/0!</v>
      </c>
      <c r="EV15" s="141" t="e">
        <f t="shared" si="96"/>
        <v>#DIV/0!</v>
      </c>
      <c r="EW15" s="141" t="e">
        <f t="shared" si="97"/>
        <v>#DIV/0!</v>
      </c>
      <c r="EX15" s="141" t="e">
        <f t="shared" si="98"/>
        <v>#DIV/0!</v>
      </c>
      <c r="EY15" s="141" t="e">
        <f t="shared" si="99"/>
        <v>#DIV/0!</v>
      </c>
      <c r="EZ15" s="141" t="e">
        <f t="shared" si="100"/>
        <v>#DIV/0!</v>
      </c>
      <c r="FA15" s="141" t="e">
        <f t="shared" si="101"/>
        <v>#DIV/0!</v>
      </c>
      <c r="FB15" s="141" t="e">
        <f t="shared" si="102"/>
        <v>#DIV/0!</v>
      </c>
      <c r="FC15" s="141" t="e">
        <f t="shared" si="103"/>
        <v>#DIV/0!</v>
      </c>
      <c r="FD15" s="141" t="e">
        <f t="shared" si="104"/>
        <v>#DIV/0!</v>
      </c>
      <c r="FE15" s="141" t="e">
        <f t="shared" si="105"/>
        <v>#DIV/0!</v>
      </c>
      <c r="FF15" s="142" t="e">
        <f t="shared" si="106"/>
        <v>#DIV/0!</v>
      </c>
    </row>
    <row r="16" spans="2:162" ht="17.25" thickTop="1" thickBot="1" x14ac:dyDescent="0.3">
      <c r="B16" s="256" t="s">
        <v>17</v>
      </c>
      <c r="C16" s="264"/>
      <c r="D16" s="101">
        <f t="shared" ref="D16:E16" si="142">SUM(D9:D15)</f>
        <v>0</v>
      </c>
      <c r="E16" s="134">
        <f t="shared" si="142"/>
        <v>0</v>
      </c>
      <c r="F16" s="146"/>
      <c r="G16" s="146"/>
      <c r="H16" s="43"/>
      <c r="I16" s="39"/>
      <c r="J16" s="39"/>
      <c r="K16" s="39"/>
      <c r="L16" s="44"/>
      <c r="M16" s="185"/>
      <c r="N16" s="170" t="e">
        <f>AVERAGE(N9:N13)*5+AVERAGE(N14:N15)*2</f>
        <v>#DIV/0!</v>
      </c>
      <c r="O16" s="146"/>
      <c r="P16" s="68">
        <f t="shared" ref="P16:AZ16" si="143">SUM(P9:P15)</f>
        <v>0</v>
      </c>
      <c r="Q16" s="65">
        <f t="shared" si="143"/>
        <v>0</v>
      </c>
      <c r="R16" s="65">
        <f t="shared" si="143"/>
        <v>0</v>
      </c>
      <c r="S16" s="65">
        <f t="shared" si="143"/>
        <v>0</v>
      </c>
      <c r="T16" s="65">
        <f t="shared" si="143"/>
        <v>0</v>
      </c>
      <c r="U16" s="65">
        <f t="shared" si="143"/>
        <v>0</v>
      </c>
      <c r="V16" s="65">
        <f t="shared" si="143"/>
        <v>0</v>
      </c>
      <c r="W16" s="66">
        <f t="shared" si="143"/>
        <v>0</v>
      </c>
      <c r="X16" s="68">
        <f t="shared" si="143"/>
        <v>0</v>
      </c>
      <c r="Y16" s="65">
        <f t="shared" si="143"/>
        <v>0</v>
      </c>
      <c r="Z16" s="65">
        <f t="shared" si="143"/>
        <v>0</v>
      </c>
      <c r="AA16" s="66">
        <f t="shared" si="143"/>
        <v>0</v>
      </c>
      <c r="AB16" s="68">
        <f t="shared" si="143"/>
        <v>0</v>
      </c>
      <c r="AC16" s="65">
        <f t="shared" si="143"/>
        <v>0</v>
      </c>
      <c r="AD16" s="65">
        <f t="shared" si="143"/>
        <v>0</v>
      </c>
      <c r="AE16" s="65">
        <f t="shared" si="143"/>
        <v>0</v>
      </c>
      <c r="AF16" s="65">
        <f t="shared" si="143"/>
        <v>0</v>
      </c>
      <c r="AG16" s="66">
        <f t="shared" si="143"/>
        <v>0</v>
      </c>
      <c r="AH16" s="68">
        <f t="shared" si="143"/>
        <v>0</v>
      </c>
      <c r="AI16" s="65">
        <f t="shared" si="143"/>
        <v>0</v>
      </c>
      <c r="AJ16" s="65">
        <f t="shared" si="143"/>
        <v>0</v>
      </c>
      <c r="AK16" s="65">
        <f t="shared" si="143"/>
        <v>0</v>
      </c>
      <c r="AL16" s="66">
        <f t="shared" si="143"/>
        <v>0</v>
      </c>
      <c r="AM16" s="68">
        <f t="shared" si="143"/>
        <v>0</v>
      </c>
      <c r="AN16" s="65">
        <f t="shared" si="143"/>
        <v>0</v>
      </c>
      <c r="AO16" s="65">
        <f t="shared" si="143"/>
        <v>0</v>
      </c>
      <c r="AP16" s="65">
        <f t="shared" si="143"/>
        <v>0</v>
      </c>
      <c r="AQ16" s="65">
        <f t="shared" si="143"/>
        <v>0</v>
      </c>
      <c r="AR16" s="65">
        <f t="shared" si="143"/>
        <v>0</v>
      </c>
      <c r="AS16" s="65">
        <f t="shared" si="143"/>
        <v>0</v>
      </c>
      <c r="AT16" s="65">
        <f t="shared" si="143"/>
        <v>0</v>
      </c>
      <c r="AU16" s="65">
        <f t="shared" si="143"/>
        <v>0</v>
      </c>
      <c r="AV16" s="65">
        <f t="shared" si="143"/>
        <v>0</v>
      </c>
      <c r="AW16" s="65">
        <f t="shared" si="143"/>
        <v>0</v>
      </c>
      <c r="AX16" s="65">
        <f t="shared" si="143"/>
        <v>0</v>
      </c>
      <c r="AY16" s="65">
        <f t="shared" si="143"/>
        <v>0</v>
      </c>
      <c r="AZ16" s="66">
        <f t="shared" si="143"/>
        <v>0</v>
      </c>
      <c r="BB16" s="68" t="e">
        <f t="shared" ref="BB16:CJ16" si="144">SUM(BB9:BB15)</f>
        <v>#DIV/0!</v>
      </c>
      <c r="BC16" s="65" t="e">
        <f t="shared" si="144"/>
        <v>#DIV/0!</v>
      </c>
      <c r="BD16" s="65" t="e">
        <f t="shared" si="144"/>
        <v>#DIV/0!</v>
      </c>
      <c r="BE16" s="65" t="e">
        <f t="shared" si="144"/>
        <v>#DIV/0!</v>
      </c>
      <c r="BF16" s="65" t="e">
        <f t="shared" si="144"/>
        <v>#DIV/0!</v>
      </c>
      <c r="BG16" s="65" t="e">
        <f t="shared" si="144"/>
        <v>#DIV/0!</v>
      </c>
      <c r="BH16" s="65" t="e">
        <f t="shared" si="144"/>
        <v>#DIV/0!</v>
      </c>
      <c r="BI16" s="66" t="e">
        <f t="shared" si="144"/>
        <v>#DIV/0!</v>
      </c>
      <c r="BJ16" s="68" t="e">
        <f t="shared" si="144"/>
        <v>#DIV/0!</v>
      </c>
      <c r="BK16" s="65" t="e">
        <f t="shared" si="144"/>
        <v>#DIV/0!</v>
      </c>
      <c r="BL16" s="65" t="e">
        <f t="shared" si="144"/>
        <v>#DIV/0!</v>
      </c>
      <c r="BM16" s="66" t="e">
        <f t="shared" si="144"/>
        <v>#DIV/0!</v>
      </c>
      <c r="BN16" s="68" t="e">
        <f t="shared" si="144"/>
        <v>#DIV/0!</v>
      </c>
      <c r="BO16" s="65" t="e">
        <f t="shared" si="144"/>
        <v>#DIV/0!</v>
      </c>
      <c r="BP16" s="65" t="e">
        <f t="shared" si="144"/>
        <v>#DIV/0!</v>
      </c>
      <c r="BQ16" s="65" t="e">
        <f t="shared" si="144"/>
        <v>#DIV/0!</v>
      </c>
      <c r="BR16" s="65" t="e">
        <f t="shared" si="144"/>
        <v>#DIV/0!</v>
      </c>
      <c r="BS16" s="66" t="e">
        <f t="shared" si="144"/>
        <v>#DIV/0!</v>
      </c>
      <c r="BT16" s="68" t="e">
        <f t="shared" si="144"/>
        <v>#DIV/0!</v>
      </c>
      <c r="BU16" s="65" t="e">
        <f t="shared" si="144"/>
        <v>#DIV/0!</v>
      </c>
      <c r="BV16" s="65" t="e">
        <f t="shared" si="144"/>
        <v>#DIV/0!</v>
      </c>
      <c r="BW16" s="65" t="e">
        <f t="shared" si="144"/>
        <v>#DIV/0!</v>
      </c>
      <c r="BX16" s="66" t="e">
        <f t="shared" si="144"/>
        <v>#DIV/0!</v>
      </c>
      <c r="BY16" s="68" t="e">
        <f t="shared" si="144"/>
        <v>#DIV/0!</v>
      </c>
      <c r="BZ16" s="65" t="e">
        <f t="shared" si="144"/>
        <v>#DIV/0!</v>
      </c>
      <c r="CA16" s="65" t="e">
        <f t="shared" si="144"/>
        <v>#DIV/0!</v>
      </c>
      <c r="CB16" s="65" t="e">
        <f t="shared" si="144"/>
        <v>#DIV/0!</v>
      </c>
      <c r="CC16" s="65" t="e">
        <f t="shared" si="144"/>
        <v>#DIV/0!</v>
      </c>
      <c r="CD16" s="65" t="e">
        <f t="shared" si="144"/>
        <v>#DIV/0!</v>
      </c>
      <c r="CE16" s="65" t="e">
        <f t="shared" si="144"/>
        <v>#DIV/0!</v>
      </c>
      <c r="CF16" s="65" t="e">
        <f t="shared" si="144"/>
        <v>#DIV/0!</v>
      </c>
      <c r="CG16" s="65" t="e">
        <f t="shared" si="144"/>
        <v>#DIV/0!</v>
      </c>
      <c r="CH16" s="65" t="e">
        <f t="shared" si="144"/>
        <v>#DIV/0!</v>
      </c>
      <c r="CI16" s="65" t="e">
        <f t="shared" si="144"/>
        <v>#DIV/0!</v>
      </c>
      <c r="CJ16" s="66" t="e">
        <f t="shared" si="144"/>
        <v>#DIV/0!</v>
      </c>
      <c r="CN16" s="68" t="e">
        <f t="shared" ref="CN16:DV16" si="145">SUM(CN9:CN15)</f>
        <v>#DIV/0!</v>
      </c>
      <c r="CO16" s="65" t="e">
        <f t="shared" si="145"/>
        <v>#DIV/0!</v>
      </c>
      <c r="CP16" s="65" t="e">
        <f t="shared" si="145"/>
        <v>#DIV/0!</v>
      </c>
      <c r="CQ16" s="65" t="e">
        <f t="shared" si="145"/>
        <v>#DIV/0!</v>
      </c>
      <c r="CR16" s="65" t="e">
        <f t="shared" si="145"/>
        <v>#DIV/0!</v>
      </c>
      <c r="CS16" s="65" t="e">
        <f t="shared" si="145"/>
        <v>#DIV/0!</v>
      </c>
      <c r="CT16" s="65" t="e">
        <f t="shared" si="145"/>
        <v>#DIV/0!</v>
      </c>
      <c r="CU16" s="66" t="e">
        <f t="shared" si="145"/>
        <v>#DIV/0!</v>
      </c>
      <c r="CV16" s="68" t="e">
        <f t="shared" si="145"/>
        <v>#DIV/0!</v>
      </c>
      <c r="CW16" s="65" t="e">
        <f t="shared" si="145"/>
        <v>#DIV/0!</v>
      </c>
      <c r="CX16" s="65" t="e">
        <f t="shared" si="145"/>
        <v>#DIV/0!</v>
      </c>
      <c r="CY16" s="66" t="e">
        <f t="shared" si="145"/>
        <v>#DIV/0!</v>
      </c>
      <c r="CZ16" s="68" t="e">
        <f t="shared" si="145"/>
        <v>#DIV/0!</v>
      </c>
      <c r="DA16" s="65" t="e">
        <f t="shared" si="145"/>
        <v>#DIV/0!</v>
      </c>
      <c r="DB16" s="65" t="e">
        <f t="shared" si="145"/>
        <v>#DIV/0!</v>
      </c>
      <c r="DC16" s="65" t="e">
        <f t="shared" si="145"/>
        <v>#DIV/0!</v>
      </c>
      <c r="DD16" s="65" t="e">
        <f t="shared" si="145"/>
        <v>#DIV/0!</v>
      </c>
      <c r="DE16" s="66" t="e">
        <f t="shared" si="145"/>
        <v>#DIV/0!</v>
      </c>
      <c r="DF16" s="68" t="e">
        <f t="shared" si="145"/>
        <v>#DIV/0!</v>
      </c>
      <c r="DG16" s="65" t="e">
        <f t="shared" si="145"/>
        <v>#DIV/0!</v>
      </c>
      <c r="DH16" s="65" t="e">
        <f t="shared" si="145"/>
        <v>#DIV/0!</v>
      </c>
      <c r="DI16" s="65" t="e">
        <f t="shared" si="145"/>
        <v>#DIV/0!</v>
      </c>
      <c r="DJ16" s="66" t="e">
        <f t="shared" si="145"/>
        <v>#DIV/0!</v>
      </c>
      <c r="DK16" s="68" t="e">
        <f t="shared" si="145"/>
        <v>#DIV/0!</v>
      </c>
      <c r="DL16" s="65" t="e">
        <f t="shared" si="145"/>
        <v>#DIV/0!</v>
      </c>
      <c r="DM16" s="65" t="e">
        <f t="shared" si="145"/>
        <v>#DIV/0!</v>
      </c>
      <c r="DN16" s="65" t="e">
        <f t="shared" si="145"/>
        <v>#DIV/0!</v>
      </c>
      <c r="DO16" s="65" t="e">
        <f t="shared" si="145"/>
        <v>#DIV/0!</v>
      </c>
      <c r="DP16" s="65" t="e">
        <f t="shared" si="145"/>
        <v>#DIV/0!</v>
      </c>
      <c r="DQ16" s="65" t="e">
        <f t="shared" si="145"/>
        <v>#DIV/0!</v>
      </c>
      <c r="DR16" s="65" t="e">
        <f t="shared" si="145"/>
        <v>#DIV/0!</v>
      </c>
      <c r="DS16" s="65" t="e">
        <f t="shared" si="145"/>
        <v>#DIV/0!</v>
      </c>
      <c r="DT16" s="65" t="e">
        <f t="shared" si="145"/>
        <v>#DIV/0!</v>
      </c>
      <c r="DU16" s="65" t="e">
        <f t="shared" si="145"/>
        <v>#DIV/0!</v>
      </c>
      <c r="DV16" s="66" t="e">
        <f t="shared" si="145"/>
        <v>#DIV/0!</v>
      </c>
      <c r="DX16" s="143" t="e">
        <f t="shared" ref="DX16:FF16" si="146">AVERAGE(DX9:DX15)</f>
        <v>#DIV/0!</v>
      </c>
      <c r="DY16" s="144" t="e">
        <f t="shared" si="146"/>
        <v>#DIV/0!</v>
      </c>
      <c r="DZ16" s="144" t="e">
        <f t="shared" si="146"/>
        <v>#DIV/0!</v>
      </c>
      <c r="EA16" s="144" t="e">
        <f t="shared" si="146"/>
        <v>#DIV/0!</v>
      </c>
      <c r="EB16" s="144" t="e">
        <f t="shared" si="146"/>
        <v>#DIV/0!</v>
      </c>
      <c r="EC16" s="144" t="e">
        <f t="shared" si="146"/>
        <v>#DIV/0!</v>
      </c>
      <c r="ED16" s="144" t="e">
        <f t="shared" si="146"/>
        <v>#DIV/0!</v>
      </c>
      <c r="EE16" s="145" t="e">
        <f t="shared" si="146"/>
        <v>#DIV/0!</v>
      </c>
      <c r="EF16" s="143" t="e">
        <f t="shared" si="146"/>
        <v>#DIV/0!</v>
      </c>
      <c r="EG16" s="144" t="e">
        <f t="shared" si="146"/>
        <v>#DIV/0!</v>
      </c>
      <c r="EH16" s="144" t="e">
        <f t="shared" si="146"/>
        <v>#DIV/0!</v>
      </c>
      <c r="EI16" s="145" t="e">
        <f t="shared" si="146"/>
        <v>#DIV/0!</v>
      </c>
      <c r="EJ16" s="143" t="e">
        <f t="shared" si="146"/>
        <v>#DIV/0!</v>
      </c>
      <c r="EK16" s="144" t="e">
        <f t="shared" si="146"/>
        <v>#DIV/0!</v>
      </c>
      <c r="EL16" s="144" t="e">
        <f t="shared" si="146"/>
        <v>#DIV/0!</v>
      </c>
      <c r="EM16" s="144" t="e">
        <f t="shared" si="146"/>
        <v>#DIV/0!</v>
      </c>
      <c r="EN16" s="144" t="e">
        <f t="shared" si="146"/>
        <v>#DIV/0!</v>
      </c>
      <c r="EO16" s="144" t="e">
        <f t="shared" si="146"/>
        <v>#DIV/0!</v>
      </c>
      <c r="EP16" s="143" t="e">
        <f t="shared" si="146"/>
        <v>#DIV/0!</v>
      </c>
      <c r="EQ16" s="144" t="e">
        <f t="shared" si="146"/>
        <v>#DIV/0!</v>
      </c>
      <c r="ER16" s="144" t="e">
        <f t="shared" si="146"/>
        <v>#DIV/0!</v>
      </c>
      <c r="ES16" s="144" t="e">
        <f t="shared" si="146"/>
        <v>#DIV/0!</v>
      </c>
      <c r="ET16" s="145" t="e">
        <f t="shared" si="146"/>
        <v>#DIV/0!</v>
      </c>
      <c r="EU16" s="143" t="e">
        <f t="shared" si="146"/>
        <v>#DIV/0!</v>
      </c>
      <c r="EV16" s="144" t="e">
        <f t="shared" si="146"/>
        <v>#DIV/0!</v>
      </c>
      <c r="EW16" s="144" t="e">
        <f t="shared" si="146"/>
        <v>#DIV/0!</v>
      </c>
      <c r="EX16" s="144" t="e">
        <f t="shared" si="146"/>
        <v>#DIV/0!</v>
      </c>
      <c r="EY16" s="144" t="e">
        <f t="shared" si="146"/>
        <v>#DIV/0!</v>
      </c>
      <c r="EZ16" s="144" t="e">
        <f t="shared" si="146"/>
        <v>#DIV/0!</v>
      </c>
      <c r="FA16" s="144" t="e">
        <f t="shared" si="146"/>
        <v>#DIV/0!</v>
      </c>
      <c r="FB16" s="144" t="e">
        <f t="shared" si="146"/>
        <v>#DIV/0!</v>
      </c>
      <c r="FC16" s="144" t="e">
        <f t="shared" si="146"/>
        <v>#DIV/0!</v>
      </c>
      <c r="FD16" s="144" t="e">
        <f t="shared" si="146"/>
        <v>#DIV/0!</v>
      </c>
      <c r="FE16" s="144" t="e">
        <f t="shared" si="146"/>
        <v>#DIV/0!</v>
      </c>
      <c r="FF16" s="145" t="e">
        <f t="shared" si="146"/>
        <v>#DIV/0!</v>
      </c>
    </row>
    <row r="17" spans="2:162" ht="16.5" thickBot="1" x14ac:dyDescent="0.3">
      <c r="C17" s="226"/>
      <c r="D17" s="57"/>
      <c r="E17" s="57"/>
      <c r="H17" s="136"/>
      <c r="I17" s="136"/>
      <c r="J17" s="136"/>
      <c r="K17" s="136"/>
      <c r="L17" s="253" t="s">
        <v>146</v>
      </c>
      <c r="M17" s="136"/>
      <c r="N17" s="136"/>
      <c r="P17" s="57"/>
      <c r="Q17" s="57"/>
      <c r="R17" s="57"/>
      <c r="S17" s="57"/>
      <c r="T17" s="57"/>
      <c r="U17" s="57"/>
      <c r="V17" s="57"/>
      <c r="W17" s="57"/>
    </row>
    <row r="18" spans="2:162" x14ac:dyDescent="0.25">
      <c r="B18" s="176">
        <v>45509</v>
      </c>
      <c r="C18" s="265"/>
      <c r="D18" s="103"/>
      <c r="E18" s="156"/>
      <c r="F18" s="25"/>
      <c r="G18" s="25"/>
      <c r="H18" s="179"/>
      <c r="I18" s="180"/>
      <c r="J18" s="181"/>
      <c r="K18" s="181"/>
      <c r="L18" s="182">
        <v>16.7</v>
      </c>
      <c r="M18" s="182" t="e">
        <f t="shared" ref="M18:M24" si="147">H18/I18*K18*L18*1.5</f>
        <v>#DIV/0!</v>
      </c>
      <c r="N18" s="183" t="e">
        <f t="shared" ref="N18:N24" si="148">H18/I18*J18*L18*N$4</f>
        <v>#DIV/0!</v>
      </c>
      <c r="O18" s="25"/>
      <c r="P18" s="157"/>
      <c r="Q18" s="158"/>
      <c r="R18" s="158"/>
      <c r="S18" s="158"/>
      <c r="T18" s="158"/>
      <c r="U18" s="158"/>
      <c r="V18" s="158"/>
      <c r="W18" s="159"/>
      <c r="X18" s="157"/>
      <c r="Y18" s="158"/>
      <c r="Z18" s="158"/>
      <c r="AA18" s="159"/>
      <c r="AB18" s="157"/>
      <c r="AC18" s="158"/>
      <c r="AD18" s="158"/>
      <c r="AE18" s="158"/>
      <c r="AF18" s="158"/>
      <c r="AG18" s="159"/>
      <c r="AH18" s="157"/>
      <c r="AI18" s="158"/>
      <c r="AJ18" s="158"/>
      <c r="AK18" s="158"/>
      <c r="AL18" s="159"/>
      <c r="AM18" s="157"/>
      <c r="AN18" s="158"/>
      <c r="AO18" s="158"/>
      <c r="AP18" s="158"/>
      <c r="AQ18" s="158"/>
      <c r="AR18" s="158"/>
      <c r="AS18" s="158"/>
      <c r="AT18" s="158"/>
      <c r="AU18" s="158"/>
      <c r="AV18" s="158"/>
      <c r="AW18" s="158"/>
      <c r="AX18" s="158"/>
      <c r="AY18" s="158"/>
      <c r="AZ18" s="159"/>
      <c r="BB18" s="157" t="e">
        <f t="shared" ref="BB18:BB24" si="149">$N18*DX18</f>
        <v>#DIV/0!</v>
      </c>
      <c r="BC18" s="158" t="e">
        <f t="shared" ref="BC18:BC24" si="150">$N18*DY18</f>
        <v>#DIV/0!</v>
      </c>
      <c r="BD18" s="158" t="e">
        <f t="shared" ref="BD18:BD24" si="151">$N18*DZ18</f>
        <v>#DIV/0!</v>
      </c>
      <c r="BE18" s="158" t="e">
        <f t="shared" ref="BE18:BE24" si="152">$N18*EA18</f>
        <v>#DIV/0!</v>
      </c>
      <c r="BF18" s="158" t="e">
        <f t="shared" ref="BF18:BF24" si="153">$N18*EB18</f>
        <v>#DIV/0!</v>
      </c>
      <c r="BG18" s="158" t="e">
        <f t="shared" ref="BG18:BG24" si="154">$N18*EC18</f>
        <v>#DIV/0!</v>
      </c>
      <c r="BH18" s="158" t="e">
        <f t="shared" ref="BH18:BH24" si="155">$N18*ED18</f>
        <v>#DIV/0!</v>
      </c>
      <c r="BI18" s="159" t="e">
        <f t="shared" ref="BI18:BI24" si="156">$N18*EE18</f>
        <v>#DIV/0!</v>
      </c>
      <c r="BJ18" s="157" t="e">
        <f t="shared" ref="BJ18:BJ24" si="157">$N18*EF18</f>
        <v>#DIV/0!</v>
      </c>
      <c r="BK18" s="158" t="e">
        <f t="shared" ref="BK18:BK24" si="158">$N18*EG18</f>
        <v>#DIV/0!</v>
      </c>
      <c r="BL18" s="158" t="e">
        <f t="shared" ref="BL18:BL24" si="159">$N18*EH18</f>
        <v>#DIV/0!</v>
      </c>
      <c r="BM18" s="159" t="e">
        <f t="shared" ref="BM18:BM24" si="160">$N18*EI18</f>
        <v>#DIV/0!</v>
      </c>
      <c r="BN18" s="157" t="e">
        <f t="shared" ref="BN18:BN24" si="161">$N18*EJ18</f>
        <v>#DIV/0!</v>
      </c>
      <c r="BO18" s="158" t="e">
        <f t="shared" ref="BO18:BO24" si="162">$N18*EK18</f>
        <v>#DIV/0!</v>
      </c>
      <c r="BP18" s="158" t="e">
        <f t="shared" ref="BP18:BP24" si="163">$N18*EL18</f>
        <v>#DIV/0!</v>
      </c>
      <c r="BQ18" s="158" t="e">
        <f t="shared" ref="BQ18:BQ24" si="164">$N18*EM18</f>
        <v>#DIV/0!</v>
      </c>
      <c r="BR18" s="158" t="e">
        <f t="shared" ref="BR18:BR24" si="165">$N18*EN18</f>
        <v>#DIV/0!</v>
      </c>
      <c r="BS18" s="159" t="e">
        <f t="shared" ref="BS18:BS24" si="166">$N18*EO18</f>
        <v>#DIV/0!</v>
      </c>
      <c r="BT18" s="157" t="e">
        <f t="shared" ref="BT18:BT24" si="167">$N18*EP18</f>
        <v>#DIV/0!</v>
      </c>
      <c r="BU18" s="158" t="e">
        <f t="shared" ref="BU18:BU24" si="168">$N18*EQ18</f>
        <v>#DIV/0!</v>
      </c>
      <c r="BV18" s="158" t="e">
        <f t="shared" ref="BV18:BV24" si="169">$N18*ER18</f>
        <v>#DIV/0!</v>
      </c>
      <c r="BW18" s="158" t="e">
        <f t="shared" ref="BW18:BW24" si="170">$N18*ES18</f>
        <v>#DIV/0!</v>
      </c>
      <c r="BX18" s="159" t="e">
        <f t="shared" ref="BX18:BX24" si="171">$N18*ET18</f>
        <v>#DIV/0!</v>
      </c>
      <c r="BY18" s="157" t="e">
        <f t="shared" ref="BY18:BY24" si="172">$N18*EU18</f>
        <v>#DIV/0!</v>
      </c>
      <c r="BZ18" s="158" t="e">
        <f t="shared" ref="BZ18:BZ24" si="173">$N18*EV18</f>
        <v>#DIV/0!</v>
      </c>
      <c r="CA18" s="158" t="e">
        <f t="shared" ref="CA18:CA24" si="174">$N18*EW18</f>
        <v>#DIV/0!</v>
      </c>
      <c r="CB18" s="158" t="e">
        <f t="shared" ref="CB18:CB24" si="175">$N18*EX18</f>
        <v>#DIV/0!</v>
      </c>
      <c r="CC18" s="158" t="e">
        <f t="shared" ref="CC18:CC24" si="176">$N18*EY18</f>
        <v>#DIV/0!</v>
      </c>
      <c r="CD18" s="158" t="e">
        <f t="shared" ref="CD18:CD24" si="177">$N18*EZ18</f>
        <v>#DIV/0!</v>
      </c>
      <c r="CE18" s="158" t="e">
        <f t="shared" ref="CE18:CE24" si="178">$N18*FA18</f>
        <v>#DIV/0!</v>
      </c>
      <c r="CF18" s="158" t="e">
        <f t="shared" ref="CF18:CF24" si="179">$N18*FB18</f>
        <v>#DIV/0!</v>
      </c>
      <c r="CG18" s="158" t="e">
        <f t="shared" ref="CG18:CG24" si="180">$N18*FC18</f>
        <v>#DIV/0!</v>
      </c>
      <c r="CH18" s="158" t="e">
        <f t="shared" ref="CH18:CH24" si="181">$N18*FD18</f>
        <v>#DIV/0!</v>
      </c>
      <c r="CI18" s="158" t="e">
        <f t="shared" ref="CI18:CI24" si="182">$N18*FE18</f>
        <v>#DIV/0!</v>
      </c>
      <c r="CJ18" s="159" t="e">
        <f t="shared" ref="CJ18:CJ24" si="183">$N18*FF18</f>
        <v>#DIV/0!</v>
      </c>
      <c r="CL18" s="36">
        <v>5</v>
      </c>
      <c r="CN18" s="157" t="e">
        <f>AVERAGE(BB18:BB22)*$CL18</f>
        <v>#DIV/0!</v>
      </c>
      <c r="CO18" s="158" t="e">
        <f t="shared" ref="CO18" si="184">AVERAGE(BC18:BC22)*$CL18</f>
        <v>#DIV/0!</v>
      </c>
      <c r="CP18" s="158" t="e">
        <f t="shared" ref="CP18" si="185">AVERAGE(BD18:BD22)*$CL18</f>
        <v>#DIV/0!</v>
      </c>
      <c r="CQ18" s="158" t="e">
        <f t="shared" ref="CQ18" si="186">AVERAGE(BE18:BE22)*$CL18</f>
        <v>#DIV/0!</v>
      </c>
      <c r="CR18" s="158" t="e">
        <f t="shared" ref="CR18" si="187">AVERAGE(BF18:BF22)*$CL18</f>
        <v>#DIV/0!</v>
      </c>
      <c r="CS18" s="158" t="e">
        <f t="shared" ref="CS18" si="188">AVERAGE(BG18:BG22)*$CL18</f>
        <v>#DIV/0!</v>
      </c>
      <c r="CT18" s="158" t="e">
        <f t="shared" ref="CT18" si="189">AVERAGE(BH18:BH22)*$CL18</f>
        <v>#DIV/0!</v>
      </c>
      <c r="CU18" s="159" t="e">
        <f t="shared" ref="CU18" si="190">AVERAGE(BI18:BI22)*$CL18</f>
        <v>#DIV/0!</v>
      </c>
      <c r="CV18" s="157" t="e">
        <f t="shared" ref="CV18" si="191">AVERAGE(BJ18:BJ22)*$CL18</f>
        <v>#DIV/0!</v>
      </c>
      <c r="CW18" s="158" t="e">
        <f t="shared" ref="CW18" si="192">AVERAGE(BK18:BK22)*$CL18</f>
        <v>#DIV/0!</v>
      </c>
      <c r="CX18" s="158" t="e">
        <f t="shared" ref="CX18" si="193">AVERAGE(BL18:BL22)*$CL18</f>
        <v>#DIV/0!</v>
      </c>
      <c r="CY18" s="159" t="e">
        <f t="shared" ref="CY18" si="194">AVERAGE(BM18:BM22)*$CL18</f>
        <v>#DIV/0!</v>
      </c>
      <c r="CZ18" s="157" t="e">
        <f t="shared" ref="CZ18" si="195">AVERAGE(BN18:BN22)*$CL18</f>
        <v>#DIV/0!</v>
      </c>
      <c r="DA18" s="158" t="e">
        <f t="shared" ref="DA18" si="196">AVERAGE(BO18:BO22)*$CL18</f>
        <v>#DIV/0!</v>
      </c>
      <c r="DB18" s="158" t="e">
        <f t="shared" ref="DB18" si="197">AVERAGE(BP18:BP22)*$CL18</f>
        <v>#DIV/0!</v>
      </c>
      <c r="DC18" s="158" t="e">
        <f t="shared" ref="DC18" si="198">AVERAGE(BQ18:BQ22)*$CL18</f>
        <v>#DIV/0!</v>
      </c>
      <c r="DD18" s="158" t="e">
        <f t="shared" ref="DD18" si="199">AVERAGE(BR18:BR22)*$CL18</f>
        <v>#DIV/0!</v>
      </c>
      <c r="DE18" s="159" t="e">
        <f t="shared" ref="DE18" si="200">AVERAGE(BS18:BS22)*$CL18</f>
        <v>#DIV/0!</v>
      </c>
      <c r="DF18" s="157" t="e">
        <f t="shared" ref="DF18" si="201">AVERAGE(BT18:BT22)*$CL18</f>
        <v>#DIV/0!</v>
      </c>
      <c r="DG18" s="158" t="e">
        <f t="shared" ref="DG18" si="202">AVERAGE(BU18:BU22)*$CL18</f>
        <v>#DIV/0!</v>
      </c>
      <c r="DH18" s="158" t="e">
        <f t="shared" ref="DH18" si="203">AVERAGE(BV18:BV22)*$CL18</f>
        <v>#DIV/0!</v>
      </c>
      <c r="DI18" s="158" t="e">
        <f t="shared" ref="DI18" si="204">AVERAGE(BW18:BW22)*$CL18</f>
        <v>#DIV/0!</v>
      </c>
      <c r="DJ18" s="159" t="e">
        <f t="shared" ref="DJ18" si="205">AVERAGE(BX18:BX22)*$CL18</f>
        <v>#DIV/0!</v>
      </c>
      <c r="DK18" s="157" t="e">
        <f t="shared" ref="DK18" si="206">AVERAGE(BY18:BY22)*$CL18</f>
        <v>#DIV/0!</v>
      </c>
      <c r="DL18" s="158" t="e">
        <f t="shared" ref="DL18" si="207">AVERAGE(BZ18:BZ22)*$CL18</f>
        <v>#DIV/0!</v>
      </c>
      <c r="DM18" s="158" t="e">
        <f t="shared" ref="DM18" si="208">AVERAGE(CA18:CA22)*$CL18</f>
        <v>#DIV/0!</v>
      </c>
      <c r="DN18" s="158" t="e">
        <f t="shared" ref="DN18" si="209">AVERAGE(CB18:CB22)*$CL18</f>
        <v>#DIV/0!</v>
      </c>
      <c r="DO18" s="158" t="e">
        <f t="shared" ref="DO18" si="210">AVERAGE(CC18:CC22)*$CL18</f>
        <v>#DIV/0!</v>
      </c>
      <c r="DP18" s="158" t="e">
        <f t="shared" ref="DP18" si="211">AVERAGE(CD18:CD22)*$CL18</f>
        <v>#DIV/0!</v>
      </c>
      <c r="DQ18" s="158" t="e">
        <f t="shared" ref="DQ18" si="212">AVERAGE(CE18:CE22)*$CL18</f>
        <v>#DIV/0!</v>
      </c>
      <c r="DR18" s="158" t="e">
        <f t="shared" ref="DR18" si="213">AVERAGE(CF18:CF22)*$CL18</f>
        <v>#DIV/0!</v>
      </c>
      <c r="DS18" s="158" t="e">
        <f t="shared" ref="DS18" si="214">AVERAGE(CG18:CG22)*$CL18</f>
        <v>#DIV/0!</v>
      </c>
      <c r="DT18" s="158" t="e">
        <f t="shared" ref="DT18" si="215">AVERAGE(CH18:CH22)*$CL18</f>
        <v>#DIV/0!</v>
      </c>
      <c r="DU18" s="158" t="e">
        <f t="shared" ref="DU18" si="216">AVERAGE(CI18:CI22)*$CL18</f>
        <v>#DIV/0!</v>
      </c>
      <c r="DV18" s="159" t="e">
        <f t="shared" ref="DV18" si="217">AVERAGE(CJ18:CJ22)*$CL18</f>
        <v>#DIV/0!</v>
      </c>
      <c r="DX18" s="186" t="e">
        <f t="shared" ref="DX18:DX24" si="218">P18/$E18</f>
        <v>#DIV/0!</v>
      </c>
      <c r="DY18" s="187" t="e">
        <f t="shared" ref="DY18:DY24" si="219">Q18/$E18</f>
        <v>#DIV/0!</v>
      </c>
      <c r="DZ18" s="187" t="e">
        <f t="shared" ref="DZ18:DZ24" si="220">R18/$E18</f>
        <v>#DIV/0!</v>
      </c>
      <c r="EA18" s="187" t="e">
        <f t="shared" ref="EA18:EA24" si="221">S18/$E18</f>
        <v>#DIV/0!</v>
      </c>
      <c r="EB18" s="187" t="e">
        <f t="shared" ref="EB18:EB24" si="222">T18/$E18</f>
        <v>#DIV/0!</v>
      </c>
      <c r="EC18" s="187" t="e">
        <f t="shared" ref="EC18:EC24" si="223">U18/$E18</f>
        <v>#DIV/0!</v>
      </c>
      <c r="ED18" s="187" t="e">
        <f t="shared" ref="ED18:ED24" si="224">V18/$E18</f>
        <v>#DIV/0!</v>
      </c>
      <c r="EE18" s="188" t="e">
        <f t="shared" ref="EE18:EE24" si="225">W18/$E18</f>
        <v>#DIV/0!</v>
      </c>
      <c r="EF18" s="186" t="e">
        <f t="shared" ref="EF18:EF24" si="226">X18/$E18</f>
        <v>#DIV/0!</v>
      </c>
      <c r="EG18" s="187" t="e">
        <f t="shared" ref="EG18:EG24" si="227">Y18/$E18</f>
        <v>#DIV/0!</v>
      </c>
      <c r="EH18" s="187" t="e">
        <f t="shared" ref="EH18:EH24" si="228">Z18/$E18</f>
        <v>#DIV/0!</v>
      </c>
      <c r="EI18" s="188" t="e">
        <f t="shared" ref="EI18:EI24" si="229">AA18/$E18</f>
        <v>#DIV/0!</v>
      </c>
      <c r="EJ18" s="186" t="e">
        <f t="shared" ref="EJ18:EJ24" si="230">AB18/$E18</f>
        <v>#DIV/0!</v>
      </c>
      <c r="EK18" s="187" t="e">
        <f t="shared" ref="EK18:EK24" si="231">AC18/$E18</f>
        <v>#DIV/0!</v>
      </c>
      <c r="EL18" s="187" t="e">
        <f t="shared" ref="EL18:EL24" si="232">AD18/$E18</f>
        <v>#DIV/0!</v>
      </c>
      <c r="EM18" s="187" t="e">
        <f t="shared" ref="EM18:EM24" si="233">AE18/$E18</f>
        <v>#DIV/0!</v>
      </c>
      <c r="EN18" s="187" t="e">
        <f t="shared" ref="EN18:EN24" si="234">AF18/$E18</f>
        <v>#DIV/0!</v>
      </c>
      <c r="EO18" s="188" t="e">
        <f t="shared" ref="EO18:EO24" si="235">AG18/$E18</f>
        <v>#DIV/0!</v>
      </c>
      <c r="EP18" s="186" t="e">
        <f t="shared" ref="EP18:EP24" si="236">AH18/$E18</f>
        <v>#DIV/0!</v>
      </c>
      <c r="EQ18" s="187" t="e">
        <f t="shared" ref="EQ18:EQ24" si="237">AI18/$E18</f>
        <v>#DIV/0!</v>
      </c>
      <c r="ER18" s="187" t="e">
        <f t="shared" ref="ER18:ER24" si="238">AJ18/$E18</f>
        <v>#DIV/0!</v>
      </c>
      <c r="ES18" s="187" t="e">
        <f t="shared" ref="ES18:ES24" si="239">AK18/$E18</f>
        <v>#DIV/0!</v>
      </c>
      <c r="ET18" s="188" t="e">
        <f t="shared" ref="ET18:ET24" si="240">AL18/$E18</f>
        <v>#DIV/0!</v>
      </c>
      <c r="EU18" s="186" t="e">
        <f t="shared" ref="EU18:EU24" si="241">AM18/$E18</f>
        <v>#DIV/0!</v>
      </c>
      <c r="EV18" s="187" t="e">
        <f t="shared" ref="EV18:EV24" si="242">AN18/$E18</f>
        <v>#DIV/0!</v>
      </c>
      <c r="EW18" s="187" t="e">
        <f t="shared" ref="EW18:EW24" si="243">AO18/$E18</f>
        <v>#DIV/0!</v>
      </c>
      <c r="EX18" s="187" t="e">
        <f t="shared" ref="EX18:EX24" si="244">AP18/$E18</f>
        <v>#DIV/0!</v>
      </c>
      <c r="EY18" s="187" t="e">
        <f t="shared" ref="EY18:EY24" si="245">AQ18/$E18</f>
        <v>#DIV/0!</v>
      </c>
      <c r="EZ18" s="187" t="e">
        <f t="shared" ref="EZ18:EZ24" si="246">AR18/$E18</f>
        <v>#DIV/0!</v>
      </c>
      <c r="FA18" s="187" t="e">
        <f t="shared" ref="FA18:FA24" si="247">AS18/$E18</f>
        <v>#DIV/0!</v>
      </c>
      <c r="FB18" s="187" t="e">
        <f t="shared" ref="FB18:FB24" si="248">AT18/$E18</f>
        <v>#DIV/0!</v>
      </c>
      <c r="FC18" s="187" t="e">
        <f t="shared" ref="FC18:FC24" si="249">AU18/$E18</f>
        <v>#DIV/0!</v>
      </c>
      <c r="FD18" s="187" t="e">
        <f t="shared" ref="FD18:FD24" si="250">AV18/$E18</f>
        <v>#DIV/0!</v>
      </c>
      <c r="FE18" s="187" t="e">
        <f t="shared" ref="FE18:FE24" si="251">AY18/$E18</f>
        <v>#DIV/0!</v>
      </c>
      <c r="FF18" s="188" t="e">
        <f t="shared" ref="FF18:FF24" si="252">AZ18/$E18</f>
        <v>#DIV/0!</v>
      </c>
    </row>
    <row r="19" spans="2:162" x14ac:dyDescent="0.25">
      <c r="B19" s="127">
        <f t="shared" ref="B19:B24" si="253">B18+1</f>
        <v>45510</v>
      </c>
      <c r="C19" s="266"/>
      <c r="D19" s="53"/>
      <c r="E19" s="129"/>
      <c r="F19" s="25"/>
      <c r="G19" s="25"/>
      <c r="H19" s="150"/>
      <c r="I19" s="24"/>
      <c r="J19" s="151"/>
      <c r="K19" s="151"/>
      <c r="L19" s="152"/>
      <c r="M19" s="152" t="e">
        <f t="shared" si="147"/>
        <v>#DIV/0!</v>
      </c>
      <c r="N19" s="153" t="e">
        <f t="shared" si="148"/>
        <v>#DIV/0!</v>
      </c>
      <c r="O19" s="25"/>
      <c r="P19" s="95"/>
      <c r="Q19" s="41"/>
      <c r="R19" s="41"/>
      <c r="S19" s="41"/>
      <c r="T19" s="41"/>
      <c r="U19" s="41"/>
      <c r="V19" s="41"/>
      <c r="W19" s="42"/>
      <c r="X19" s="95"/>
      <c r="Y19" s="41"/>
      <c r="Z19" s="41"/>
      <c r="AA19" s="42"/>
      <c r="AB19" s="95"/>
      <c r="AC19" s="41"/>
      <c r="AD19" s="41"/>
      <c r="AE19" s="41"/>
      <c r="AF19" s="41"/>
      <c r="AG19" s="42"/>
      <c r="AH19" s="95"/>
      <c r="AI19" s="41"/>
      <c r="AJ19" s="41"/>
      <c r="AK19" s="41"/>
      <c r="AL19" s="42"/>
      <c r="AM19" s="95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2"/>
      <c r="BB19" s="95" t="e">
        <f t="shared" si="149"/>
        <v>#DIV/0!</v>
      </c>
      <c r="BC19" s="41" t="e">
        <f t="shared" si="150"/>
        <v>#DIV/0!</v>
      </c>
      <c r="BD19" s="41" t="e">
        <f t="shared" si="151"/>
        <v>#DIV/0!</v>
      </c>
      <c r="BE19" s="41" t="e">
        <f t="shared" si="152"/>
        <v>#DIV/0!</v>
      </c>
      <c r="BF19" s="41" t="e">
        <f t="shared" si="153"/>
        <v>#DIV/0!</v>
      </c>
      <c r="BG19" s="41" t="e">
        <f t="shared" si="154"/>
        <v>#DIV/0!</v>
      </c>
      <c r="BH19" s="41" t="e">
        <f t="shared" si="155"/>
        <v>#DIV/0!</v>
      </c>
      <c r="BI19" s="42" t="e">
        <f t="shared" si="156"/>
        <v>#DIV/0!</v>
      </c>
      <c r="BJ19" s="95" t="e">
        <f t="shared" si="157"/>
        <v>#DIV/0!</v>
      </c>
      <c r="BK19" s="41" t="e">
        <f t="shared" si="158"/>
        <v>#DIV/0!</v>
      </c>
      <c r="BL19" s="41" t="e">
        <f t="shared" si="159"/>
        <v>#DIV/0!</v>
      </c>
      <c r="BM19" s="42" t="e">
        <f t="shared" si="160"/>
        <v>#DIV/0!</v>
      </c>
      <c r="BN19" s="95" t="e">
        <f t="shared" si="161"/>
        <v>#DIV/0!</v>
      </c>
      <c r="BO19" s="41" t="e">
        <f t="shared" si="162"/>
        <v>#DIV/0!</v>
      </c>
      <c r="BP19" s="41" t="e">
        <f t="shared" si="163"/>
        <v>#DIV/0!</v>
      </c>
      <c r="BQ19" s="41" t="e">
        <f t="shared" si="164"/>
        <v>#DIV/0!</v>
      </c>
      <c r="BR19" s="41" t="e">
        <f t="shared" si="165"/>
        <v>#DIV/0!</v>
      </c>
      <c r="BS19" s="42" t="e">
        <f t="shared" si="166"/>
        <v>#DIV/0!</v>
      </c>
      <c r="BT19" s="95" t="e">
        <f t="shared" si="167"/>
        <v>#DIV/0!</v>
      </c>
      <c r="BU19" s="41" t="e">
        <f t="shared" si="168"/>
        <v>#DIV/0!</v>
      </c>
      <c r="BV19" s="41" t="e">
        <f t="shared" si="169"/>
        <v>#DIV/0!</v>
      </c>
      <c r="BW19" s="41" t="e">
        <f t="shared" si="170"/>
        <v>#DIV/0!</v>
      </c>
      <c r="BX19" s="42" t="e">
        <f t="shared" si="171"/>
        <v>#DIV/0!</v>
      </c>
      <c r="BY19" s="95" t="e">
        <f t="shared" si="172"/>
        <v>#DIV/0!</v>
      </c>
      <c r="BZ19" s="41" t="e">
        <f t="shared" si="173"/>
        <v>#DIV/0!</v>
      </c>
      <c r="CA19" s="41" t="e">
        <f t="shared" si="174"/>
        <v>#DIV/0!</v>
      </c>
      <c r="CB19" s="41" t="e">
        <f t="shared" si="175"/>
        <v>#DIV/0!</v>
      </c>
      <c r="CC19" s="41" t="e">
        <f t="shared" si="176"/>
        <v>#DIV/0!</v>
      </c>
      <c r="CD19" s="41" t="e">
        <f t="shared" si="177"/>
        <v>#DIV/0!</v>
      </c>
      <c r="CE19" s="41" t="e">
        <f t="shared" si="178"/>
        <v>#DIV/0!</v>
      </c>
      <c r="CF19" s="41" t="e">
        <f t="shared" si="179"/>
        <v>#DIV/0!</v>
      </c>
      <c r="CG19" s="41" t="e">
        <f t="shared" si="180"/>
        <v>#DIV/0!</v>
      </c>
      <c r="CH19" s="41" t="e">
        <f t="shared" si="181"/>
        <v>#DIV/0!</v>
      </c>
      <c r="CI19" s="41" t="e">
        <f t="shared" si="182"/>
        <v>#DIV/0!</v>
      </c>
      <c r="CJ19" s="42" t="e">
        <f t="shared" si="183"/>
        <v>#DIV/0!</v>
      </c>
      <c r="CL19" s="36"/>
      <c r="CN19" s="95"/>
      <c r="CO19" s="41"/>
      <c r="CP19" s="41"/>
      <c r="CQ19" s="41"/>
      <c r="CR19" s="41"/>
      <c r="CS19" s="41"/>
      <c r="CT19" s="41"/>
      <c r="CU19" s="42"/>
      <c r="CV19" s="95"/>
      <c r="CW19" s="41"/>
      <c r="CX19" s="41"/>
      <c r="CY19" s="42"/>
      <c r="CZ19" s="95"/>
      <c r="DA19" s="41"/>
      <c r="DB19" s="41"/>
      <c r="DC19" s="41"/>
      <c r="DD19" s="41"/>
      <c r="DE19" s="42"/>
      <c r="DF19" s="95"/>
      <c r="DG19" s="41"/>
      <c r="DH19" s="41"/>
      <c r="DI19" s="41"/>
      <c r="DJ19" s="42"/>
      <c r="DK19" s="95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2"/>
      <c r="DX19" s="138" t="e">
        <f t="shared" si="218"/>
        <v>#DIV/0!</v>
      </c>
      <c r="DY19" s="34" t="e">
        <f t="shared" si="219"/>
        <v>#DIV/0!</v>
      </c>
      <c r="DZ19" s="34" t="e">
        <f t="shared" si="220"/>
        <v>#DIV/0!</v>
      </c>
      <c r="EA19" s="34" t="e">
        <f t="shared" si="221"/>
        <v>#DIV/0!</v>
      </c>
      <c r="EB19" s="34" t="e">
        <f t="shared" si="222"/>
        <v>#DIV/0!</v>
      </c>
      <c r="EC19" s="34" t="e">
        <f t="shared" si="223"/>
        <v>#DIV/0!</v>
      </c>
      <c r="ED19" s="34" t="e">
        <f t="shared" si="224"/>
        <v>#DIV/0!</v>
      </c>
      <c r="EE19" s="139" t="e">
        <f t="shared" si="225"/>
        <v>#DIV/0!</v>
      </c>
      <c r="EF19" s="138" t="e">
        <f t="shared" si="226"/>
        <v>#DIV/0!</v>
      </c>
      <c r="EG19" s="34" t="e">
        <f t="shared" si="227"/>
        <v>#DIV/0!</v>
      </c>
      <c r="EH19" s="34" t="e">
        <f t="shared" si="228"/>
        <v>#DIV/0!</v>
      </c>
      <c r="EI19" s="139" t="e">
        <f t="shared" si="229"/>
        <v>#DIV/0!</v>
      </c>
      <c r="EJ19" s="138" t="e">
        <f t="shared" si="230"/>
        <v>#DIV/0!</v>
      </c>
      <c r="EK19" s="34" t="e">
        <f t="shared" si="231"/>
        <v>#DIV/0!</v>
      </c>
      <c r="EL19" s="34" t="e">
        <f t="shared" si="232"/>
        <v>#DIV/0!</v>
      </c>
      <c r="EM19" s="34" t="e">
        <f t="shared" si="233"/>
        <v>#DIV/0!</v>
      </c>
      <c r="EN19" s="34" t="e">
        <f t="shared" si="234"/>
        <v>#DIV/0!</v>
      </c>
      <c r="EO19" s="139" t="e">
        <f t="shared" si="235"/>
        <v>#DIV/0!</v>
      </c>
      <c r="EP19" s="138" t="e">
        <f t="shared" si="236"/>
        <v>#DIV/0!</v>
      </c>
      <c r="EQ19" s="34" t="e">
        <f t="shared" si="237"/>
        <v>#DIV/0!</v>
      </c>
      <c r="ER19" s="34" t="e">
        <f t="shared" si="238"/>
        <v>#DIV/0!</v>
      </c>
      <c r="ES19" s="34" t="e">
        <f t="shared" si="239"/>
        <v>#DIV/0!</v>
      </c>
      <c r="ET19" s="139" t="e">
        <f t="shared" si="240"/>
        <v>#DIV/0!</v>
      </c>
      <c r="EU19" s="138" t="e">
        <f t="shared" si="241"/>
        <v>#DIV/0!</v>
      </c>
      <c r="EV19" s="34" t="e">
        <f t="shared" si="242"/>
        <v>#DIV/0!</v>
      </c>
      <c r="EW19" s="34" t="e">
        <f t="shared" si="243"/>
        <v>#DIV/0!</v>
      </c>
      <c r="EX19" s="34" t="e">
        <f t="shared" si="244"/>
        <v>#DIV/0!</v>
      </c>
      <c r="EY19" s="34" t="e">
        <f t="shared" si="245"/>
        <v>#DIV/0!</v>
      </c>
      <c r="EZ19" s="34" t="e">
        <f t="shared" si="246"/>
        <v>#DIV/0!</v>
      </c>
      <c r="FA19" s="34" t="e">
        <f t="shared" si="247"/>
        <v>#DIV/0!</v>
      </c>
      <c r="FB19" s="34" t="e">
        <f t="shared" si="248"/>
        <v>#DIV/0!</v>
      </c>
      <c r="FC19" s="34" t="e">
        <f t="shared" si="249"/>
        <v>#DIV/0!</v>
      </c>
      <c r="FD19" s="34" t="e">
        <f t="shared" si="250"/>
        <v>#DIV/0!</v>
      </c>
      <c r="FE19" s="34" t="e">
        <f t="shared" si="251"/>
        <v>#DIV/0!</v>
      </c>
      <c r="FF19" s="139" t="e">
        <f t="shared" si="252"/>
        <v>#DIV/0!</v>
      </c>
    </row>
    <row r="20" spans="2:162" x14ac:dyDescent="0.25">
      <c r="B20" s="127">
        <f t="shared" si="253"/>
        <v>45511</v>
      </c>
      <c r="C20" s="266"/>
      <c r="D20" s="53"/>
      <c r="E20" s="129"/>
      <c r="F20" s="25"/>
      <c r="G20" s="25"/>
      <c r="H20" s="150"/>
      <c r="I20" s="24"/>
      <c r="J20" s="151"/>
      <c r="K20" s="151"/>
      <c r="L20" s="152"/>
      <c r="M20" s="152" t="e">
        <f t="shared" si="147"/>
        <v>#DIV/0!</v>
      </c>
      <c r="N20" s="153" t="e">
        <f t="shared" si="148"/>
        <v>#DIV/0!</v>
      </c>
      <c r="O20" s="25"/>
      <c r="P20" s="95"/>
      <c r="Q20" s="41"/>
      <c r="R20" s="41"/>
      <c r="S20" s="41"/>
      <c r="T20" s="41"/>
      <c r="U20" s="41"/>
      <c r="V20" s="41"/>
      <c r="W20" s="42"/>
      <c r="X20" s="95"/>
      <c r="Y20" s="41"/>
      <c r="Z20" s="41"/>
      <c r="AA20" s="42"/>
      <c r="AB20" s="95"/>
      <c r="AC20" s="41"/>
      <c r="AD20" s="41"/>
      <c r="AE20" s="41"/>
      <c r="AF20" s="41"/>
      <c r="AG20" s="42"/>
      <c r="AH20" s="95"/>
      <c r="AI20" s="41"/>
      <c r="AJ20" s="41"/>
      <c r="AK20" s="41"/>
      <c r="AL20" s="42"/>
      <c r="AM20" s="95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2"/>
      <c r="BB20" s="95" t="e">
        <f t="shared" si="149"/>
        <v>#DIV/0!</v>
      </c>
      <c r="BC20" s="41" t="e">
        <f t="shared" si="150"/>
        <v>#DIV/0!</v>
      </c>
      <c r="BD20" s="41" t="e">
        <f t="shared" si="151"/>
        <v>#DIV/0!</v>
      </c>
      <c r="BE20" s="41" t="e">
        <f t="shared" si="152"/>
        <v>#DIV/0!</v>
      </c>
      <c r="BF20" s="41" t="e">
        <f t="shared" si="153"/>
        <v>#DIV/0!</v>
      </c>
      <c r="BG20" s="41" t="e">
        <f t="shared" si="154"/>
        <v>#DIV/0!</v>
      </c>
      <c r="BH20" s="41" t="e">
        <f t="shared" si="155"/>
        <v>#DIV/0!</v>
      </c>
      <c r="BI20" s="42" t="e">
        <f t="shared" si="156"/>
        <v>#DIV/0!</v>
      </c>
      <c r="BJ20" s="95" t="e">
        <f t="shared" si="157"/>
        <v>#DIV/0!</v>
      </c>
      <c r="BK20" s="41" t="e">
        <f t="shared" si="158"/>
        <v>#DIV/0!</v>
      </c>
      <c r="BL20" s="41" t="e">
        <f t="shared" si="159"/>
        <v>#DIV/0!</v>
      </c>
      <c r="BM20" s="42" t="e">
        <f t="shared" si="160"/>
        <v>#DIV/0!</v>
      </c>
      <c r="BN20" s="95" t="e">
        <f t="shared" si="161"/>
        <v>#DIV/0!</v>
      </c>
      <c r="BO20" s="41" t="e">
        <f t="shared" si="162"/>
        <v>#DIV/0!</v>
      </c>
      <c r="BP20" s="41" t="e">
        <f t="shared" si="163"/>
        <v>#DIV/0!</v>
      </c>
      <c r="BQ20" s="41" t="e">
        <f t="shared" si="164"/>
        <v>#DIV/0!</v>
      </c>
      <c r="BR20" s="41" t="e">
        <f t="shared" si="165"/>
        <v>#DIV/0!</v>
      </c>
      <c r="BS20" s="42" t="e">
        <f t="shared" si="166"/>
        <v>#DIV/0!</v>
      </c>
      <c r="BT20" s="95" t="e">
        <f t="shared" si="167"/>
        <v>#DIV/0!</v>
      </c>
      <c r="BU20" s="41" t="e">
        <f t="shared" si="168"/>
        <v>#DIV/0!</v>
      </c>
      <c r="BV20" s="41" t="e">
        <f t="shared" si="169"/>
        <v>#DIV/0!</v>
      </c>
      <c r="BW20" s="41" t="e">
        <f t="shared" si="170"/>
        <v>#DIV/0!</v>
      </c>
      <c r="BX20" s="42" t="e">
        <f t="shared" si="171"/>
        <v>#DIV/0!</v>
      </c>
      <c r="BY20" s="95" t="e">
        <f t="shared" si="172"/>
        <v>#DIV/0!</v>
      </c>
      <c r="BZ20" s="41" t="e">
        <f t="shared" si="173"/>
        <v>#DIV/0!</v>
      </c>
      <c r="CA20" s="41" t="e">
        <f t="shared" si="174"/>
        <v>#DIV/0!</v>
      </c>
      <c r="CB20" s="41" t="e">
        <f t="shared" si="175"/>
        <v>#DIV/0!</v>
      </c>
      <c r="CC20" s="41" t="e">
        <f t="shared" si="176"/>
        <v>#DIV/0!</v>
      </c>
      <c r="CD20" s="41" t="e">
        <f t="shared" si="177"/>
        <v>#DIV/0!</v>
      </c>
      <c r="CE20" s="41" t="e">
        <f t="shared" si="178"/>
        <v>#DIV/0!</v>
      </c>
      <c r="CF20" s="41" t="e">
        <f t="shared" si="179"/>
        <v>#DIV/0!</v>
      </c>
      <c r="CG20" s="41" t="e">
        <f t="shared" si="180"/>
        <v>#DIV/0!</v>
      </c>
      <c r="CH20" s="41" t="e">
        <f t="shared" si="181"/>
        <v>#DIV/0!</v>
      </c>
      <c r="CI20" s="41" t="e">
        <f t="shared" si="182"/>
        <v>#DIV/0!</v>
      </c>
      <c r="CJ20" s="42" t="e">
        <f t="shared" si="183"/>
        <v>#DIV/0!</v>
      </c>
      <c r="CL20" s="36"/>
      <c r="CN20" s="95"/>
      <c r="CO20" s="41"/>
      <c r="CP20" s="41"/>
      <c r="CQ20" s="41"/>
      <c r="CR20" s="41"/>
      <c r="CS20" s="41"/>
      <c r="CT20" s="41"/>
      <c r="CU20" s="42"/>
      <c r="CV20" s="95"/>
      <c r="CW20" s="41"/>
      <c r="CX20" s="41"/>
      <c r="CY20" s="42"/>
      <c r="CZ20" s="95"/>
      <c r="DA20" s="41"/>
      <c r="DB20" s="41"/>
      <c r="DC20" s="41"/>
      <c r="DD20" s="41"/>
      <c r="DE20" s="42"/>
      <c r="DF20" s="95"/>
      <c r="DG20" s="41"/>
      <c r="DH20" s="41"/>
      <c r="DI20" s="41"/>
      <c r="DJ20" s="42"/>
      <c r="DK20" s="95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2"/>
      <c r="DX20" s="138" t="e">
        <f t="shared" si="218"/>
        <v>#DIV/0!</v>
      </c>
      <c r="DY20" s="34" t="e">
        <f t="shared" si="219"/>
        <v>#DIV/0!</v>
      </c>
      <c r="DZ20" s="34" t="e">
        <f t="shared" si="220"/>
        <v>#DIV/0!</v>
      </c>
      <c r="EA20" s="34" t="e">
        <f t="shared" si="221"/>
        <v>#DIV/0!</v>
      </c>
      <c r="EB20" s="34" t="e">
        <f t="shared" si="222"/>
        <v>#DIV/0!</v>
      </c>
      <c r="EC20" s="34" t="e">
        <f t="shared" si="223"/>
        <v>#DIV/0!</v>
      </c>
      <c r="ED20" s="34" t="e">
        <f t="shared" si="224"/>
        <v>#DIV/0!</v>
      </c>
      <c r="EE20" s="139" t="e">
        <f t="shared" si="225"/>
        <v>#DIV/0!</v>
      </c>
      <c r="EF20" s="138" t="e">
        <f t="shared" si="226"/>
        <v>#DIV/0!</v>
      </c>
      <c r="EG20" s="34" t="e">
        <f t="shared" si="227"/>
        <v>#DIV/0!</v>
      </c>
      <c r="EH20" s="34" t="e">
        <f t="shared" si="228"/>
        <v>#DIV/0!</v>
      </c>
      <c r="EI20" s="139" t="e">
        <f t="shared" si="229"/>
        <v>#DIV/0!</v>
      </c>
      <c r="EJ20" s="138" t="e">
        <f t="shared" si="230"/>
        <v>#DIV/0!</v>
      </c>
      <c r="EK20" s="34" t="e">
        <f t="shared" si="231"/>
        <v>#DIV/0!</v>
      </c>
      <c r="EL20" s="34" t="e">
        <f t="shared" si="232"/>
        <v>#DIV/0!</v>
      </c>
      <c r="EM20" s="34" t="e">
        <f t="shared" si="233"/>
        <v>#DIV/0!</v>
      </c>
      <c r="EN20" s="34" t="e">
        <f t="shared" si="234"/>
        <v>#DIV/0!</v>
      </c>
      <c r="EO20" s="139" t="e">
        <f t="shared" si="235"/>
        <v>#DIV/0!</v>
      </c>
      <c r="EP20" s="138" t="e">
        <f t="shared" si="236"/>
        <v>#DIV/0!</v>
      </c>
      <c r="EQ20" s="34" t="e">
        <f t="shared" si="237"/>
        <v>#DIV/0!</v>
      </c>
      <c r="ER20" s="34" t="e">
        <f t="shared" si="238"/>
        <v>#DIV/0!</v>
      </c>
      <c r="ES20" s="34" t="e">
        <f t="shared" si="239"/>
        <v>#DIV/0!</v>
      </c>
      <c r="ET20" s="139" t="e">
        <f t="shared" si="240"/>
        <v>#DIV/0!</v>
      </c>
      <c r="EU20" s="138" t="e">
        <f t="shared" si="241"/>
        <v>#DIV/0!</v>
      </c>
      <c r="EV20" s="34" t="e">
        <f t="shared" si="242"/>
        <v>#DIV/0!</v>
      </c>
      <c r="EW20" s="34" t="e">
        <f t="shared" si="243"/>
        <v>#DIV/0!</v>
      </c>
      <c r="EX20" s="34" t="e">
        <f t="shared" si="244"/>
        <v>#DIV/0!</v>
      </c>
      <c r="EY20" s="34" t="e">
        <f t="shared" si="245"/>
        <v>#DIV/0!</v>
      </c>
      <c r="EZ20" s="34" t="e">
        <f t="shared" si="246"/>
        <v>#DIV/0!</v>
      </c>
      <c r="FA20" s="34" t="e">
        <f t="shared" si="247"/>
        <v>#DIV/0!</v>
      </c>
      <c r="FB20" s="34" t="e">
        <f t="shared" si="248"/>
        <v>#DIV/0!</v>
      </c>
      <c r="FC20" s="34" t="e">
        <f t="shared" si="249"/>
        <v>#DIV/0!</v>
      </c>
      <c r="FD20" s="34" t="e">
        <f t="shared" si="250"/>
        <v>#DIV/0!</v>
      </c>
      <c r="FE20" s="34" t="e">
        <f t="shared" si="251"/>
        <v>#DIV/0!</v>
      </c>
      <c r="FF20" s="139" t="e">
        <f t="shared" si="252"/>
        <v>#DIV/0!</v>
      </c>
    </row>
    <row r="21" spans="2:162" x14ac:dyDescent="0.25">
      <c r="B21" s="127">
        <f t="shared" si="253"/>
        <v>45512</v>
      </c>
      <c r="C21" s="266"/>
      <c r="D21" s="53"/>
      <c r="E21" s="129"/>
      <c r="F21" s="25"/>
      <c r="G21" s="25"/>
      <c r="H21" s="150"/>
      <c r="I21" s="24"/>
      <c r="J21" s="151"/>
      <c r="K21" s="151"/>
      <c r="L21" s="152">
        <v>16.5</v>
      </c>
      <c r="M21" s="152" t="e">
        <f t="shared" si="147"/>
        <v>#DIV/0!</v>
      </c>
      <c r="N21" s="153" t="e">
        <f t="shared" si="148"/>
        <v>#DIV/0!</v>
      </c>
      <c r="O21" s="25"/>
      <c r="P21" s="95"/>
      <c r="Q21" s="41"/>
      <c r="R21" s="41"/>
      <c r="S21" s="41"/>
      <c r="T21" s="41"/>
      <c r="U21" s="41"/>
      <c r="V21" s="41"/>
      <c r="W21" s="42"/>
      <c r="X21" s="95"/>
      <c r="Y21" s="41"/>
      <c r="Z21" s="41"/>
      <c r="AA21" s="42"/>
      <c r="AB21" s="95"/>
      <c r="AC21" s="41"/>
      <c r="AD21" s="41"/>
      <c r="AE21" s="41"/>
      <c r="AF21" s="41"/>
      <c r="AG21" s="42"/>
      <c r="AH21" s="95"/>
      <c r="AI21" s="41"/>
      <c r="AJ21" s="41"/>
      <c r="AK21" s="41"/>
      <c r="AL21" s="42"/>
      <c r="AM21" s="95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2"/>
      <c r="BB21" s="95" t="e">
        <f t="shared" si="149"/>
        <v>#DIV/0!</v>
      </c>
      <c r="BC21" s="41" t="e">
        <f t="shared" si="150"/>
        <v>#DIV/0!</v>
      </c>
      <c r="BD21" s="41" t="e">
        <f t="shared" si="151"/>
        <v>#DIV/0!</v>
      </c>
      <c r="BE21" s="41" t="e">
        <f t="shared" si="152"/>
        <v>#DIV/0!</v>
      </c>
      <c r="BF21" s="41" t="e">
        <f t="shared" si="153"/>
        <v>#DIV/0!</v>
      </c>
      <c r="BG21" s="41" t="e">
        <f t="shared" si="154"/>
        <v>#DIV/0!</v>
      </c>
      <c r="BH21" s="41" t="e">
        <f t="shared" si="155"/>
        <v>#DIV/0!</v>
      </c>
      <c r="BI21" s="42" t="e">
        <f t="shared" si="156"/>
        <v>#DIV/0!</v>
      </c>
      <c r="BJ21" s="95" t="e">
        <f t="shared" si="157"/>
        <v>#DIV/0!</v>
      </c>
      <c r="BK21" s="41" t="e">
        <f t="shared" si="158"/>
        <v>#DIV/0!</v>
      </c>
      <c r="BL21" s="41" t="e">
        <f t="shared" si="159"/>
        <v>#DIV/0!</v>
      </c>
      <c r="BM21" s="42" t="e">
        <f t="shared" si="160"/>
        <v>#DIV/0!</v>
      </c>
      <c r="BN21" s="95" t="e">
        <f t="shared" si="161"/>
        <v>#DIV/0!</v>
      </c>
      <c r="BO21" s="41" t="e">
        <f t="shared" si="162"/>
        <v>#DIV/0!</v>
      </c>
      <c r="BP21" s="41" t="e">
        <f t="shared" si="163"/>
        <v>#DIV/0!</v>
      </c>
      <c r="BQ21" s="41" t="e">
        <f t="shared" si="164"/>
        <v>#DIV/0!</v>
      </c>
      <c r="BR21" s="41" t="e">
        <f t="shared" si="165"/>
        <v>#DIV/0!</v>
      </c>
      <c r="BS21" s="42" t="e">
        <f t="shared" si="166"/>
        <v>#DIV/0!</v>
      </c>
      <c r="BT21" s="95" t="e">
        <f t="shared" si="167"/>
        <v>#DIV/0!</v>
      </c>
      <c r="BU21" s="41" t="e">
        <f t="shared" si="168"/>
        <v>#DIV/0!</v>
      </c>
      <c r="BV21" s="41" t="e">
        <f t="shared" si="169"/>
        <v>#DIV/0!</v>
      </c>
      <c r="BW21" s="41" t="e">
        <f t="shared" si="170"/>
        <v>#DIV/0!</v>
      </c>
      <c r="BX21" s="42" t="e">
        <f t="shared" si="171"/>
        <v>#DIV/0!</v>
      </c>
      <c r="BY21" s="95" t="e">
        <f t="shared" si="172"/>
        <v>#DIV/0!</v>
      </c>
      <c r="BZ21" s="41" t="e">
        <f t="shared" si="173"/>
        <v>#DIV/0!</v>
      </c>
      <c r="CA21" s="41" t="e">
        <f t="shared" si="174"/>
        <v>#DIV/0!</v>
      </c>
      <c r="CB21" s="41" t="e">
        <f t="shared" si="175"/>
        <v>#DIV/0!</v>
      </c>
      <c r="CC21" s="41" t="e">
        <f t="shared" si="176"/>
        <v>#DIV/0!</v>
      </c>
      <c r="CD21" s="41" t="e">
        <f t="shared" si="177"/>
        <v>#DIV/0!</v>
      </c>
      <c r="CE21" s="41" t="e">
        <f t="shared" si="178"/>
        <v>#DIV/0!</v>
      </c>
      <c r="CF21" s="41" t="e">
        <f t="shared" si="179"/>
        <v>#DIV/0!</v>
      </c>
      <c r="CG21" s="41" t="e">
        <f t="shared" si="180"/>
        <v>#DIV/0!</v>
      </c>
      <c r="CH21" s="41" t="e">
        <f t="shared" si="181"/>
        <v>#DIV/0!</v>
      </c>
      <c r="CI21" s="41" t="e">
        <f t="shared" si="182"/>
        <v>#DIV/0!</v>
      </c>
      <c r="CJ21" s="42" t="e">
        <f t="shared" si="183"/>
        <v>#DIV/0!</v>
      </c>
      <c r="CL21" s="36"/>
      <c r="CN21" s="95"/>
      <c r="CO21" s="41"/>
      <c r="CP21" s="41"/>
      <c r="CQ21" s="41"/>
      <c r="CR21" s="41"/>
      <c r="CS21" s="41"/>
      <c r="CT21" s="41"/>
      <c r="CU21" s="42"/>
      <c r="CV21" s="95"/>
      <c r="CW21" s="41"/>
      <c r="CX21" s="41"/>
      <c r="CY21" s="42"/>
      <c r="CZ21" s="95"/>
      <c r="DA21" s="41"/>
      <c r="DB21" s="41"/>
      <c r="DC21" s="41"/>
      <c r="DD21" s="41"/>
      <c r="DE21" s="42"/>
      <c r="DF21" s="95"/>
      <c r="DG21" s="41"/>
      <c r="DH21" s="41"/>
      <c r="DI21" s="41"/>
      <c r="DJ21" s="42"/>
      <c r="DK21" s="95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2"/>
      <c r="DX21" s="138" t="e">
        <f t="shared" si="218"/>
        <v>#DIV/0!</v>
      </c>
      <c r="DY21" s="34" t="e">
        <f t="shared" si="219"/>
        <v>#DIV/0!</v>
      </c>
      <c r="DZ21" s="34" t="e">
        <f t="shared" si="220"/>
        <v>#DIV/0!</v>
      </c>
      <c r="EA21" s="34" t="e">
        <f t="shared" si="221"/>
        <v>#DIV/0!</v>
      </c>
      <c r="EB21" s="34" t="e">
        <f t="shared" si="222"/>
        <v>#DIV/0!</v>
      </c>
      <c r="EC21" s="34" t="e">
        <f t="shared" si="223"/>
        <v>#DIV/0!</v>
      </c>
      <c r="ED21" s="34" t="e">
        <f t="shared" si="224"/>
        <v>#DIV/0!</v>
      </c>
      <c r="EE21" s="139" t="e">
        <f t="shared" si="225"/>
        <v>#DIV/0!</v>
      </c>
      <c r="EF21" s="138" t="e">
        <f t="shared" si="226"/>
        <v>#DIV/0!</v>
      </c>
      <c r="EG21" s="34" t="e">
        <f t="shared" si="227"/>
        <v>#DIV/0!</v>
      </c>
      <c r="EH21" s="34" t="e">
        <f t="shared" si="228"/>
        <v>#DIV/0!</v>
      </c>
      <c r="EI21" s="139" t="e">
        <f t="shared" si="229"/>
        <v>#DIV/0!</v>
      </c>
      <c r="EJ21" s="138" t="e">
        <f t="shared" si="230"/>
        <v>#DIV/0!</v>
      </c>
      <c r="EK21" s="34" t="e">
        <f t="shared" si="231"/>
        <v>#DIV/0!</v>
      </c>
      <c r="EL21" s="34" t="e">
        <f t="shared" si="232"/>
        <v>#DIV/0!</v>
      </c>
      <c r="EM21" s="34" t="e">
        <f t="shared" si="233"/>
        <v>#DIV/0!</v>
      </c>
      <c r="EN21" s="34" t="e">
        <f t="shared" si="234"/>
        <v>#DIV/0!</v>
      </c>
      <c r="EO21" s="139" t="e">
        <f t="shared" si="235"/>
        <v>#DIV/0!</v>
      </c>
      <c r="EP21" s="138" t="e">
        <f t="shared" si="236"/>
        <v>#DIV/0!</v>
      </c>
      <c r="EQ21" s="34" t="e">
        <f t="shared" si="237"/>
        <v>#DIV/0!</v>
      </c>
      <c r="ER21" s="34" t="e">
        <f t="shared" si="238"/>
        <v>#DIV/0!</v>
      </c>
      <c r="ES21" s="34" t="e">
        <f t="shared" si="239"/>
        <v>#DIV/0!</v>
      </c>
      <c r="ET21" s="139" t="e">
        <f t="shared" si="240"/>
        <v>#DIV/0!</v>
      </c>
      <c r="EU21" s="138" t="e">
        <f t="shared" si="241"/>
        <v>#DIV/0!</v>
      </c>
      <c r="EV21" s="34" t="e">
        <f t="shared" si="242"/>
        <v>#DIV/0!</v>
      </c>
      <c r="EW21" s="34" t="e">
        <f t="shared" si="243"/>
        <v>#DIV/0!</v>
      </c>
      <c r="EX21" s="34" t="e">
        <f t="shared" si="244"/>
        <v>#DIV/0!</v>
      </c>
      <c r="EY21" s="34" t="e">
        <f t="shared" si="245"/>
        <v>#DIV/0!</v>
      </c>
      <c r="EZ21" s="34" t="e">
        <f t="shared" si="246"/>
        <v>#DIV/0!</v>
      </c>
      <c r="FA21" s="34" t="e">
        <f t="shared" si="247"/>
        <v>#DIV/0!</v>
      </c>
      <c r="FB21" s="34" t="e">
        <f t="shared" si="248"/>
        <v>#DIV/0!</v>
      </c>
      <c r="FC21" s="34" t="e">
        <f t="shared" si="249"/>
        <v>#DIV/0!</v>
      </c>
      <c r="FD21" s="34" t="e">
        <f t="shared" si="250"/>
        <v>#DIV/0!</v>
      </c>
      <c r="FE21" s="34" t="e">
        <f t="shared" si="251"/>
        <v>#DIV/0!</v>
      </c>
      <c r="FF21" s="139" t="e">
        <f t="shared" si="252"/>
        <v>#DIV/0!</v>
      </c>
    </row>
    <row r="22" spans="2:162" x14ac:dyDescent="0.25">
      <c r="B22" s="127">
        <f t="shared" si="253"/>
        <v>45513</v>
      </c>
      <c r="C22" s="266"/>
      <c r="D22" s="53"/>
      <c r="E22" s="129"/>
      <c r="F22" s="25"/>
      <c r="G22" s="25"/>
      <c r="H22" s="150"/>
      <c r="I22" s="24"/>
      <c r="J22" s="151"/>
      <c r="K22" s="151"/>
      <c r="L22" s="152"/>
      <c r="M22" s="152" t="e">
        <f t="shared" si="147"/>
        <v>#DIV/0!</v>
      </c>
      <c r="N22" s="153" t="e">
        <f t="shared" si="148"/>
        <v>#DIV/0!</v>
      </c>
      <c r="O22" s="25"/>
      <c r="P22" s="95"/>
      <c r="Q22" s="41"/>
      <c r="R22" s="41"/>
      <c r="S22" s="41"/>
      <c r="T22" s="41"/>
      <c r="U22" s="41"/>
      <c r="V22" s="41"/>
      <c r="W22" s="42"/>
      <c r="X22" s="95"/>
      <c r="Y22" s="41"/>
      <c r="Z22" s="41"/>
      <c r="AA22" s="42"/>
      <c r="AB22" s="95"/>
      <c r="AC22" s="41"/>
      <c r="AD22" s="41"/>
      <c r="AE22" s="41"/>
      <c r="AF22" s="41"/>
      <c r="AG22" s="42"/>
      <c r="AH22" s="95"/>
      <c r="AI22" s="41"/>
      <c r="AJ22" s="41"/>
      <c r="AK22" s="41"/>
      <c r="AL22" s="42"/>
      <c r="AM22" s="95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2"/>
      <c r="BB22" s="95" t="e">
        <f t="shared" si="149"/>
        <v>#DIV/0!</v>
      </c>
      <c r="BC22" s="41" t="e">
        <f t="shared" si="150"/>
        <v>#DIV/0!</v>
      </c>
      <c r="BD22" s="41" t="e">
        <f t="shared" si="151"/>
        <v>#DIV/0!</v>
      </c>
      <c r="BE22" s="41" t="e">
        <f t="shared" si="152"/>
        <v>#DIV/0!</v>
      </c>
      <c r="BF22" s="41" t="e">
        <f t="shared" si="153"/>
        <v>#DIV/0!</v>
      </c>
      <c r="BG22" s="41" t="e">
        <f t="shared" si="154"/>
        <v>#DIV/0!</v>
      </c>
      <c r="BH22" s="41" t="e">
        <f t="shared" si="155"/>
        <v>#DIV/0!</v>
      </c>
      <c r="BI22" s="42" t="e">
        <f t="shared" si="156"/>
        <v>#DIV/0!</v>
      </c>
      <c r="BJ22" s="95" t="e">
        <f t="shared" si="157"/>
        <v>#DIV/0!</v>
      </c>
      <c r="BK22" s="41" t="e">
        <f t="shared" si="158"/>
        <v>#DIV/0!</v>
      </c>
      <c r="BL22" s="41" t="e">
        <f t="shared" si="159"/>
        <v>#DIV/0!</v>
      </c>
      <c r="BM22" s="42" t="e">
        <f t="shared" si="160"/>
        <v>#DIV/0!</v>
      </c>
      <c r="BN22" s="95" t="e">
        <f t="shared" si="161"/>
        <v>#DIV/0!</v>
      </c>
      <c r="BO22" s="41" t="e">
        <f t="shared" si="162"/>
        <v>#DIV/0!</v>
      </c>
      <c r="BP22" s="41" t="e">
        <f t="shared" si="163"/>
        <v>#DIV/0!</v>
      </c>
      <c r="BQ22" s="41" t="e">
        <f t="shared" si="164"/>
        <v>#DIV/0!</v>
      </c>
      <c r="BR22" s="41" t="e">
        <f t="shared" si="165"/>
        <v>#DIV/0!</v>
      </c>
      <c r="BS22" s="42" t="e">
        <f t="shared" si="166"/>
        <v>#DIV/0!</v>
      </c>
      <c r="BT22" s="95" t="e">
        <f t="shared" si="167"/>
        <v>#DIV/0!</v>
      </c>
      <c r="BU22" s="41" t="e">
        <f t="shared" si="168"/>
        <v>#DIV/0!</v>
      </c>
      <c r="BV22" s="41" t="e">
        <f t="shared" si="169"/>
        <v>#DIV/0!</v>
      </c>
      <c r="BW22" s="41" t="e">
        <f t="shared" si="170"/>
        <v>#DIV/0!</v>
      </c>
      <c r="BX22" s="42" t="e">
        <f t="shared" si="171"/>
        <v>#DIV/0!</v>
      </c>
      <c r="BY22" s="95" t="e">
        <f t="shared" si="172"/>
        <v>#DIV/0!</v>
      </c>
      <c r="BZ22" s="41" t="e">
        <f t="shared" si="173"/>
        <v>#DIV/0!</v>
      </c>
      <c r="CA22" s="41" t="e">
        <f t="shared" si="174"/>
        <v>#DIV/0!</v>
      </c>
      <c r="CB22" s="41" t="e">
        <f t="shared" si="175"/>
        <v>#DIV/0!</v>
      </c>
      <c r="CC22" s="41" t="e">
        <f t="shared" si="176"/>
        <v>#DIV/0!</v>
      </c>
      <c r="CD22" s="41" t="e">
        <f t="shared" si="177"/>
        <v>#DIV/0!</v>
      </c>
      <c r="CE22" s="41" t="e">
        <f t="shared" si="178"/>
        <v>#DIV/0!</v>
      </c>
      <c r="CF22" s="41" t="e">
        <f t="shared" si="179"/>
        <v>#DIV/0!</v>
      </c>
      <c r="CG22" s="41" t="e">
        <f t="shared" si="180"/>
        <v>#DIV/0!</v>
      </c>
      <c r="CH22" s="41" t="e">
        <f t="shared" si="181"/>
        <v>#DIV/0!</v>
      </c>
      <c r="CI22" s="41" t="e">
        <f t="shared" si="182"/>
        <v>#DIV/0!</v>
      </c>
      <c r="CJ22" s="42" t="e">
        <f t="shared" si="183"/>
        <v>#DIV/0!</v>
      </c>
      <c r="CL22" s="36"/>
      <c r="CN22" s="95"/>
      <c r="CO22" s="41"/>
      <c r="CP22" s="41"/>
      <c r="CQ22" s="41"/>
      <c r="CR22" s="41"/>
      <c r="CS22" s="41"/>
      <c r="CT22" s="41"/>
      <c r="CU22" s="42"/>
      <c r="CV22" s="95"/>
      <c r="CW22" s="41"/>
      <c r="CX22" s="41"/>
      <c r="CY22" s="42"/>
      <c r="CZ22" s="95"/>
      <c r="DA22" s="41"/>
      <c r="DB22" s="41"/>
      <c r="DC22" s="41"/>
      <c r="DD22" s="41"/>
      <c r="DE22" s="42"/>
      <c r="DF22" s="95"/>
      <c r="DG22" s="41"/>
      <c r="DH22" s="41"/>
      <c r="DI22" s="41"/>
      <c r="DJ22" s="42"/>
      <c r="DK22" s="95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2"/>
      <c r="DX22" s="138" t="e">
        <f t="shared" si="218"/>
        <v>#DIV/0!</v>
      </c>
      <c r="DY22" s="34" t="e">
        <f t="shared" si="219"/>
        <v>#DIV/0!</v>
      </c>
      <c r="DZ22" s="34" t="e">
        <f t="shared" si="220"/>
        <v>#DIV/0!</v>
      </c>
      <c r="EA22" s="34" t="e">
        <f t="shared" si="221"/>
        <v>#DIV/0!</v>
      </c>
      <c r="EB22" s="34" t="e">
        <f t="shared" si="222"/>
        <v>#DIV/0!</v>
      </c>
      <c r="EC22" s="34" t="e">
        <f t="shared" si="223"/>
        <v>#DIV/0!</v>
      </c>
      <c r="ED22" s="34" t="e">
        <f t="shared" si="224"/>
        <v>#DIV/0!</v>
      </c>
      <c r="EE22" s="139" t="e">
        <f t="shared" si="225"/>
        <v>#DIV/0!</v>
      </c>
      <c r="EF22" s="138" t="e">
        <f t="shared" si="226"/>
        <v>#DIV/0!</v>
      </c>
      <c r="EG22" s="34" t="e">
        <f t="shared" si="227"/>
        <v>#DIV/0!</v>
      </c>
      <c r="EH22" s="34" t="e">
        <f t="shared" si="228"/>
        <v>#DIV/0!</v>
      </c>
      <c r="EI22" s="139" t="e">
        <f t="shared" si="229"/>
        <v>#DIV/0!</v>
      </c>
      <c r="EJ22" s="138" t="e">
        <f t="shared" si="230"/>
        <v>#DIV/0!</v>
      </c>
      <c r="EK22" s="34" t="e">
        <f t="shared" si="231"/>
        <v>#DIV/0!</v>
      </c>
      <c r="EL22" s="34" t="e">
        <f t="shared" si="232"/>
        <v>#DIV/0!</v>
      </c>
      <c r="EM22" s="34" t="e">
        <f t="shared" si="233"/>
        <v>#DIV/0!</v>
      </c>
      <c r="EN22" s="34" t="e">
        <f t="shared" si="234"/>
        <v>#DIV/0!</v>
      </c>
      <c r="EO22" s="139" t="e">
        <f t="shared" si="235"/>
        <v>#DIV/0!</v>
      </c>
      <c r="EP22" s="138" t="e">
        <f t="shared" si="236"/>
        <v>#DIV/0!</v>
      </c>
      <c r="EQ22" s="34" t="e">
        <f t="shared" si="237"/>
        <v>#DIV/0!</v>
      </c>
      <c r="ER22" s="34" t="e">
        <f t="shared" si="238"/>
        <v>#DIV/0!</v>
      </c>
      <c r="ES22" s="34" t="e">
        <f t="shared" si="239"/>
        <v>#DIV/0!</v>
      </c>
      <c r="ET22" s="139" t="e">
        <f t="shared" si="240"/>
        <v>#DIV/0!</v>
      </c>
      <c r="EU22" s="138" t="e">
        <f t="shared" si="241"/>
        <v>#DIV/0!</v>
      </c>
      <c r="EV22" s="34" t="e">
        <f t="shared" si="242"/>
        <v>#DIV/0!</v>
      </c>
      <c r="EW22" s="34" t="e">
        <f t="shared" si="243"/>
        <v>#DIV/0!</v>
      </c>
      <c r="EX22" s="34" t="e">
        <f t="shared" si="244"/>
        <v>#DIV/0!</v>
      </c>
      <c r="EY22" s="34" t="e">
        <f t="shared" si="245"/>
        <v>#DIV/0!</v>
      </c>
      <c r="EZ22" s="34" t="e">
        <f t="shared" si="246"/>
        <v>#DIV/0!</v>
      </c>
      <c r="FA22" s="34" t="e">
        <f t="shared" si="247"/>
        <v>#DIV/0!</v>
      </c>
      <c r="FB22" s="34" t="e">
        <f t="shared" si="248"/>
        <v>#DIV/0!</v>
      </c>
      <c r="FC22" s="34" t="e">
        <f t="shared" si="249"/>
        <v>#DIV/0!</v>
      </c>
      <c r="FD22" s="34" t="e">
        <f t="shared" si="250"/>
        <v>#DIV/0!</v>
      </c>
      <c r="FE22" s="34" t="e">
        <f t="shared" si="251"/>
        <v>#DIV/0!</v>
      </c>
      <c r="FF22" s="139" t="e">
        <f t="shared" si="252"/>
        <v>#DIV/0!</v>
      </c>
    </row>
    <row r="23" spans="2:162" x14ac:dyDescent="0.25">
      <c r="B23" s="127">
        <f t="shared" si="253"/>
        <v>45514</v>
      </c>
      <c r="C23" s="266"/>
      <c r="D23" s="53"/>
      <c r="E23" s="129"/>
      <c r="F23" s="25"/>
      <c r="G23" s="25"/>
      <c r="H23" s="150"/>
      <c r="I23" s="24"/>
      <c r="J23" s="151"/>
      <c r="K23" s="151"/>
      <c r="L23" s="152">
        <v>16.399999999999999</v>
      </c>
      <c r="M23" s="152" t="e">
        <f t="shared" si="147"/>
        <v>#DIV/0!</v>
      </c>
      <c r="N23" s="153" t="e">
        <f t="shared" si="148"/>
        <v>#DIV/0!</v>
      </c>
      <c r="O23" s="25"/>
      <c r="P23" s="95"/>
      <c r="Q23" s="41"/>
      <c r="R23" s="41"/>
      <c r="S23" s="41"/>
      <c r="T23" s="41"/>
      <c r="U23" s="41"/>
      <c r="V23" s="41"/>
      <c r="W23" s="42"/>
      <c r="X23" s="95"/>
      <c r="Y23" s="41"/>
      <c r="Z23" s="41"/>
      <c r="AA23" s="42"/>
      <c r="AB23" s="95"/>
      <c r="AC23" s="41"/>
      <c r="AD23" s="41"/>
      <c r="AE23" s="41"/>
      <c r="AF23" s="41"/>
      <c r="AG23" s="42"/>
      <c r="AH23" s="95"/>
      <c r="AI23" s="41"/>
      <c r="AJ23" s="41"/>
      <c r="AK23" s="41"/>
      <c r="AL23" s="42"/>
      <c r="AM23" s="95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2"/>
      <c r="BB23" s="95" t="e">
        <f t="shared" si="149"/>
        <v>#DIV/0!</v>
      </c>
      <c r="BC23" s="41" t="e">
        <f t="shared" si="150"/>
        <v>#DIV/0!</v>
      </c>
      <c r="BD23" s="41" t="e">
        <f t="shared" si="151"/>
        <v>#DIV/0!</v>
      </c>
      <c r="BE23" s="41" t="e">
        <f t="shared" si="152"/>
        <v>#DIV/0!</v>
      </c>
      <c r="BF23" s="41" t="e">
        <f t="shared" si="153"/>
        <v>#DIV/0!</v>
      </c>
      <c r="BG23" s="41" t="e">
        <f t="shared" si="154"/>
        <v>#DIV/0!</v>
      </c>
      <c r="BH23" s="41" t="e">
        <f t="shared" si="155"/>
        <v>#DIV/0!</v>
      </c>
      <c r="BI23" s="42" t="e">
        <f t="shared" si="156"/>
        <v>#DIV/0!</v>
      </c>
      <c r="BJ23" s="95" t="e">
        <f t="shared" si="157"/>
        <v>#DIV/0!</v>
      </c>
      <c r="BK23" s="41" t="e">
        <f t="shared" si="158"/>
        <v>#DIV/0!</v>
      </c>
      <c r="BL23" s="41" t="e">
        <f t="shared" si="159"/>
        <v>#DIV/0!</v>
      </c>
      <c r="BM23" s="42" t="e">
        <f t="shared" si="160"/>
        <v>#DIV/0!</v>
      </c>
      <c r="BN23" s="95" t="e">
        <f t="shared" si="161"/>
        <v>#DIV/0!</v>
      </c>
      <c r="BO23" s="41" t="e">
        <f t="shared" si="162"/>
        <v>#DIV/0!</v>
      </c>
      <c r="BP23" s="41" t="e">
        <f t="shared" si="163"/>
        <v>#DIV/0!</v>
      </c>
      <c r="BQ23" s="41" t="e">
        <f t="shared" si="164"/>
        <v>#DIV/0!</v>
      </c>
      <c r="BR23" s="41" t="e">
        <f t="shared" si="165"/>
        <v>#DIV/0!</v>
      </c>
      <c r="BS23" s="42" t="e">
        <f t="shared" si="166"/>
        <v>#DIV/0!</v>
      </c>
      <c r="BT23" s="95" t="e">
        <f t="shared" si="167"/>
        <v>#DIV/0!</v>
      </c>
      <c r="BU23" s="41" t="e">
        <f t="shared" si="168"/>
        <v>#DIV/0!</v>
      </c>
      <c r="BV23" s="41" t="e">
        <f t="shared" si="169"/>
        <v>#DIV/0!</v>
      </c>
      <c r="BW23" s="41" t="e">
        <f t="shared" si="170"/>
        <v>#DIV/0!</v>
      </c>
      <c r="BX23" s="42" t="e">
        <f t="shared" si="171"/>
        <v>#DIV/0!</v>
      </c>
      <c r="BY23" s="95" t="e">
        <f t="shared" si="172"/>
        <v>#DIV/0!</v>
      </c>
      <c r="BZ23" s="41" t="e">
        <f t="shared" si="173"/>
        <v>#DIV/0!</v>
      </c>
      <c r="CA23" s="41" t="e">
        <f t="shared" si="174"/>
        <v>#DIV/0!</v>
      </c>
      <c r="CB23" s="41" t="e">
        <f t="shared" si="175"/>
        <v>#DIV/0!</v>
      </c>
      <c r="CC23" s="41" t="e">
        <f t="shared" si="176"/>
        <v>#DIV/0!</v>
      </c>
      <c r="CD23" s="41" t="e">
        <f t="shared" si="177"/>
        <v>#DIV/0!</v>
      </c>
      <c r="CE23" s="41" t="e">
        <f t="shared" si="178"/>
        <v>#DIV/0!</v>
      </c>
      <c r="CF23" s="41" t="e">
        <f t="shared" si="179"/>
        <v>#DIV/0!</v>
      </c>
      <c r="CG23" s="41" t="e">
        <f t="shared" si="180"/>
        <v>#DIV/0!</v>
      </c>
      <c r="CH23" s="41" t="e">
        <f t="shared" si="181"/>
        <v>#DIV/0!</v>
      </c>
      <c r="CI23" s="41" t="e">
        <f t="shared" si="182"/>
        <v>#DIV/0!</v>
      </c>
      <c r="CJ23" s="42" t="e">
        <f t="shared" si="183"/>
        <v>#DIV/0!</v>
      </c>
      <c r="CL23" s="36">
        <v>2</v>
      </c>
      <c r="CN23" s="95" t="e">
        <f t="shared" ref="CN23" si="254">AVERAGE(BB23:BB24)*$CL23</f>
        <v>#DIV/0!</v>
      </c>
      <c r="CO23" s="41" t="e">
        <f t="shared" ref="CO23" si="255">AVERAGE(BC23:BC24)*$CL23</f>
        <v>#DIV/0!</v>
      </c>
      <c r="CP23" s="41" t="e">
        <f t="shared" ref="CP23" si="256">AVERAGE(BD23:BD24)*$CL23</f>
        <v>#DIV/0!</v>
      </c>
      <c r="CQ23" s="41" t="e">
        <f t="shared" ref="CQ23" si="257">AVERAGE(BE23:BE24)*$CL23</f>
        <v>#DIV/0!</v>
      </c>
      <c r="CR23" s="41" t="e">
        <f t="shared" ref="CR23" si="258">AVERAGE(BF23:BF24)*$CL23</f>
        <v>#DIV/0!</v>
      </c>
      <c r="CS23" s="41" t="e">
        <f t="shared" ref="CS23" si="259">AVERAGE(BG23:BG24)*$CL23</f>
        <v>#DIV/0!</v>
      </c>
      <c r="CT23" s="41" t="e">
        <f t="shared" ref="CT23" si="260">AVERAGE(BH23:BH24)*$CL23</f>
        <v>#DIV/0!</v>
      </c>
      <c r="CU23" s="42" t="e">
        <f t="shared" ref="CU23" si="261">AVERAGE(BI23:BI24)*$CL23</f>
        <v>#DIV/0!</v>
      </c>
      <c r="CV23" s="95" t="e">
        <f t="shared" ref="CV23" si="262">AVERAGE(BJ23:BJ24)*$CL23</f>
        <v>#DIV/0!</v>
      </c>
      <c r="CW23" s="41" t="e">
        <f t="shared" ref="CW23" si="263">AVERAGE(BK23:BK24)*$CL23</f>
        <v>#DIV/0!</v>
      </c>
      <c r="CX23" s="41" t="e">
        <f t="shared" ref="CX23" si="264">AVERAGE(BL23:BL24)*$CL23</f>
        <v>#DIV/0!</v>
      </c>
      <c r="CY23" s="42" t="e">
        <f t="shared" ref="CY23" si="265">AVERAGE(BM23:BM24)*$CL23</f>
        <v>#DIV/0!</v>
      </c>
      <c r="CZ23" s="95" t="e">
        <f t="shared" ref="CZ23" si="266">AVERAGE(BN23:BN24)*$CL23</f>
        <v>#DIV/0!</v>
      </c>
      <c r="DA23" s="41" t="e">
        <f t="shared" ref="DA23" si="267">AVERAGE(BO23:BO24)*$CL23</f>
        <v>#DIV/0!</v>
      </c>
      <c r="DB23" s="41" t="e">
        <f t="shared" ref="DB23" si="268">AVERAGE(BP23:BP24)*$CL23</f>
        <v>#DIV/0!</v>
      </c>
      <c r="DC23" s="41" t="e">
        <f t="shared" ref="DC23" si="269">AVERAGE(BQ23:BQ24)*$CL23</f>
        <v>#DIV/0!</v>
      </c>
      <c r="DD23" s="41" t="e">
        <f t="shared" ref="DD23" si="270">AVERAGE(BR23:BR24)*$CL23</f>
        <v>#DIV/0!</v>
      </c>
      <c r="DE23" s="42" t="e">
        <f t="shared" ref="DE23" si="271">AVERAGE(BS23:BS24)*$CL23</f>
        <v>#DIV/0!</v>
      </c>
      <c r="DF23" s="95" t="e">
        <f t="shared" ref="DF23" si="272">AVERAGE(BT23:BT24)*$CL23</f>
        <v>#DIV/0!</v>
      </c>
      <c r="DG23" s="41" t="e">
        <f t="shared" ref="DG23" si="273">AVERAGE(BU23:BU24)*$CL23</f>
        <v>#DIV/0!</v>
      </c>
      <c r="DH23" s="41" t="e">
        <f t="shared" ref="DH23" si="274">AVERAGE(BV23:BV24)*$CL23</f>
        <v>#DIV/0!</v>
      </c>
      <c r="DI23" s="41" t="e">
        <f t="shared" ref="DI23" si="275">AVERAGE(BW23:BW24)*$CL23</f>
        <v>#DIV/0!</v>
      </c>
      <c r="DJ23" s="42" t="e">
        <f t="shared" ref="DJ23" si="276">AVERAGE(BX23:BX24)*$CL23</f>
        <v>#DIV/0!</v>
      </c>
      <c r="DK23" s="95" t="e">
        <f t="shared" ref="DK23" si="277">AVERAGE(BY23:BY24)*$CL23</f>
        <v>#DIV/0!</v>
      </c>
      <c r="DL23" s="41" t="e">
        <f t="shared" ref="DL23" si="278">AVERAGE(BZ23:BZ24)*$CL23</f>
        <v>#DIV/0!</v>
      </c>
      <c r="DM23" s="41" t="e">
        <f t="shared" ref="DM23" si="279">AVERAGE(CA23:CA24)*$CL23</f>
        <v>#DIV/0!</v>
      </c>
      <c r="DN23" s="41" t="e">
        <f t="shared" ref="DN23" si="280">AVERAGE(CB23:CB24)*$CL23</f>
        <v>#DIV/0!</v>
      </c>
      <c r="DO23" s="41" t="e">
        <f t="shared" ref="DO23" si="281">AVERAGE(CC23:CC24)*$CL23</f>
        <v>#DIV/0!</v>
      </c>
      <c r="DP23" s="41" t="e">
        <f t="shared" ref="DP23" si="282">AVERAGE(CD23:CD24)*$CL23</f>
        <v>#DIV/0!</v>
      </c>
      <c r="DQ23" s="41" t="e">
        <f t="shared" ref="DQ23" si="283">AVERAGE(CE23:CE24)*$CL23</f>
        <v>#DIV/0!</v>
      </c>
      <c r="DR23" s="41" t="e">
        <f t="shared" ref="DR23" si="284">AVERAGE(CF23:CF24)*$CL23</f>
        <v>#DIV/0!</v>
      </c>
      <c r="DS23" s="41" t="e">
        <f t="shared" ref="DS23" si="285">AVERAGE(CG23:CG24)*$CL23</f>
        <v>#DIV/0!</v>
      </c>
      <c r="DT23" s="41" t="e">
        <f t="shared" ref="DT23" si="286">AVERAGE(CH23:CH24)*$CL23</f>
        <v>#DIV/0!</v>
      </c>
      <c r="DU23" s="41" t="e">
        <f t="shared" ref="DU23" si="287">AVERAGE(CI23:CI24)*$CL23</f>
        <v>#DIV/0!</v>
      </c>
      <c r="DV23" s="42" t="e">
        <f t="shared" ref="DV23" si="288">AVERAGE(CJ23:CJ24)*$CL23</f>
        <v>#DIV/0!</v>
      </c>
      <c r="DX23" s="138" t="e">
        <f t="shared" si="218"/>
        <v>#DIV/0!</v>
      </c>
      <c r="DY23" s="34" t="e">
        <f t="shared" si="219"/>
        <v>#DIV/0!</v>
      </c>
      <c r="DZ23" s="34" t="e">
        <f t="shared" si="220"/>
        <v>#DIV/0!</v>
      </c>
      <c r="EA23" s="34" t="e">
        <f t="shared" si="221"/>
        <v>#DIV/0!</v>
      </c>
      <c r="EB23" s="34" t="e">
        <f t="shared" si="222"/>
        <v>#DIV/0!</v>
      </c>
      <c r="EC23" s="34" t="e">
        <f t="shared" si="223"/>
        <v>#DIV/0!</v>
      </c>
      <c r="ED23" s="34" t="e">
        <f t="shared" si="224"/>
        <v>#DIV/0!</v>
      </c>
      <c r="EE23" s="139" t="e">
        <f t="shared" si="225"/>
        <v>#DIV/0!</v>
      </c>
      <c r="EF23" s="138" t="e">
        <f t="shared" si="226"/>
        <v>#DIV/0!</v>
      </c>
      <c r="EG23" s="34" t="e">
        <f t="shared" si="227"/>
        <v>#DIV/0!</v>
      </c>
      <c r="EH23" s="34" t="e">
        <f t="shared" si="228"/>
        <v>#DIV/0!</v>
      </c>
      <c r="EI23" s="139" t="e">
        <f t="shared" si="229"/>
        <v>#DIV/0!</v>
      </c>
      <c r="EJ23" s="138" t="e">
        <f t="shared" si="230"/>
        <v>#DIV/0!</v>
      </c>
      <c r="EK23" s="34" t="e">
        <f t="shared" si="231"/>
        <v>#DIV/0!</v>
      </c>
      <c r="EL23" s="34" t="e">
        <f t="shared" si="232"/>
        <v>#DIV/0!</v>
      </c>
      <c r="EM23" s="34" t="e">
        <f t="shared" si="233"/>
        <v>#DIV/0!</v>
      </c>
      <c r="EN23" s="34" t="e">
        <f t="shared" si="234"/>
        <v>#DIV/0!</v>
      </c>
      <c r="EO23" s="139" t="e">
        <f t="shared" si="235"/>
        <v>#DIV/0!</v>
      </c>
      <c r="EP23" s="138" t="e">
        <f t="shared" si="236"/>
        <v>#DIV/0!</v>
      </c>
      <c r="EQ23" s="34" t="e">
        <f t="shared" si="237"/>
        <v>#DIV/0!</v>
      </c>
      <c r="ER23" s="34" t="e">
        <f t="shared" si="238"/>
        <v>#DIV/0!</v>
      </c>
      <c r="ES23" s="34" t="e">
        <f t="shared" si="239"/>
        <v>#DIV/0!</v>
      </c>
      <c r="ET23" s="139" t="e">
        <f t="shared" si="240"/>
        <v>#DIV/0!</v>
      </c>
      <c r="EU23" s="138" t="e">
        <f t="shared" si="241"/>
        <v>#DIV/0!</v>
      </c>
      <c r="EV23" s="34" t="e">
        <f t="shared" si="242"/>
        <v>#DIV/0!</v>
      </c>
      <c r="EW23" s="34" t="e">
        <f t="shared" si="243"/>
        <v>#DIV/0!</v>
      </c>
      <c r="EX23" s="34" t="e">
        <f t="shared" si="244"/>
        <v>#DIV/0!</v>
      </c>
      <c r="EY23" s="34" t="e">
        <f t="shared" si="245"/>
        <v>#DIV/0!</v>
      </c>
      <c r="EZ23" s="34" t="e">
        <f t="shared" si="246"/>
        <v>#DIV/0!</v>
      </c>
      <c r="FA23" s="34" t="e">
        <f t="shared" si="247"/>
        <v>#DIV/0!</v>
      </c>
      <c r="FB23" s="34" t="e">
        <f t="shared" si="248"/>
        <v>#DIV/0!</v>
      </c>
      <c r="FC23" s="34" t="e">
        <f t="shared" si="249"/>
        <v>#DIV/0!</v>
      </c>
      <c r="FD23" s="34" t="e">
        <f t="shared" si="250"/>
        <v>#DIV/0!</v>
      </c>
      <c r="FE23" s="34" t="e">
        <f t="shared" si="251"/>
        <v>#DIV/0!</v>
      </c>
      <c r="FF23" s="139" t="e">
        <f t="shared" si="252"/>
        <v>#DIV/0!</v>
      </c>
    </row>
    <row r="24" spans="2:162" ht="16.5" thickBot="1" x14ac:dyDescent="0.3">
      <c r="B24" s="127">
        <f t="shared" si="253"/>
        <v>45515</v>
      </c>
      <c r="C24" s="267"/>
      <c r="D24" s="100"/>
      <c r="E24" s="131"/>
      <c r="F24" s="25"/>
      <c r="G24" s="25"/>
      <c r="H24" s="171"/>
      <c r="I24" s="172"/>
      <c r="J24" s="173"/>
      <c r="K24" s="173"/>
      <c r="L24" s="174">
        <v>16.399999999999999</v>
      </c>
      <c r="M24" s="174" t="e">
        <f t="shared" si="147"/>
        <v>#DIV/0!</v>
      </c>
      <c r="N24" s="175" t="e">
        <f t="shared" si="148"/>
        <v>#DIV/0!</v>
      </c>
      <c r="O24" s="25"/>
      <c r="P24" s="96"/>
      <c r="Q24" s="76"/>
      <c r="R24" s="76"/>
      <c r="S24" s="76"/>
      <c r="T24" s="76"/>
      <c r="U24" s="76"/>
      <c r="V24" s="76"/>
      <c r="W24" s="77"/>
      <c r="X24" s="96"/>
      <c r="Y24" s="76"/>
      <c r="Z24" s="76"/>
      <c r="AA24" s="77"/>
      <c r="AB24" s="96"/>
      <c r="AC24" s="76"/>
      <c r="AD24" s="76"/>
      <c r="AE24" s="76"/>
      <c r="AF24" s="76"/>
      <c r="AG24" s="77"/>
      <c r="AH24" s="96"/>
      <c r="AI24" s="76"/>
      <c r="AJ24" s="76"/>
      <c r="AK24" s="76"/>
      <c r="AL24" s="77"/>
      <c r="AM24" s="9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7"/>
      <c r="BB24" s="96" t="e">
        <f t="shared" si="149"/>
        <v>#DIV/0!</v>
      </c>
      <c r="BC24" s="76" t="e">
        <f t="shared" si="150"/>
        <v>#DIV/0!</v>
      </c>
      <c r="BD24" s="76" t="e">
        <f t="shared" si="151"/>
        <v>#DIV/0!</v>
      </c>
      <c r="BE24" s="76" t="e">
        <f t="shared" si="152"/>
        <v>#DIV/0!</v>
      </c>
      <c r="BF24" s="76" t="e">
        <f t="shared" si="153"/>
        <v>#DIV/0!</v>
      </c>
      <c r="BG24" s="76" t="e">
        <f t="shared" si="154"/>
        <v>#DIV/0!</v>
      </c>
      <c r="BH24" s="76" t="e">
        <f t="shared" si="155"/>
        <v>#DIV/0!</v>
      </c>
      <c r="BI24" s="77" t="e">
        <f t="shared" si="156"/>
        <v>#DIV/0!</v>
      </c>
      <c r="BJ24" s="96" t="e">
        <f t="shared" si="157"/>
        <v>#DIV/0!</v>
      </c>
      <c r="BK24" s="76" t="e">
        <f t="shared" si="158"/>
        <v>#DIV/0!</v>
      </c>
      <c r="BL24" s="76" t="e">
        <f t="shared" si="159"/>
        <v>#DIV/0!</v>
      </c>
      <c r="BM24" s="77" t="e">
        <f t="shared" si="160"/>
        <v>#DIV/0!</v>
      </c>
      <c r="BN24" s="96" t="e">
        <f t="shared" si="161"/>
        <v>#DIV/0!</v>
      </c>
      <c r="BO24" s="76" t="e">
        <f t="shared" si="162"/>
        <v>#DIV/0!</v>
      </c>
      <c r="BP24" s="76" t="e">
        <f t="shared" si="163"/>
        <v>#DIV/0!</v>
      </c>
      <c r="BQ24" s="76" t="e">
        <f t="shared" si="164"/>
        <v>#DIV/0!</v>
      </c>
      <c r="BR24" s="76" t="e">
        <f t="shared" si="165"/>
        <v>#DIV/0!</v>
      </c>
      <c r="BS24" s="77" t="e">
        <f t="shared" si="166"/>
        <v>#DIV/0!</v>
      </c>
      <c r="BT24" s="96" t="e">
        <f t="shared" si="167"/>
        <v>#DIV/0!</v>
      </c>
      <c r="BU24" s="76" t="e">
        <f t="shared" si="168"/>
        <v>#DIV/0!</v>
      </c>
      <c r="BV24" s="76" t="e">
        <f t="shared" si="169"/>
        <v>#DIV/0!</v>
      </c>
      <c r="BW24" s="76" t="e">
        <f t="shared" si="170"/>
        <v>#DIV/0!</v>
      </c>
      <c r="BX24" s="77" t="e">
        <f t="shared" si="171"/>
        <v>#DIV/0!</v>
      </c>
      <c r="BY24" s="96" t="e">
        <f t="shared" si="172"/>
        <v>#DIV/0!</v>
      </c>
      <c r="BZ24" s="76" t="e">
        <f t="shared" si="173"/>
        <v>#DIV/0!</v>
      </c>
      <c r="CA24" s="76" t="e">
        <f t="shared" si="174"/>
        <v>#DIV/0!</v>
      </c>
      <c r="CB24" s="76" t="e">
        <f t="shared" si="175"/>
        <v>#DIV/0!</v>
      </c>
      <c r="CC24" s="76" t="e">
        <f t="shared" si="176"/>
        <v>#DIV/0!</v>
      </c>
      <c r="CD24" s="76" t="e">
        <f t="shared" si="177"/>
        <v>#DIV/0!</v>
      </c>
      <c r="CE24" s="76" t="e">
        <f t="shared" si="178"/>
        <v>#DIV/0!</v>
      </c>
      <c r="CF24" s="76" t="e">
        <f t="shared" si="179"/>
        <v>#DIV/0!</v>
      </c>
      <c r="CG24" s="76" t="e">
        <f t="shared" si="180"/>
        <v>#DIV/0!</v>
      </c>
      <c r="CH24" s="76" t="e">
        <f t="shared" si="181"/>
        <v>#DIV/0!</v>
      </c>
      <c r="CI24" s="76" t="e">
        <f t="shared" si="182"/>
        <v>#DIV/0!</v>
      </c>
      <c r="CJ24" s="77" t="e">
        <f t="shared" si="183"/>
        <v>#DIV/0!</v>
      </c>
      <c r="CN24" s="96"/>
      <c r="CO24" s="76"/>
      <c r="CP24" s="76"/>
      <c r="CQ24" s="76"/>
      <c r="CR24" s="76"/>
      <c r="CS24" s="76"/>
      <c r="CT24" s="76"/>
      <c r="CU24" s="77"/>
      <c r="CV24" s="96"/>
      <c r="CW24" s="76"/>
      <c r="CX24" s="76"/>
      <c r="CY24" s="77"/>
      <c r="CZ24" s="96"/>
      <c r="DA24" s="76"/>
      <c r="DB24" s="76"/>
      <c r="DC24" s="76"/>
      <c r="DD24" s="76"/>
      <c r="DE24" s="77"/>
      <c r="DF24" s="96"/>
      <c r="DG24" s="76"/>
      <c r="DH24" s="76"/>
      <c r="DI24" s="76"/>
      <c r="DJ24" s="77"/>
      <c r="DK24" s="96"/>
      <c r="DL24" s="76"/>
      <c r="DM24" s="76"/>
      <c r="DN24" s="76"/>
      <c r="DO24" s="76"/>
      <c r="DP24" s="76"/>
      <c r="DQ24" s="76"/>
      <c r="DR24" s="76"/>
      <c r="DS24" s="76"/>
      <c r="DT24" s="76"/>
      <c r="DU24" s="76"/>
      <c r="DV24" s="77"/>
      <c r="DX24" s="140" t="e">
        <f t="shared" si="218"/>
        <v>#DIV/0!</v>
      </c>
      <c r="DY24" s="141" t="e">
        <f t="shared" si="219"/>
        <v>#DIV/0!</v>
      </c>
      <c r="DZ24" s="141" t="e">
        <f t="shared" si="220"/>
        <v>#DIV/0!</v>
      </c>
      <c r="EA24" s="141" t="e">
        <f t="shared" si="221"/>
        <v>#DIV/0!</v>
      </c>
      <c r="EB24" s="141" t="e">
        <f t="shared" si="222"/>
        <v>#DIV/0!</v>
      </c>
      <c r="EC24" s="141" t="e">
        <f t="shared" si="223"/>
        <v>#DIV/0!</v>
      </c>
      <c r="ED24" s="141" t="e">
        <f t="shared" si="224"/>
        <v>#DIV/0!</v>
      </c>
      <c r="EE24" s="142" t="e">
        <f t="shared" si="225"/>
        <v>#DIV/0!</v>
      </c>
      <c r="EF24" s="140" t="e">
        <f t="shared" si="226"/>
        <v>#DIV/0!</v>
      </c>
      <c r="EG24" s="141" t="e">
        <f t="shared" si="227"/>
        <v>#DIV/0!</v>
      </c>
      <c r="EH24" s="141" t="e">
        <f t="shared" si="228"/>
        <v>#DIV/0!</v>
      </c>
      <c r="EI24" s="142" t="e">
        <f t="shared" si="229"/>
        <v>#DIV/0!</v>
      </c>
      <c r="EJ24" s="140" t="e">
        <f t="shared" si="230"/>
        <v>#DIV/0!</v>
      </c>
      <c r="EK24" s="141" t="e">
        <f t="shared" si="231"/>
        <v>#DIV/0!</v>
      </c>
      <c r="EL24" s="141" t="e">
        <f t="shared" si="232"/>
        <v>#DIV/0!</v>
      </c>
      <c r="EM24" s="141" t="e">
        <f t="shared" si="233"/>
        <v>#DIV/0!</v>
      </c>
      <c r="EN24" s="141" t="e">
        <f t="shared" si="234"/>
        <v>#DIV/0!</v>
      </c>
      <c r="EO24" s="142" t="e">
        <f t="shared" si="235"/>
        <v>#DIV/0!</v>
      </c>
      <c r="EP24" s="140" t="e">
        <f t="shared" si="236"/>
        <v>#DIV/0!</v>
      </c>
      <c r="EQ24" s="141" t="e">
        <f t="shared" si="237"/>
        <v>#DIV/0!</v>
      </c>
      <c r="ER24" s="141" t="e">
        <f t="shared" si="238"/>
        <v>#DIV/0!</v>
      </c>
      <c r="ES24" s="141" t="e">
        <f t="shared" si="239"/>
        <v>#DIV/0!</v>
      </c>
      <c r="ET24" s="142" t="e">
        <f t="shared" si="240"/>
        <v>#DIV/0!</v>
      </c>
      <c r="EU24" s="140" t="e">
        <f t="shared" si="241"/>
        <v>#DIV/0!</v>
      </c>
      <c r="EV24" s="141" t="e">
        <f t="shared" si="242"/>
        <v>#DIV/0!</v>
      </c>
      <c r="EW24" s="141" t="e">
        <f t="shared" si="243"/>
        <v>#DIV/0!</v>
      </c>
      <c r="EX24" s="141" t="e">
        <f t="shared" si="244"/>
        <v>#DIV/0!</v>
      </c>
      <c r="EY24" s="141" t="e">
        <f t="shared" si="245"/>
        <v>#DIV/0!</v>
      </c>
      <c r="EZ24" s="141" t="e">
        <f t="shared" si="246"/>
        <v>#DIV/0!</v>
      </c>
      <c r="FA24" s="141" t="e">
        <f t="shared" si="247"/>
        <v>#DIV/0!</v>
      </c>
      <c r="FB24" s="141" t="e">
        <f t="shared" si="248"/>
        <v>#DIV/0!</v>
      </c>
      <c r="FC24" s="141" t="e">
        <f t="shared" si="249"/>
        <v>#DIV/0!</v>
      </c>
      <c r="FD24" s="141" t="e">
        <f t="shared" si="250"/>
        <v>#DIV/0!</v>
      </c>
      <c r="FE24" s="141" t="e">
        <f t="shared" si="251"/>
        <v>#DIV/0!</v>
      </c>
      <c r="FF24" s="142" t="e">
        <f t="shared" si="252"/>
        <v>#DIV/0!</v>
      </c>
    </row>
    <row r="25" spans="2:162" ht="17.25" thickTop="1" thickBot="1" x14ac:dyDescent="0.3">
      <c r="B25" s="178"/>
      <c r="C25" s="268"/>
      <c r="D25" s="101">
        <f t="shared" ref="D25:E25" si="289">SUM(D18:D24)</f>
        <v>0</v>
      </c>
      <c r="E25" s="134">
        <f t="shared" si="289"/>
        <v>0</v>
      </c>
      <c r="F25" s="146"/>
      <c r="G25" s="146"/>
      <c r="H25" s="43"/>
      <c r="I25" s="39"/>
      <c r="J25" s="39"/>
      <c r="K25" s="39"/>
      <c r="L25" s="44"/>
      <c r="M25" s="185"/>
      <c r="N25" s="170" t="e">
        <f>AVERAGE(N18:N22)*5+AVERAGE(N23:N24)*2</f>
        <v>#DIV/0!</v>
      </c>
      <c r="O25" s="146"/>
      <c r="P25" s="68">
        <f t="shared" ref="P25:AZ25" si="290">SUM(P18:P24)</f>
        <v>0</v>
      </c>
      <c r="Q25" s="65">
        <f t="shared" si="290"/>
        <v>0</v>
      </c>
      <c r="R25" s="65">
        <f t="shared" si="290"/>
        <v>0</v>
      </c>
      <c r="S25" s="65">
        <f t="shared" si="290"/>
        <v>0</v>
      </c>
      <c r="T25" s="65">
        <f t="shared" si="290"/>
        <v>0</v>
      </c>
      <c r="U25" s="65">
        <f t="shared" si="290"/>
        <v>0</v>
      </c>
      <c r="V25" s="65">
        <f t="shared" si="290"/>
        <v>0</v>
      </c>
      <c r="W25" s="66">
        <f t="shared" si="290"/>
        <v>0</v>
      </c>
      <c r="X25" s="68">
        <f t="shared" si="290"/>
        <v>0</v>
      </c>
      <c r="Y25" s="65">
        <f t="shared" si="290"/>
        <v>0</v>
      </c>
      <c r="Z25" s="65">
        <f t="shared" si="290"/>
        <v>0</v>
      </c>
      <c r="AA25" s="66">
        <f t="shared" si="290"/>
        <v>0</v>
      </c>
      <c r="AB25" s="68">
        <f t="shared" si="290"/>
        <v>0</v>
      </c>
      <c r="AC25" s="65">
        <f t="shared" si="290"/>
        <v>0</v>
      </c>
      <c r="AD25" s="65">
        <f t="shared" si="290"/>
        <v>0</v>
      </c>
      <c r="AE25" s="65">
        <f t="shared" si="290"/>
        <v>0</v>
      </c>
      <c r="AF25" s="65">
        <f t="shared" si="290"/>
        <v>0</v>
      </c>
      <c r="AG25" s="66">
        <f t="shared" si="290"/>
        <v>0</v>
      </c>
      <c r="AH25" s="68">
        <f t="shared" si="290"/>
        <v>0</v>
      </c>
      <c r="AI25" s="65">
        <f t="shared" si="290"/>
        <v>0</v>
      </c>
      <c r="AJ25" s="65">
        <f t="shared" si="290"/>
        <v>0</v>
      </c>
      <c r="AK25" s="65">
        <f t="shared" si="290"/>
        <v>0</v>
      </c>
      <c r="AL25" s="66">
        <f t="shared" si="290"/>
        <v>0</v>
      </c>
      <c r="AM25" s="68">
        <f t="shared" si="290"/>
        <v>0</v>
      </c>
      <c r="AN25" s="65">
        <f t="shared" si="290"/>
        <v>0</v>
      </c>
      <c r="AO25" s="65">
        <f t="shared" si="290"/>
        <v>0</v>
      </c>
      <c r="AP25" s="65">
        <f t="shared" si="290"/>
        <v>0</v>
      </c>
      <c r="AQ25" s="65">
        <f t="shared" si="290"/>
        <v>0</v>
      </c>
      <c r="AR25" s="65">
        <f t="shared" si="290"/>
        <v>0</v>
      </c>
      <c r="AS25" s="65">
        <f t="shared" si="290"/>
        <v>0</v>
      </c>
      <c r="AT25" s="65">
        <f t="shared" si="290"/>
        <v>0</v>
      </c>
      <c r="AU25" s="65">
        <f t="shared" si="290"/>
        <v>0</v>
      </c>
      <c r="AV25" s="65">
        <f t="shared" si="290"/>
        <v>0</v>
      </c>
      <c r="AW25" s="65">
        <f t="shared" si="290"/>
        <v>0</v>
      </c>
      <c r="AX25" s="65">
        <f t="shared" si="290"/>
        <v>0</v>
      </c>
      <c r="AY25" s="65">
        <f t="shared" si="290"/>
        <v>0</v>
      </c>
      <c r="AZ25" s="66">
        <f t="shared" si="290"/>
        <v>0</v>
      </c>
      <c r="BB25" s="68" t="e">
        <f t="shared" ref="BB25:CJ25" si="291">SUM(BB18:BB24)</f>
        <v>#DIV/0!</v>
      </c>
      <c r="BC25" s="65" t="e">
        <f t="shared" si="291"/>
        <v>#DIV/0!</v>
      </c>
      <c r="BD25" s="65" t="e">
        <f t="shared" si="291"/>
        <v>#DIV/0!</v>
      </c>
      <c r="BE25" s="65" t="e">
        <f t="shared" si="291"/>
        <v>#DIV/0!</v>
      </c>
      <c r="BF25" s="65" t="e">
        <f t="shared" si="291"/>
        <v>#DIV/0!</v>
      </c>
      <c r="BG25" s="65" t="e">
        <f t="shared" si="291"/>
        <v>#DIV/0!</v>
      </c>
      <c r="BH25" s="65" t="e">
        <f t="shared" si="291"/>
        <v>#DIV/0!</v>
      </c>
      <c r="BI25" s="66" t="e">
        <f t="shared" si="291"/>
        <v>#DIV/0!</v>
      </c>
      <c r="BJ25" s="68" t="e">
        <f t="shared" si="291"/>
        <v>#DIV/0!</v>
      </c>
      <c r="BK25" s="65" t="e">
        <f t="shared" si="291"/>
        <v>#DIV/0!</v>
      </c>
      <c r="BL25" s="65" t="e">
        <f t="shared" si="291"/>
        <v>#DIV/0!</v>
      </c>
      <c r="BM25" s="66" t="e">
        <f t="shared" si="291"/>
        <v>#DIV/0!</v>
      </c>
      <c r="BN25" s="68" t="e">
        <f t="shared" si="291"/>
        <v>#DIV/0!</v>
      </c>
      <c r="BO25" s="65" t="e">
        <f t="shared" si="291"/>
        <v>#DIV/0!</v>
      </c>
      <c r="BP25" s="65" t="e">
        <f t="shared" si="291"/>
        <v>#DIV/0!</v>
      </c>
      <c r="BQ25" s="65" t="e">
        <f t="shared" si="291"/>
        <v>#DIV/0!</v>
      </c>
      <c r="BR25" s="65" t="e">
        <f t="shared" si="291"/>
        <v>#DIV/0!</v>
      </c>
      <c r="BS25" s="66" t="e">
        <f t="shared" si="291"/>
        <v>#DIV/0!</v>
      </c>
      <c r="BT25" s="68" t="e">
        <f t="shared" si="291"/>
        <v>#DIV/0!</v>
      </c>
      <c r="BU25" s="65" t="e">
        <f t="shared" si="291"/>
        <v>#DIV/0!</v>
      </c>
      <c r="BV25" s="65" t="e">
        <f t="shared" si="291"/>
        <v>#DIV/0!</v>
      </c>
      <c r="BW25" s="65" t="e">
        <f t="shared" si="291"/>
        <v>#DIV/0!</v>
      </c>
      <c r="BX25" s="66" t="e">
        <f t="shared" si="291"/>
        <v>#DIV/0!</v>
      </c>
      <c r="BY25" s="68" t="e">
        <f t="shared" si="291"/>
        <v>#DIV/0!</v>
      </c>
      <c r="BZ25" s="65" t="e">
        <f t="shared" si="291"/>
        <v>#DIV/0!</v>
      </c>
      <c r="CA25" s="65" t="e">
        <f t="shared" si="291"/>
        <v>#DIV/0!</v>
      </c>
      <c r="CB25" s="65" t="e">
        <f t="shared" si="291"/>
        <v>#DIV/0!</v>
      </c>
      <c r="CC25" s="65" t="e">
        <f t="shared" si="291"/>
        <v>#DIV/0!</v>
      </c>
      <c r="CD25" s="65" t="e">
        <f t="shared" si="291"/>
        <v>#DIV/0!</v>
      </c>
      <c r="CE25" s="65" t="e">
        <f t="shared" si="291"/>
        <v>#DIV/0!</v>
      </c>
      <c r="CF25" s="65" t="e">
        <f t="shared" si="291"/>
        <v>#DIV/0!</v>
      </c>
      <c r="CG25" s="65" t="e">
        <f t="shared" si="291"/>
        <v>#DIV/0!</v>
      </c>
      <c r="CH25" s="65" t="e">
        <f t="shared" si="291"/>
        <v>#DIV/0!</v>
      </c>
      <c r="CI25" s="65" t="e">
        <f t="shared" si="291"/>
        <v>#DIV/0!</v>
      </c>
      <c r="CJ25" s="66" t="e">
        <f t="shared" si="291"/>
        <v>#DIV/0!</v>
      </c>
      <c r="CN25" s="68" t="e">
        <f t="shared" ref="CN25:DV25" si="292">SUM(CN18:CN24)</f>
        <v>#DIV/0!</v>
      </c>
      <c r="CO25" s="65" t="e">
        <f t="shared" si="292"/>
        <v>#DIV/0!</v>
      </c>
      <c r="CP25" s="65" t="e">
        <f t="shared" si="292"/>
        <v>#DIV/0!</v>
      </c>
      <c r="CQ25" s="65" t="e">
        <f t="shared" si="292"/>
        <v>#DIV/0!</v>
      </c>
      <c r="CR25" s="65" t="e">
        <f t="shared" si="292"/>
        <v>#DIV/0!</v>
      </c>
      <c r="CS25" s="65" t="e">
        <f t="shared" si="292"/>
        <v>#DIV/0!</v>
      </c>
      <c r="CT25" s="65" t="e">
        <f t="shared" si="292"/>
        <v>#DIV/0!</v>
      </c>
      <c r="CU25" s="66" t="e">
        <f t="shared" si="292"/>
        <v>#DIV/0!</v>
      </c>
      <c r="CV25" s="68" t="e">
        <f t="shared" si="292"/>
        <v>#DIV/0!</v>
      </c>
      <c r="CW25" s="65" t="e">
        <f t="shared" si="292"/>
        <v>#DIV/0!</v>
      </c>
      <c r="CX25" s="65" t="e">
        <f t="shared" si="292"/>
        <v>#DIV/0!</v>
      </c>
      <c r="CY25" s="66" t="e">
        <f t="shared" si="292"/>
        <v>#DIV/0!</v>
      </c>
      <c r="CZ25" s="68" t="e">
        <f t="shared" si="292"/>
        <v>#DIV/0!</v>
      </c>
      <c r="DA25" s="65" t="e">
        <f t="shared" si="292"/>
        <v>#DIV/0!</v>
      </c>
      <c r="DB25" s="65" t="e">
        <f t="shared" si="292"/>
        <v>#DIV/0!</v>
      </c>
      <c r="DC25" s="65" t="e">
        <f t="shared" si="292"/>
        <v>#DIV/0!</v>
      </c>
      <c r="DD25" s="65" t="e">
        <f t="shared" si="292"/>
        <v>#DIV/0!</v>
      </c>
      <c r="DE25" s="66" t="e">
        <f t="shared" si="292"/>
        <v>#DIV/0!</v>
      </c>
      <c r="DF25" s="68" t="e">
        <f t="shared" si="292"/>
        <v>#DIV/0!</v>
      </c>
      <c r="DG25" s="65" t="e">
        <f t="shared" si="292"/>
        <v>#DIV/0!</v>
      </c>
      <c r="DH25" s="65" t="e">
        <f t="shared" si="292"/>
        <v>#DIV/0!</v>
      </c>
      <c r="DI25" s="65" t="e">
        <f t="shared" si="292"/>
        <v>#DIV/0!</v>
      </c>
      <c r="DJ25" s="66" t="e">
        <f t="shared" si="292"/>
        <v>#DIV/0!</v>
      </c>
      <c r="DK25" s="68" t="e">
        <f t="shared" si="292"/>
        <v>#DIV/0!</v>
      </c>
      <c r="DL25" s="65" t="e">
        <f t="shared" si="292"/>
        <v>#DIV/0!</v>
      </c>
      <c r="DM25" s="65" t="e">
        <f t="shared" si="292"/>
        <v>#DIV/0!</v>
      </c>
      <c r="DN25" s="65" t="e">
        <f t="shared" si="292"/>
        <v>#DIV/0!</v>
      </c>
      <c r="DO25" s="65" t="e">
        <f t="shared" si="292"/>
        <v>#DIV/0!</v>
      </c>
      <c r="DP25" s="65" t="e">
        <f t="shared" si="292"/>
        <v>#DIV/0!</v>
      </c>
      <c r="DQ25" s="65" t="e">
        <f t="shared" si="292"/>
        <v>#DIV/0!</v>
      </c>
      <c r="DR25" s="65" t="e">
        <f t="shared" si="292"/>
        <v>#DIV/0!</v>
      </c>
      <c r="DS25" s="65" t="e">
        <f t="shared" si="292"/>
        <v>#DIV/0!</v>
      </c>
      <c r="DT25" s="65" t="e">
        <f t="shared" si="292"/>
        <v>#DIV/0!</v>
      </c>
      <c r="DU25" s="65" t="e">
        <f t="shared" si="292"/>
        <v>#DIV/0!</v>
      </c>
      <c r="DV25" s="66" t="e">
        <f t="shared" si="292"/>
        <v>#DIV/0!</v>
      </c>
      <c r="DX25" s="143" t="e">
        <f t="shared" ref="DX25:FF25" si="293">AVERAGE(DX18:DX24)</f>
        <v>#DIV/0!</v>
      </c>
      <c r="DY25" s="144" t="e">
        <f t="shared" si="293"/>
        <v>#DIV/0!</v>
      </c>
      <c r="DZ25" s="144" t="e">
        <f t="shared" si="293"/>
        <v>#DIV/0!</v>
      </c>
      <c r="EA25" s="144" t="e">
        <f t="shared" si="293"/>
        <v>#DIV/0!</v>
      </c>
      <c r="EB25" s="144" t="e">
        <f t="shared" si="293"/>
        <v>#DIV/0!</v>
      </c>
      <c r="EC25" s="144" t="e">
        <f t="shared" si="293"/>
        <v>#DIV/0!</v>
      </c>
      <c r="ED25" s="144" t="e">
        <f t="shared" si="293"/>
        <v>#DIV/0!</v>
      </c>
      <c r="EE25" s="145" t="e">
        <f t="shared" si="293"/>
        <v>#DIV/0!</v>
      </c>
      <c r="EF25" s="143" t="e">
        <f t="shared" si="293"/>
        <v>#DIV/0!</v>
      </c>
      <c r="EG25" s="144" t="e">
        <f t="shared" si="293"/>
        <v>#DIV/0!</v>
      </c>
      <c r="EH25" s="144" t="e">
        <f t="shared" si="293"/>
        <v>#DIV/0!</v>
      </c>
      <c r="EI25" s="145" t="e">
        <f t="shared" si="293"/>
        <v>#DIV/0!</v>
      </c>
      <c r="EJ25" s="143" t="e">
        <f t="shared" si="293"/>
        <v>#DIV/0!</v>
      </c>
      <c r="EK25" s="144" t="e">
        <f t="shared" si="293"/>
        <v>#DIV/0!</v>
      </c>
      <c r="EL25" s="144" t="e">
        <f t="shared" si="293"/>
        <v>#DIV/0!</v>
      </c>
      <c r="EM25" s="144" t="e">
        <f t="shared" si="293"/>
        <v>#DIV/0!</v>
      </c>
      <c r="EN25" s="144" t="e">
        <f t="shared" si="293"/>
        <v>#DIV/0!</v>
      </c>
      <c r="EO25" s="144" t="e">
        <f t="shared" si="293"/>
        <v>#DIV/0!</v>
      </c>
      <c r="EP25" s="143" t="e">
        <f t="shared" si="293"/>
        <v>#DIV/0!</v>
      </c>
      <c r="EQ25" s="144" t="e">
        <f t="shared" si="293"/>
        <v>#DIV/0!</v>
      </c>
      <c r="ER25" s="144" t="e">
        <f t="shared" si="293"/>
        <v>#DIV/0!</v>
      </c>
      <c r="ES25" s="144" t="e">
        <f t="shared" si="293"/>
        <v>#DIV/0!</v>
      </c>
      <c r="ET25" s="145" t="e">
        <f t="shared" si="293"/>
        <v>#DIV/0!</v>
      </c>
      <c r="EU25" s="143" t="e">
        <f t="shared" si="293"/>
        <v>#DIV/0!</v>
      </c>
      <c r="EV25" s="144" t="e">
        <f t="shared" si="293"/>
        <v>#DIV/0!</v>
      </c>
      <c r="EW25" s="144" t="e">
        <f t="shared" si="293"/>
        <v>#DIV/0!</v>
      </c>
      <c r="EX25" s="144" t="e">
        <f t="shared" si="293"/>
        <v>#DIV/0!</v>
      </c>
      <c r="EY25" s="144" t="e">
        <f t="shared" si="293"/>
        <v>#DIV/0!</v>
      </c>
      <c r="EZ25" s="144" t="e">
        <f t="shared" si="293"/>
        <v>#DIV/0!</v>
      </c>
      <c r="FA25" s="144" t="e">
        <f t="shared" si="293"/>
        <v>#DIV/0!</v>
      </c>
      <c r="FB25" s="144" t="e">
        <f t="shared" si="293"/>
        <v>#DIV/0!</v>
      </c>
      <c r="FC25" s="144" t="e">
        <f t="shared" si="293"/>
        <v>#DIV/0!</v>
      </c>
      <c r="FD25" s="144" t="e">
        <f t="shared" si="293"/>
        <v>#DIV/0!</v>
      </c>
      <c r="FE25" s="144" t="e">
        <f t="shared" si="293"/>
        <v>#DIV/0!</v>
      </c>
      <c r="FF25" s="145" t="e">
        <f t="shared" si="293"/>
        <v>#DIV/0!</v>
      </c>
    </row>
    <row r="26" spans="2:162" ht="16.5" thickBot="1" x14ac:dyDescent="0.3">
      <c r="H26" s="136"/>
      <c r="I26" s="136"/>
      <c r="J26" s="136"/>
      <c r="K26" s="136"/>
      <c r="L26" s="253" t="s">
        <v>146</v>
      </c>
      <c r="M26" s="136"/>
      <c r="N26" s="136"/>
    </row>
    <row r="27" spans="2:162" x14ac:dyDescent="0.25">
      <c r="B27" s="176">
        <f>B18+7</f>
        <v>45516</v>
      </c>
      <c r="C27" s="265"/>
      <c r="D27" s="103"/>
      <c r="E27" s="156"/>
      <c r="F27" s="25"/>
      <c r="G27" s="25"/>
      <c r="H27" s="179"/>
      <c r="I27" s="180"/>
      <c r="J27" s="181"/>
      <c r="K27" s="181"/>
      <c r="L27" s="182"/>
      <c r="M27" s="182" t="e">
        <f t="shared" ref="M27:M33" si="294">H27/I27*K27*L27*1.5</f>
        <v>#DIV/0!</v>
      </c>
      <c r="N27" s="183" t="e">
        <f t="shared" ref="N27:N33" si="295">H27/I27*J27*L27*N$4</f>
        <v>#DIV/0!</v>
      </c>
      <c r="O27" s="25"/>
      <c r="P27" s="157"/>
      <c r="Q27" s="158"/>
      <c r="R27" s="158"/>
      <c r="S27" s="158"/>
      <c r="T27" s="158"/>
      <c r="U27" s="158"/>
      <c r="V27" s="158"/>
      <c r="W27" s="159"/>
      <c r="X27" s="157"/>
      <c r="Y27" s="158"/>
      <c r="Z27" s="158"/>
      <c r="AA27" s="159"/>
      <c r="AB27" s="157"/>
      <c r="AC27" s="158"/>
      <c r="AD27" s="158"/>
      <c r="AE27" s="158"/>
      <c r="AF27" s="158"/>
      <c r="AG27" s="159"/>
      <c r="AH27" s="157"/>
      <c r="AI27" s="158"/>
      <c r="AJ27" s="158"/>
      <c r="AK27" s="158"/>
      <c r="AL27" s="159"/>
      <c r="AM27" s="157"/>
      <c r="AN27" s="158"/>
      <c r="AO27" s="158"/>
      <c r="AP27" s="158"/>
      <c r="AQ27" s="158"/>
      <c r="AR27" s="158"/>
      <c r="AS27" s="158"/>
      <c r="AT27" s="158"/>
      <c r="AU27" s="158"/>
      <c r="AV27" s="158"/>
      <c r="AW27" s="158"/>
      <c r="AX27" s="158"/>
      <c r="AY27" s="158"/>
      <c r="AZ27" s="159"/>
      <c r="BB27" s="157" t="e">
        <f t="shared" ref="BB27:BB33" si="296">$N27*DX27</f>
        <v>#DIV/0!</v>
      </c>
      <c r="BC27" s="158" t="e">
        <f t="shared" ref="BC27:BC33" si="297">$N27*DY27</f>
        <v>#DIV/0!</v>
      </c>
      <c r="BD27" s="158" t="e">
        <f t="shared" ref="BD27:BD33" si="298">$N27*DZ27</f>
        <v>#DIV/0!</v>
      </c>
      <c r="BE27" s="158" t="e">
        <f t="shared" ref="BE27:BE33" si="299">$N27*EA27</f>
        <v>#DIV/0!</v>
      </c>
      <c r="BF27" s="158" t="e">
        <f t="shared" ref="BF27:BF33" si="300">$N27*EB27</f>
        <v>#DIV/0!</v>
      </c>
      <c r="BG27" s="158" t="e">
        <f t="shared" ref="BG27:BG33" si="301">$N27*EC27</f>
        <v>#DIV/0!</v>
      </c>
      <c r="BH27" s="158" t="e">
        <f t="shared" ref="BH27:BH33" si="302">$N27*ED27</f>
        <v>#DIV/0!</v>
      </c>
      <c r="BI27" s="159" t="e">
        <f t="shared" ref="BI27:BI33" si="303">$N27*EE27</f>
        <v>#DIV/0!</v>
      </c>
      <c r="BJ27" s="157" t="e">
        <f t="shared" ref="BJ27:BJ33" si="304">$N27*EF27</f>
        <v>#DIV/0!</v>
      </c>
      <c r="BK27" s="158" t="e">
        <f t="shared" ref="BK27:BK33" si="305">$N27*EG27</f>
        <v>#DIV/0!</v>
      </c>
      <c r="BL27" s="158" t="e">
        <f t="shared" ref="BL27:BL33" si="306">$N27*EH27</f>
        <v>#DIV/0!</v>
      </c>
      <c r="BM27" s="159" t="e">
        <f t="shared" ref="BM27:BM33" si="307">$N27*EI27</f>
        <v>#DIV/0!</v>
      </c>
      <c r="BN27" s="157" t="e">
        <f t="shared" ref="BN27:BN33" si="308">$N27*EJ27</f>
        <v>#DIV/0!</v>
      </c>
      <c r="BO27" s="158" t="e">
        <f t="shared" ref="BO27:BO33" si="309">$N27*EK27</f>
        <v>#DIV/0!</v>
      </c>
      <c r="BP27" s="158" t="e">
        <f t="shared" ref="BP27:BP33" si="310">$N27*EL27</f>
        <v>#DIV/0!</v>
      </c>
      <c r="BQ27" s="158" t="e">
        <f t="shared" ref="BQ27:BQ33" si="311">$N27*EM27</f>
        <v>#DIV/0!</v>
      </c>
      <c r="BR27" s="158" t="e">
        <f t="shared" ref="BR27:BR33" si="312">$N27*EN27</f>
        <v>#DIV/0!</v>
      </c>
      <c r="BS27" s="159" t="e">
        <f t="shared" ref="BS27:BS33" si="313">$N27*EO27</f>
        <v>#DIV/0!</v>
      </c>
      <c r="BT27" s="157" t="e">
        <f t="shared" ref="BT27:BT33" si="314">$N27*EP27</f>
        <v>#DIV/0!</v>
      </c>
      <c r="BU27" s="158" t="e">
        <f t="shared" ref="BU27:BU33" si="315">$N27*EQ27</f>
        <v>#DIV/0!</v>
      </c>
      <c r="BV27" s="158" t="e">
        <f t="shared" ref="BV27:BV33" si="316">$N27*ER27</f>
        <v>#DIV/0!</v>
      </c>
      <c r="BW27" s="158" t="e">
        <f t="shared" ref="BW27:BW33" si="317">$N27*ES27</f>
        <v>#DIV/0!</v>
      </c>
      <c r="BX27" s="159" t="e">
        <f t="shared" ref="BX27:BX33" si="318">$N27*ET27</f>
        <v>#DIV/0!</v>
      </c>
      <c r="BY27" s="157" t="e">
        <f t="shared" ref="BY27:BY33" si="319">$N27*EU27</f>
        <v>#DIV/0!</v>
      </c>
      <c r="BZ27" s="158" t="e">
        <f t="shared" ref="BZ27:BZ33" si="320">$N27*EV27</f>
        <v>#DIV/0!</v>
      </c>
      <c r="CA27" s="158" t="e">
        <f t="shared" ref="CA27:CA33" si="321">$N27*EW27</f>
        <v>#DIV/0!</v>
      </c>
      <c r="CB27" s="158" t="e">
        <f t="shared" ref="CB27:CB33" si="322">$N27*EX27</f>
        <v>#DIV/0!</v>
      </c>
      <c r="CC27" s="158" t="e">
        <f t="shared" ref="CC27:CC33" si="323">$N27*EY27</f>
        <v>#DIV/0!</v>
      </c>
      <c r="CD27" s="158" t="e">
        <f t="shared" ref="CD27:CD33" si="324">$N27*EZ27</f>
        <v>#DIV/0!</v>
      </c>
      <c r="CE27" s="158" t="e">
        <f t="shared" ref="CE27:CE33" si="325">$N27*FA27</f>
        <v>#DIV/0!</v>
      </c>
      <c r="CF27" s="158" t="e">
        <f t="shared" ref="CF27:CF33" si="326">$N27*FB27</f>
        <v>#DIV/0!</v>
      </c>
      <c r="CG27" s="158" t="e">
        <f t="shared" ref="CG27:CG33" si="327">$N27*FC27</f>
        <v>#DIV/0!</v>
      </c>
      <c r="CH27" s="158" t="e">
        <f t="shared" ref="CH27:CH33" si="328">$N27*FD27</f>
        <v>#DIV/0!</v>
      </c>
      <c r="CI27" s="158" t="e">
        <f t="shared" ref="CI27:CI33" si="329">$N27*FE27</f>
        <v>#DIV/0!</v>
      </c>
      <c r="CJ27" s="159" t="e">
        <f t="shared" ref="CJ27:CJ33" si="330">$N27*FF27</f>
        <v>#DIV/0!</v>
      </c>
      <c r="CL27" s="36">
        <v>5</v>
      </c>
      <c r="CN27" s="157" t="e">
        <f>AVERAGE(BB27:BB31)*$CL27</f>
        <v>#DIV/0!</v>
      </c>
      <c r="CO27" s="158" t="e">
        <f t="shared" ref="CO27" si="331">AVERAGE(BC27:BC31)*$CL27</f>
        <v>#DIV/0!</v>
      </c>
      <c r="CP27" s="158" t="e">
        <f t="shared" ref="CP27" si="332">AVERAGE(BD27:BD31)*$CL27</f>
        <v>#DIV/0!</v>
      </c>
      <c r="CQ27" s="158" t="e">
        <f t="shared" ref="CQ27" si="333">AVERAGE(BE27:BE31)*$CL27</f>
        <v>#DIV/0!</v>
      </c>
      <c r="CR27" s="158" t="e">
        <f t="shared" ref="CR27" si="334">AVERAGE(BF27:BF31)*$CL27</f>
        <v>#DIV/0!</v>
      </c>
      <c r="CS27" s="158" t="e">
        <f t="shared" ref="CS27" si="335">AVERAGE(BG27:BG31)*$CL27</f>
        <v>#DIV/0!</v>
      </c>
      <c r="CT27" s="158" t="e">
        <f t="shared" ref="CT27" si="336">AVERAGE(BH27:BH31)*$CL27</f>
        <v>#DIV/0!</v>
      </c>
      <c r="CU27" s="159" t="e">
        <f t="shared" ref="CU27" si="337">AVERAGE(BI27:BI31)*$CL27</f>
        <v>#DIV/0!</v>
      </c>
      <c r="CV27" s="157" t="e">
        <f t="shared" ref="CV27" si="338">AVERAGE(BJ27:BJ31)*$CL27</f>
        <v>#DIV/0!</v>
      </c>
      <c r="CW27" s="158" t="e">
        <f t="shared" ref="CW27" si="339">AVERAGE(BK27:BK31)*$CL27</f>
        <v>#DIV/0!</v>
      </c>
      <c r="CX27" s="158" t="e">
        <f t="shared" ref="CX27" si="340">AVERAGE(BL27:BL31)*$CL27</f>
        <v>#DIV/0!</v>
      </c>
      <c r="CY27" s="159" t="e">
        <f t="shared" ref="CY27" si="341">AVERAGE(BM27:BM31)*$CL27</f>
        <v>#DIV/0!</v>
      </c>
      <c r="CZ27" s="157" t="e">
        <f t="shared" ref="CZ27" si="342">AVERAGE(BN27:BN31)*$CL27</f>
        <v>#DIV/0!</v>
      </c>
      <c r="DA27" s="158" t="e">
        <f t="shared" ref="DA27" si="343">AVERAGE(BO27:BO31)*$CL27</f>
        <v>#DIV/0!</v>
      </c>
      <c r="DB27" s="158" t="e">
        <f t="shared" ref="DB27" si="344">AVERAGE(BP27:BP31)*$CL27</f>
        <v>#DIV/0!</v>
      </c>
      <c r="DC27" s="158" t="e">
        <f t="shared" ref="DC27" si="345">AVERAGE(BQ27:BQ31)*$CL27</f>
        <v>#DIV/0!</v>
      </c>
      <c r="DD27" s="158" t="e">
        <f t="shared" ref="DD27" si="346">AVERAGE(BR27:BR31)*$CL27</f>
        <v>#DIV/0!</v>
      </c>
      <c r="DE27" s="159" t="e">
        <f t="shared" ref="DE27" si="347">AVERAGE(BS27:BS31)*$CL27</f>
        <v>#DIV/0!</v>
      </c>
      <c r="DF27" s="157" t="e">
        <f t="shared" ref="DF27" si="348">AVERAGE(BT27:BT31)*$CL27</f>
        <v>#DIV/0!</v>
      </c>
      <c r="DG27" s="158" t="e">
        <f t="shared" ref="DG27" si="349">AVERAGE(BU27:BU31)*$CL27</f>
        <v>#DIV/0!</v>
      </c>
      <c r="DH27" s="158" t="e">
        <f t="shared" ref="DH27" si="350">AVERAGE(BV27:BV31)*$CL27</f>
        <v>#DIV/0!</v>
      </c>
      <c r="DI27" s="158" t="e">
        <f t="shared" ref="DI27" si="351">AVERAGE(BW27:BW31)*$CL27</f>
        <v>#DIV/0!</v>
      </c>
      <c r="DJ27" s="159" t="e">
        <f t="shared" ref="DJ27" si="352">AVERAGE(BX27:BX31)*$CL27</f>
        <v>#DIV/0!</v>
      </c>
      <c r="DK27" s="157" t="e">
        <f t="shared" ref="DK27" si="353">AVERAGE(BY27:BY31)*$CL27</f>
        <v>#DIV/0!</v>
      </c>
      <c r="DL27" s="158" t="e">
        <f t="shared" ref="DL27" si="354">AVERAGE(BZ27:BZ31)*$CL27</f>
        <v>#DIV/0!</v>
      </c>
      <c r="DM27" s="158" t="e">
        <f t="shared" ref="DM27" si="355">AVERAGE(CA27:CA31)*$CL27</f>
        <v>#DIV/0!</v>
      </c>
      <c r="DN27" s="158" t="e">
        <f t="shared" ref="DN27" si="356">AVERAGE(CB27:CB31)*$CL27</f>
        <v>#DIV/0!</v>
      </c>
      <c r="DO27" s="158" t="e">
        <f t="shared" ref="DO27" si="357">AVERAGE(CC27:CC31)*$CL27</f>
        <v>#DIV/0!</v>
      </c>
      <c r="DP27" s="158" t="e">
        <f t="shared" ref="DP27" si="358">AVERAGE(CD27:CD31)*$CL27</f>
        <v>#DIV/0!</v>
      </c>
      <c r="DQ27" s="158" t="e">
        <f t="shared" ref="DQ27" si="359">AVERAGE(CE27:CE31)*$CL27</f>
        <v>#DIV/0!</v>
      </c>
      <c r="DR27" s="158" t="e">
        <f t="shared" ref="DR27" si="360">AVERAGE(CF27:CF31)*$CL27</f>
        <v>#DIV/0!</v>
      </c>
      <c r="DS27" s="158" t="e">
        <f t="shared" ref="DS27" si="361">AVERAGE(CG27:CG31)*$CL27</f>
        <v>#DIV/0!</v>
      </c>
      <c r="DT27" s="158" t="e">
        <f t="shared" ref="DT27" si="362">AVERAGE(CH27:CH31)*$CL27</f>
        <v>#DIV/0!</v>
      </c>
      <c r="DU27" s="158" t="e">
        <f t="shared" ref="DU27" si="363">AVERAGE(CI27:CI31)*$CL27</f>
        <v>#DIV/0!</v>
      </c>
      <c r="DV27" s="159" t="e">
        <f t="shared" ref="DV27" si="364">AVERAGE(CJ27:CJ31)*$CL27</f>
        <v>#DIV/0!</v>
      </c>
      <c r="DX27" s="186" t="e">
        <f t="shared" ref="DX27:DX33" si="365">P27/$E27</f>
        <v>#DIV/0!</v>
      </c>
      <c r="DY27" s="187" t="e">
        <f t="shared" ref="DY27:DY33" si="366">Q27/$E27</f>
        <v>#DIV/0!</v>
      </c>
      <c r="DZ27" s="187" t="e">
        <f t="shared" ref="DZ27:DZ33" si="367">R27/$E27</f>
        <v>#DIV/0!</v>
      </c>
      <c r="EA27" s="187" t="e">
        <f t="shared" ref="EA27:EA33" si="368">S27/$E27</f>
        <v>#DIV/0!</v>
      </c>
      <c r="EB27" s="187" t="e">
        <f t="shared" ref="EB27:EB33" si="369">T27/$E27</f>
        <v>#DIV/0!</v>
      </c>
      <c r="EC27" s="187" t="e">
        <f t="shared" ref="EC27:EC33" si="370">U27/$E27</f>
        <v>#DIV/0!</v>
      </c>
      <c r="ED27" s="187" t="e">
        <f t="shared" ref="ED27:ED33" si="371">V27/$E27</f>
        <v>#DIV/0!</v>
      </c>
      <c r="EE27" s="188" t="e">
        <f t="shared" ref="EE27:EE33" si="372">W27/$E27</f>
        <v>#DIV/0!</v>
      </c>
      <c r="EF27" s="186" t="e">
        <f t="shared" ref="EF27:EF33" si="373">X27/$E27</f>
        <v>#DIV/0!</v>
      </c>
      <c r="EG27" s="187" t="e">
        <f t="shared" ref="EG27:EG33" si="374">Y27/$E27</f>
        <v>#DIV/0!</v>
      </c>
      <c r="EH27" s="187" t="e">
        <f t="shared" ref="EH27:EH33" si="375">Z27/$E27</f>
        <v>#DIV/0!</v>
      </c>
      <c r="EI27" s="188" t="e">
        <f t="shared" ref="EI27:EI33" si="376">AA27/$E27</f>
        <v>#DIV/0!</v>
      </c>
      <c r="EJ27" s="186" t="e">
        <f t="shared" ref="EJ27:EJ33" si="377">AB27/$E27</f>
        <v>#DIV/0!</v>
      </c>
      <c r="EK27" s="187" t="e">
        <f t="shared" ref="EK27:EK33" si="378">AC27/$E27</f>
        <v>#DIV/0!</v>
      </c>
      <c r="EL27" s="187" t="e">
        <f t="shared" ref="EL27:EL33" si="379">AD27/$E27</f>
        <v>#DIV/0!</v>
      </c>
      <c r="EM27" s="187" t="e">
        <f t="shared" ref="EM27:EM33" si="380">AE27/$E27</f>
        <v>#DIV/0!</v>
      </c>
      <c r="EN27" s="187" t="e">
        <f t="shared" ref="EN27:EN33" si="381">AF27/$E27</f>
        <v>#DIV/0!</v>
      </c>
      <c r="EO27" s="188" t="e">
        <f t="shared" ref="EO27:EO33" si="382">AG27/$E27</f>
        <v>#DIV/0!</v>
      </c>
      <c r="EP27" s="186" t="e">
        <f t="shared" ref="EP27:EP33" si="383">AH27/$E27</f>
        <v>#DIV/0!</v>
      </c>
      <c r="EQ27" s="187" t="e">
        <f t="shared" ref="EQ27:EQ33" si="384">AI27/$E27</f>
        <v>#DIV/0!</v>
      </c>
      <c r="ER27" s="187" t="e">
        <f t="shared" ref="ER27:ER33" si="385">AJ27/$E27</f>
        <v>#DIV/0!</v>
      </c>
      <c r="ES27" s="187" t="e">
        <f t="shared" ref="ES27:ES33" si="386">AK27/$E27</f>
        <v>#DIV/0!</v>
      </c>
      <c r="ET27" s="188" t="e">
        <f t="shared" ref="ET27:ET33" si="387">AL27/$E27</f>
        <v>#DIV/0!</v>
      </c>
      <c r="EU27" s="186" t="e">
        <f t="shared" ref="EU27:EU33" si="388">AM27/$E27</f>
        <v>#DIV/0!</v>
      </c>
      <c r="EV27" s="187" t="e">
        <f t="shared" ref="EV27:EV33" si="389">AN27/$E27</f>
        <v>#DIV/0!</v>
      </c>
      <c r="EW27" s="187" t="e">
        <f t="shared" ref="EW27:EW33" si="390">AO27/$E27</f>
        <v>#DIV/0!</v>
      </c>
      <c r="EX27" s="187" t="e">
        <f t="shared" ref="EX27:EX33" si="391">AP27/$E27</f>
        <v>#DIV/0!</v>
      </c>
      <c r="EY27" s="187" t="e">
        <f t="shared" ref="EY27:EY33" si="392">AQ27/$E27</f>
        <v>#DIV/0!</v>
      </c>
      <c r="EZ27" s="187" t="e">
        <f t="shared" ref="EZ27:EZ33" si="393">AR27/$E27</f>
        <v>#DIV/0!</v>
      </c>
      <c r="FA27" s="187" t="e">
        <f t="shared" ref="FA27:FA33" si="394">AS27/$E27</f>
        <v>#DIV/0!</v>
      </c>
      <c r="FB27" s="187" t="e">
        <f t="shared" ref="FB27:FB33" si="395">AT27/$E27</f>
        <v>#DIV/0!</v>
      </c>
      <c r="FC27" s="187" t="e">
        <f t="shared" ref="FC27:FC33" si="396">AU27/$E27</f>
        <v>#DIV/0!</v>
      </c>
      <c r="FD27" s="187" t="e">
        <f t="shared" ref="FD27:FD33" si="397">AV27/$E27</f>
        <v>#DIV/0!</v>
      </c>
      <c r="FE27" s="187" t="e">
        <f t="shared" ref="FE27:FE33" si="398">AY27/$E27</f>
        <v>#DIV/0!</v>
      </c>
      <c r="FF27" s="188" t="e">
        <f t="shared" ref="FF27:FF33" si="399">AZ27/$E27</f>
        <v>#DIV/0!</v>
      </c>
    </row>
    <row r="28" spans="2:162" x14ac:dyDescent="0.25">
      <c r="B28" s="127">
        <f t="shared" ref="B28:B33" si="400">B27+1</f>
        <v>45517</v>
      </c>
      <c r="C28" s="266"/>
      <c r="D28" s="53"/>
      <c r="E28" s="129"/>
      <c r="F28" s="25"/>
      <c r="G28" s="25"/>
      <c r="H28" s="150"/>
      <c r="I28" s="24"/>
      <c r="J28" s="151"/>
      <c r="K28" s="151"/>
      <c r="L28" s="152"/>
      <c r="M28" s="152" t="e">
        <f t="shared" si="294"/>
        <v>#DIV/0!</v>
      </c>
      <c r="N28" s="153" t="e">
        <f t="shared" si="295"/>
        <v>#DIV/0!</v>
      </c>
      <c r="O28" s="25"/>
      <c r="P28" s="95"/>
      <c r="Q28" s="41"/>
      <c r="R28" s="41"/>
      <c r="S28" s="41"/>
      <c r="T28" s="41"/>
      <c r="U28" s="41"/>
      <c r="V28" s="41"/>
      <c r="W28" s="42"/>
      <c r="X28" s="95"/>
      <c r="Y28" s="41"/>
      <c r="Z28" s="41"/>
      <c r="AA28" s="42"/>
      <c r="AB28" s="95"/>
      <c r="AC28" s="41"/>
      <c r="AD28" s="41"/>
      <c r="AE28" s="41"/>
      <c r="AF28" s="41"/>
      <c r="AG28" s="42"/>
      <c r="AH28" s="95"/>
      <c r="AI28" s="41"/>
      <c r="AJ28" s="41"/>
      <c r="AK28" s="41"/>
      <c r="AL28" s="42"/>
      <c r="AM28" s="95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2"/>
      <c r="BB28" s="95" t="e">
        <f t="shared" si="296"/>
        <v>#DIV/0!</v>
      </c>
      <c r="BC28" s="41" t="e">
        <f t="shared" si="297"/>
        <v>#DIV/0!</v>
      </c>
      <c r="BD28" s="41" t="e">
        <f t="shared" si="298"/>
        <v>#DIV/0!</v>
      </c>
      <c r="BE28" s="41" t="e">
        <f t="shared" si="299"/>
        <v>#DIV/0!</v>
      </c>
      <c r="BF28" s="41" t="e">
        <f t="shared" si="300"/>
        <v>#DIV/0!</v>
      </c>
      <c r="BG28" s="41" t="e">
        <f t="shared" si="301"/>
        <v>#DIV/0!</v>
      </c>
      <c r="BH28" s="41" t="e">
        <f t="shared" si="302"/>
        <v>#DIV/0!</v>
      </c>
      <c r="BI28" s="42" t="e">
        <f t="shared" si="303"/>
        <v>#DIV/0!</v>
      </c>
      <c r="BJ28" s="95" t="e">
        <f t="shared" si="304"/>
        <v>#DIV/0!</v>
      </c>
      <c r="BK28" s="41" t="e">
        <f t="shared" si="305"/>
        <v>#DIV/0!</v>
      </c>
      <c r="BL28" s="41" t="e">
        <f t="shared" si="306"/>
        <v>#DIV/0!</v>
      </c>
      <c r="BM28" s="42" t="e">
        <f t="shared" si="307"/>
        <v>#DIV/0!</v>
      </c>
      <c r="BN28" s="95" t="e">
        <f t="shared" si="308"/>
        <v>#DIV/0!</v>
      </c>
      <c r="BO28" s="41" t="e">
        <f t="shared" si="309"/>
        <v>#DIV/0!</v>
      </c>
      <c r="BP28" s="41" t="e">
        <f t="shared" si="310"/>
        <v>#DIV/0!</v>
      </c>
      <c r="BQ28" s="41" t="e">
        <f t="shared" si="311"/>
        <v>#DIV/0!</v>
      </c>
      <c r="BR28" s="41" t="e">
        <f t="shared" si="312"/>
        <v>#DIV/0!</v>
      </c>
      <c r="BS28" s="42" t="e">
        <f t="shared" si="313"/>
        <v>#DIV/0!</v>
      </c>
      <c r="BT28" s="95" t="e">
        <f t="shared" si="314"/>
        <v>#DIV/0!</v>
      </c>
      <c r="BU28" s="41" t="e">
        <f t="shared" si="315"/>
        <v>#DIV/0!</v>
      </c>
      <c r="BV28" s="41" t="e">
        <f t="shared" si="316"/>
        <v>#DIV/0!</v>
      </c>
      <c r="BW28" s="41" t="e">
        <f t="shared" si="317"/>
        <v>#DIV/0!</v>
      </c>
      <c r="BX28" s="42" t="e">
        <f t="shared" si="318"/>
        <v>#DIV/0!</v>
      </c>
      <c r="BY28" s="95" t="e">
        <f t="shared" si="319"/>
        <v>#DIV/0!</v>
      </c>
      <c r="BZ28" s="41" t="e">
        <f t="shared" si="320"/>
        <v>#DIV/0!</v>
      </c>
      <c r="CA28" s="41" t="e">
        <f t="shared" si="321"/>
        <v>#DIV/0!</v>
      </c>
      <c r="CB28" s="41" t="e">
        <f t="shared" si="322"/>
        <v>#DIV/0!</v>
      </c>
      <c r="CC28" s="41" t="e">
        <f t="shared" si="323"/>
        <v>#DIV/0!</v>
      </c>
      <c r="CD28" s="41" t="e">
        <f t="shared" si="324"/>
        <v>#DIV/0!</v>
      </c>
      <c r="CE28" s="41" t="e">
        <f t="shared" si="325"/>
        <v>#DIV/0!</v>
      </c>
      <c r="CF28" s="41" t="e">
        <f t="shared" si="326"/>
        <v>#DIV/0!</v>
      </c>
      <c r="CG28" s="41" t="e">
        <f t="shared" si="327"/>
        <v>#DIV/0!</v>
      </c>
      <c r="CH28" s="41" t="e">
        <f t="shared" si="328"/>
        <v>#DIV/0!</v>
      </c>
      <c r="CI28" s="41" t="e">
        <f t="shared" si="329"/>
        <v>#DIV/0!</v>
      </c>
      <c r="CJ28" s="42" t="e">
        <f t="shared" si="330"/>
        <v>#DIV/0!</v>
      </c>
      <c r="CL28" s="36"/>
      <c r="CN28" s="95"/>
      <c r="CO28" s="41"/>
      <c r="CP28" s="41"/>
      <c r="CQ28" s="41"/>
      <c r="CR28" s="41"/>
      <c r="CS28" s="41"/>
      <c r="CT28" s="41"/>
      <c r="CU28" s="42"/>
      <c r="CV28" s="95"/>
      <c r="CW28" s="41"/>
      <c r="CX28" s="41"/>
      <c r="CY28" s="42"/>
      <c r="CZ28" s="95"/>
      <c r="DA28" s="41"/>
      <c r="DB28" s="41"/>
      <c r="DC28" s="41"/>
      <c r="DD28" s="41"/>
      <c r="DE28" s="42"/>
      <c r="DF28" s="95"/>
      <c r="DG28" s="41"/>
      <c r="DH28" s="41"/>
      <c r="DI28" s="41"/>
      <c r="DJ28" s="42"/>
      <c r="DK28" s="95"/>
      <c r="DL28" s="41"/>
      <c r="DM28" s="41"/>
      <c r="DN28" s="41"/>
      <c r="DO28" s="41"/>
      <c r="DP28" s="41"/>
      <c r="DQ28" s="41"/>
      <c r="DR28" s="41"/>
      <c r="DS28" s="41"/>
      <c r="DT28" s="41"/>
      <c r="DU28" s="41"/>
      <c r="DV28" s="42"/>
      <c r="DX28" s="138" t="e">
        <f t="shared" si="365"/>
        <v>#DIV/0!</v>
      </c>
      <c r="DY28" s="34" t="e">
        <f t="shared" si="366"/>
        <v>#DIV/0!</v>
      </c>
      <c r="DZ28" s="34" t="e">
        <f t="shared" si="367"/>
        <v>#DIV/0!</v>
      </c>
      <c r="EA28" s="34" t="e">
        <f t="shared" si="368"/>
        <v>#DIV/0!</v>
      </c>
      <c r="EB28" s="34" t="e">
        <f t="shared" si="369"/>
        <v>#DIV/0!</v>
      </c>
      <c r="EC28" s="34" t="e">
        <f t="shared" si="370"/>
        <v>#DIV/0!</v>
      </c>
      <c r="ED28" s="34" t="e">
        <f t="shared" si="371"/>
        <v>#DIV/0!</v>
      </c>
      <c r="EE28" s="139" t="e">
        <f t="shared" si="372"/>
        <v>#DIV/0!</v>
      </c>
      <c r="EF28" s="138" t="e">
        <f t="shared" si="373"/>
        <v>#DIV/0!</v>
      </c>
      <c r="EG28" s="34" t="e">
        <f t="shared" si="374"/>
        <v>#DIV/0!</v>
      </c>
      <c r="EH28" s="34" t="e">
        <f t="shared" si="375"/>
        <v>#DIV/0!</v>
      </c>
      <c r="EI28" s="139" t="e">
        <f t="shared" si="376"/>
        <v>#DIV/0!</v>
      </c>
      <c r="EJ28" s="138" t="e">
        <f t="shared" si="377"/>
        <v>#DIV/0!</v>
      </c>
      <c r="EK28" s="34" t="e">
        <f t="shared" si="378"/>
        <v>#DIV/0!</v>
      </c>
      <c r="EL28" s="34" t="e">
        <f t="shared" si="379"/>
        <v>#DIV/0!</v>
      </c>
      <c r="EM28" s="34" t="e">
        <f t="shared" si="380"/>
        <v>#DIV/0!</v>
      </c>
      <c r="EN28" s="34" t="e">
        <f t="shared" si="381"/>
        <v>#DIV/0!</v>
      </c>
      <c r="EO28" s="139" t="e">
        <f t="shared" si="382"/>
        <v>#DIV/0!</v>
      </c>
      <c r="EP28" s="138" t="e">
        <f t="shared" si="383"/>
        <v>#DIV/0!</v>
      </c>
      <c r="EQ28" s="34" t="e">
        <f t="shared" si="384"/>
        <v>#DIV/0!</v>
      </c>
      <c r="ER28" s="34" t="e">
        <f t="shared" si="385"/>
        <v>#DIV/0!</v>
      </c>
      <c r="ES28" s="34" t="e">
        <f t="shared" si="386"/>
        <v>#DIV/0!</v>
      </c>
      <c r="ET28" s="139" t="e">
        <f t="shared" si="387"/>
        <v>#DIV/0!</v>
      </c>
      <c r="EU28" s="138" t="e">
        <f t="shared" si="388"/>
        <v>#DIV/0!</v>
      </c>
      <c r="EV28" s="34" t="e">
        <f t="shared" si="389"/>
        <v>#DIV/0!</v>
      </c>
      <c r="EW28" s="34" t="e">
        <f t="shared" si="390"/>
        <v>#DIV/0!</v>
      </c>
      <c r="EX28" s="34" t="e">
        <f t="shared" si="391"/>
        <v>#DIV/0!</v>
      </c>
      <c r="EY28" s="34" t="e">
        <f t="shared" si="392"/>
        <v>#DIV/0!</v>
      </c>
      <c r="EZ28" s="34" t="e">
        <f t="shared" si="393"/>
        <v>#DIV/0!</v>
      </c>
      <c r="FA28" s="34" t="e">
        <f t="shared" si="394"/>
        <v>#DIV/0!</v>
      </c>
      <c r="FB28" s="34" t="e">
        <f t="shared" si="395"/>
        <v>#DIV/0!</v>
      </c>
      <c r="FC28" s="34" t="e">
        <f t="shared" si="396"/>
        <v>#DIV/0!</v>
      </c>
      <c r="FD28" s="34" t="e">
        <f t="shared" si="397"/>
        <v>#DIV/0!</v>
      </c>
      <c r="FE28" s="34" t="e">
        <f t="shared" si="398"/>
        <v>#DIV/0!</v>
      </c>
      <c r="FF28" s="139" t="e">
        <f t="shared" si="399"/>
        <v>#DIV/0!</v>
      </c>
    </row>
    <row r="29" spans="2:162" x14ac:dyDescent="0.25">
      <c r="B29" s="127">
        <f t="shared" si="400"/>
        <v>45518</v>
      </c>
      <c r="C29" s="266"/>
      <c r="D29" s="53"/>
      <c r="E29" s="129"/>
      <c r="F29" s="25"/>
      <c r="G29" s="25"/>
      <c r="H29" s="150"/>
      <c r="I29" s="24"/>
      <c r="J29" s="151"/>
      <c r="K29" s="151"/>
      <c r="L29" s="152"/>
      <c r="M29" s="152" t="e">
        <f t="shared" si="294"/>
        <v>#DIV/0!</v>
      </c>
      <c r="N29" s="153" t="e">
        <f t="shared" si="295"/>
        <v>#DIV/0!</v>
      </c>
      <c r="O29" s="25"/>
      <c r="P29" s="95"/>
      <c r="Q29" s="41"/>
      <c r="R29" s="41"/>
      <c r="S29" s="41"/>
      <c r="T29" s="41"/>
      <c r="U29" s="41"/>
      <c r="V29" s="41"/>
      <c r="W29" s="42"/>
      <c r="X29" s="95"/>
      <c r="Y29" s="41"/>
      <c r="Z29" s="41"/>
      <c r="AA29" s="42"/>
      <c r="AB29" s="95"/>
      <c r="AC29" s="41"/>
      <c r="AD29" s="41"/>
      <c r="AE29" s="41"/>
      <c r="AF29" s="41"/>
      <c r="AG29" s="42"/>
      <c r="AH29" s="95"/>
      <c r="AI29" s="41"/>
      <c r="AJ29" s="41"/>
      <c r="AK29" s="41"/>
      <c r="AL29" s="42"/>
      <c r="AM29" s="95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2"/>
      <c r="BB29" s="95" t="e">
        <f t="shared" si="296"/>
        <v>#DIV/0!</v>
      </c>
      <c r="BC29" s="41" t="e">
        <f t="shared" si="297"/>
        <v>#DIV/0!</v>
      </c>
      <c r="BD29" s="41" t="e">
        <f t="shared" si="298"/>
        <v>#DIV/0!</v>
      </c>
      <c r="BE29" s="41" t="e">
        <f t="shared" si="299"/>
        <v>#DIV/0!</v>
      </c>
      <c r="BF29" s="41" t="e">
        <f t="shared" si="300"/>
        <v>#DIV/0!</v>
      </c>
      <c r="BG29" s="41" t="e">
        <f t="shared" si="301"/>
        <v>#DIV/0!</v>
      </c>
      <c r="BH29" s="41" t="e">
        <f t="shared" si="302"/>
        <v>#DIV/0!</v>
      </c>
      <c r="BI29" s="42" t="e">
        <f t="shared" si="303"/>
        <v>#DIV/0!</v>
      </c>
      <c r="BJ29" s="95" t="e">
        <f t="shared" si="304"/>
        <v>#DIV/0!</v>
      </c>
      <c r="BK29" s="41" t="e">
        <f t="shared" si="305"/>
        <v>#DIV/0!</v>
      </c>
      <c r="BL29" s="41" t="e">
        <f t="shared" si="306"/>
        <v>#DIV/0!</v>
      </c>
      <c r="BM29" s="42" t="e">
        <f t="shared" si="307"/>
        <v>#DIV/0!</v>
      </c>
      <c r="BN29" s="95" t="e">
        <f t="shared" si="308"/>
        <v>#DIV/0!</v>
      </c>
      <c r="BO29" s="41" t="e">
        <f t="shared" si="309"/>
        <v>#DIV/0!</v>
      </c>
      <c r="BP29" s="41" t="e">
        <f t="shared" si="310"/>
        <v>#DIV/0!</v>
      </c>
      <c r="BQ29" s="41" t="e">
        <f t="shared" si="311"/>
        <v>#DIV/0!</v>
      </c>
      <c r="BR29" s="41" t="e">
        <f t="shared" si="312"/>
        <v>#DIV/0!</v>
      </c>
      <c r="BS29" s="42" t="e">
        <f t="shared" si="313"/>
        <v>#DIV/0!</v>
      </c>
      <c r="BT29" s="95" t="e">
        <f t="shared" si="314"/>
        <v>#DIV/0!</v>
      </c>
      <c r="BU29" s="41" t="e">
        <f t="shared" si="315"/>
        <v>#DIV/0!</v>
      </c>
      <c r="BV29" s="41" t="e">
        <f t="shared" si="316"/>
        <v>#DIV/0!</v>
      </c>
      <c r="BW29" s="41" t="e">
        <f t="shared" si="317"/>
        <v>#DIV/0!</v>
      </c>
      <c r="BX29" s="42" t="e">
        <f t="shared" si="318"/>
        <v>#DIV/0!</v>
      </c>
      <c r="BY29" s="95" t="e">
        <f t="shared" si="319"/>
        <v>#DIV/0!</v>
      </c>
      <c r="BZ29" s="41" t="e">
        <f t="shared" si="320"/>
        <v>#DIV/0!</v>
      </c>
      <c r="CA29" s="41" t="e">
        <f t="shared" si="321"/>
        <v>#DIV/0!</v>
      </c>
      <c r="CB29" s="41" t="e">
        <f t="shared" si="322"/>
        <v>#DIV/0!</v>
      </c>
      <c r="CC29" s="41" t="e">
        <f t="shared" si="323"/>
        <v>#DIV/0!</v>
      </c>
      <c r="CD29" s="41" t="e">
        <f t="shared" si="324"/>
        <v>#DIV/0!</v>
      </c>
      <c r="CE29" s="41" t="e">
        <f t="shared" si="325"/>
        <v>#DIV/0!</v>
      </c>
      <c r="CF29" s="41" t="e">
        <f t="shared" si="326"/>
        <v>#DIV/0!</v>
      </c>
      <c r="CG29" s="41" t="e">
        <f t="shared" si="327"/>
        <v>#DIV/0!</v>
      </c>
      <c r="CH29" s="41" t="e">
        <f t="shared" si="328"/>
        <v>#DIV/0!</v>
      </c>
      <c r="CI29" s="41" t="e">
        <f t="shared" si="329"/>
        <v>#DIV/0!</v>
      </c>
      <c r="CJ29" s="42" t="e">
        <f t="shared" si="330"/>
        <v>#DIV/0!</v>
      </c>
      <c r="CL29" s="36"/>
      <c r="CN29" s="95"/>
      <c r="CO29" s="41"/>
      <c r="CP29" s="41"/>
      <c r="CQ29" s="41"/>
      <c r="CR29" s="41"/>
      <c r="CS29" s="41"/>
      <c r="CT29" s="41"/>
      <c r="CU29" s="42"/>
      <c r="CV29" s="95"/>
      <c r="CW29" s="41"/>
      <c r="CX29" s="41"/>
      <c r="CY29" s="42"/>
      <c r="CZ29" s="95"/>
      <c r="DA29" s="41"/>
      <c r="DB29" s="41"/>
      <c r="DC29" s="41"/>
      <c r="DD29" s="41"/>
      <c r="DE29" s="42"/>
      <c r="DF29" s="95"/>
      <c r="DG29" s="41"/>
      <c r="DH29" s="41"/>
      <c r="DI29" s="41"/>
      <c r="DJ29" s="42"/>
      <c r="DK29" s="95"/>
      <c r="DL29" s="41"/>
      <c r="DM29" s="41"/>
      <c r="DN29" s="41"/>
      <c r="DO29" s="41"/>
      <c r="DP29" s="41"/>
      <c r="DQ29" s="41"/>
      <c r="DR29" s="41"/>
      <c r="DS29" s="41"/>
      <c r="DT29" s="41"/>
      <c r="DU29" s="41"/>
      <c r="DV29" s="42"/>
      <c r="DX29" s="138" t="e">
        <f t="shared" si="365"/>
        <v>#DIV/0!</v>
      </c>
      <c r="DY29" s="34" t="e">
        <f t="shared" si="366"/>
        <v>#DIV/0!</v>
      </c>
      <c r="DZ29" s="34" t="e">
        <f t="shared" si="367"/>
        <v>#DIV/0!</v>
      </c>
      <c r="EA29" s="34" t="e">
        <f t="shared" si="368"/>
        <v>#DIV/0!</v>
      </c>
      <c r="EB29" s="34" t="e">
        <f t="shared" si="369"/>
        <v>#DIV/0!</v>
      </c>
      <c r="EC29" s="34" t="e">
        <f t="shared" si="370"/>
        <v>#DIV/0!</v>
      </c>
      <c r="ED29" s="34" t="e">
        <f t="shared" si="371"/>
        <v>#DIV/0!</v>
      </c>
      <c r="EE29" s="139" t="e">
        <f t="shared" si="372"/>
        <v>#DIV/0!</v>
      </c>
      <c r="EF29" s="138" t="e">
        <f t="shared" si="373"/>
        <v>#DIV/0!</v>
      </c>
      <c r="EG29" s="34" t="e">
        <f t="shared" si="374"/>
        <v>#DIV/0!</v>
      </c>
      <c r="EH29" s="34" t="e">
        <f t="shared" si="375"/>
        <v>#DIV/0!</v>
      </c>
      <c r="EI29" s="139" t="e">
        <f t="shared" si="376"/>
        <v>#DIV/0!</v>
      </c>
      <c r="EJ29" s="138" t="e">
        <f t="shared" si="377"/>
        <v>#DIV/0!</v>
      </c>
      <c r="EK29" s="34" t="e">
        <f t="shared" si="378"/>
        <v>#DIV/0!</v>
      </c>
      <c r="EL29" s="34" t="e">
        <f t="shared" si="379"/>
        <v>#DIV/0!</v>
      </c>
      <c r="EM29" s="34" t="e">
        <f t="shared" si="380"/>
        <v>#DIV/0!</v>
      </c>
      <c r="EN29" s="34" t="e">
        <f t="shared" si="381"/>
        <v>#DIV/0!</v>
      </c>
      <c r="EO29" s="139" t="e">
        <f t="shared" si="382"/>
        <v>#DIV/0!</v>
      </c>
      <c r="EP29" s="138" t="e">
        <f t="shared" si="383"/>
        <v>#DIV/0!</v>
      </c>
      <c r="EQ29" s="34" t="e">
        <f t="shared" si="384"/>
        <v>#DIV/0!</v>
      </c>
      <c r="ER29" s="34" t="e">
        <f t="shared" si="385"/>
        <v>#DIV/0!</v>
      </c>
      <c r="ES29" s="34" t="e">
        <f t="shared" si="386"/>
        <v>#DIV/0!</v>
      </c>
      <c r="ET29" s="139" t="e">
        <f t="shared" si="387"/>
        <v>#DIV/0!</v>
      </c>
      <c r="EU29" s="138" t="e">
        <f t="shared" si="388"/>
        <v>#DIV/0!</v>
      </c>
      <c r="EV29" s="34" t="e">
        <f t="shared" si="389"/>
        <v>#DIV/0!</v>
      </c>
      <c r="EW29" s="34" t="e">
        <f t="shared" si="390"/>
        <v>#DIV/0!</v>
      </c>
      <c r="EX29" s="34" t="e">
        <f t="shared" si="391"/>
        <v>#DIV/0!</v>
      </c>
      <c r="EY29" s="34" t="e">
        <f t="shared" si="392"/>
        <v>#DIV/0!</v>
      </c>
      <c r="EZ29" s="34" t="e">
        <f t="shared" si="393"/>
        <v>#DIV/0!</v>
      </c>
      <c r="FA29" s="34" t="e">
        <f t="shared" si="394"/>
        <v>#DIV/0!</v>
      </c>
      <c r="FB29" s="34" t="e">
        <f t="shared" si="395"/>
        <v>#DIV/0!</v>
      </c>
      <c r="FC29" s="34" t="e">
        <f t="shared" si="396"/>
        <v>#DIV/0!</v>
      </c>
      <c r="FD29" s="34" t="e">
        <f t="shared" si="397"/>
        <v>#DIV/0!</v>
      </c>
      <c r="FE29" s="34" t="e">
        <f t="shared" si="398"/>
        <v>#DIV/0!</v>
      </c>
      <c r="FF29" s="139" t="e">
        <f t="shared" si="399"/>
        <v>#DIV/0!</v>
      </c>
    </row>
    <row r="30" spans="2:162" x14ac:dyDescent="0.25">
      <c r="B30" s="127">
        <f t="shared" si="400"/>
        <v>45519</v>
      </c>
      <c r="C30" s="266"/>
      <c r="D30" s="53"/>
      <c r="E30" s="129"/>
      <c r="F30" s="25"/>
      <c r="G30" s="25"/>
      <c r="H30" s="150"/>
      <c r="I30" s="24"/>
      <c r="J30" s="151"/>
      <c r="K30" s="151"/>
      <c r="L30" s="152">
        <v>16.2</v>
      </c>
      <c r="M30" s="152" t="e">
        <f t="shared" si="294"/>
        <v>#DIV/0!</v>
      </c>
      <c r="N30" s="153" t="e">
        <f t="shared" si="295"/>
        <v>#DIV/0!</v>
      </c>
      <c r="O30" s="25"/>
      <c r="P30" s="95"/>
      <c r="Q30" s="41"/>
      <c r="R30" s="41"/>
      <c r="S30" s="41"/>
      <c r="T30" s="41"/>
      <c r="U30" s="41"/>
      <c r="V30" s="41"/>
      <c r="W30" s="42"/>
      <c r="X30" s="95"/>
      <c r="Y30" s="41"/>
      <c r="Z30" s="41"/>
      <c r="AA30" s="42"/>
      <c r="AB30" s="95"/>
      <c r="AC30" s="41"/>
      <c r="AD30" s="41"/>
      <c r="AE30" s="41"/>
      <c r="AF30" s="41"/>
      <c r="AG30" s="42"/>
      <c r="AH30" s="95"/>
      <c r="AI30" s="41"/>
      <c r="AJ30" s="41"/>
      <c r="AK30" s="41"/>
      <c r="AL30" s="42"/>
      <c r="AM30" s="95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2"/>
      <c r="BB30" s="95" t="e">
        <f t="shared" si="296"/>
        <v>#DIV/0!</v>
      </c>
      <c r="BC30" s="41" t="e">
        <f t="shared" si="297"/>
        <v>#DIV/0!</v>
      </c>
      <c r="BD30" s="41" t="e">
        <f t="shared" si="298"/>
        <v>#DIV/0!</v>
      </c>
      <c r="BE30" s="41" t="e">
        <f t="shared" si="299"/>
        <v>#DIV/0!</v>
      </c>
      <c r="BF30" s="41" t="e">
        <f t="shared" si="300"/>
        <v>#DIV/0!</v>
      </c>
      <c r="BG30" s="41" t="e">
        <f t="shared" si="301"/>
        <v>#DIV/0!</v>
      </c>
      <c r="BH30" s="41" t="e">
        <f t="shared" si="302"/>
        <v>#DIV/0!</v>
      </c>
      <c r="BI30" s="42" t="e">
        <f t="shared" si="303"/>
        <v>#DIV/0!</v>
      </c>
      <c r="BJ30" s="95" t="e">
        <f t="shared" si="304"/>
        <v>#DIV/0!</v>
      </c>
      <c r="BK30" s="41" t="e">
        <f t="shared" si="305"/>
        <v>#DIV/0!</v>
      </c>
      <c r="BL30" s="41" t="e">
        <f t="shared" si="306"/>
        <v>#DIV/0!</v>
      </c>
      <c r="BM30" s="42" t="e">
        <f t="shared" si="307"/>
        <v>#DIV/0!</v>
      </c>
      <c r="BN30" s="95" t="e">
        <f t="shared" si="308"/>
        <v>#DIV/0!</v>
      </c>
      <c r="BO30" s="41" t="e">
        <f t="shared" si="309"/>
        <v>#DIV/0!</v>
      </c>
      <c r="BP30" s="41" t="e">
        <f t="shared" si="310"/>
        <v>#DIV/0!</v>
      </c>
      <c r="BQ30" s="41" t="e">
        <f t="shared" si="311"/>
        <v>#DIV/0!</v>
      </c>
      <c r="BR30" s="41" t="e">
        <f t="shared" si="312"/>
        <v>#DIV/0!</v>
      </c>
      <c r="BS30" s="42" t="e">
        <f t="shared" si="313"/>
        <v>#DIV/0!</v>
      </c>
      <c r="BT30" s="95" t="e">
        <f t="shared" si="314"/>
        <v>#DIV/0!</v>
      </c>
      <c r="BU30" s="41" t="e">
        <f t="shared" si="315"/>
        <v>#DIV/0!</v>
      </c>
      <c r="BV30" s="41" t="e">
        <f t="shared" si="316"/>
        <v>#DIV/0!</v>
      </c>
      <c r="BW30" s="41" t="e">
        <f t="shared" si="317"/>
        <v>#DIV/0!</v>
      </c>
      <c r="BX30" s="42" t="e">
        <f t="shared" si="318"/>
        <v>#DIV/0!</v>
      </c>
      <c r="BY30" s="95" t="e">
        <f t="shared" si="319"/>
        <v>#DIV/0!</v>
      </c>
      <c r="BZ30" s="41" t="e">
        <f t="shared" si="320"/>
        <v>#DIV/0!</v>
      </c>
      <c r="CA30" s="41" t="e">
        <f t="shared" si="321"/>
        <v>#DIV/0!</v>
      </c>
      <c r="CB30" s="41" t="e">
        <f t="shared" si="322"/>
        <v>#DIV/0!</v>
      </c>
      <c r="CC30" s="41" t="e">
        <f t="shared" si="323"/>
        <v>#DIV/0!</v>
      </c>
      <c r="CD30" s="41" t="e">
        <f t="shared" si="324"/>
        <v>#DIV/0!</v>
      </c>
      <c r="CE30" s="41" t="e">
        <f t="shared" si="325"/>
        <v>#DIV/0!</v>
      </c>
      <c r="CF30" s="41" t="e">
        <f t="shared" si="326"/>
        <v>#DIV/0!</v>
      </c>
      <c r="CG30" s="41" t="e">
        <f t="shared" si="327"/>
        <v>#DIV/0!</v>
      </c>
      <c r="CH30" s="41" t="e">
        <f t="shared" si="328"/>
        <v>#DIV/0!</v>
      </c>
      <c r="CI30" s="41" t="e">
        <f t="shared" si="329"/>
        <v>#DIV/0!</v>
      </c>
      <c r="CJ30" s="42" t="e">
        <f t="shared" si="330"/>
        <v>#DIV/0!</v>
      </c>
      <c r="CL30" s="36"/>
      <c r="CN30" s="95"/>
      <c r="CO30" s="41"/>
      <c r="CP30" s="41"/>
      <c r="CQ30" s="41"/>
      <c r="CR30" s="41"/>
      <c r="CS30" s="41"/>
      <c r="CT30" s="41"/>
      <c r="CU30" s="42"/>
      <c r="CV30" s="95"/>
      <c r="CW30" s="41"/>
      <c r="CX30" s="41"/>
      <c r="CY30" s="42"/>
      <c r="CZ30" s="95"/>
      <c r="DA30" s="41"/>
      <c r="DB30" s="41"/>
      <c r="DC30" s="41"/>
      <c r="DD30" s="41"/>
      <c r="DE30" s="42"/>
      <c r="DF30" s="95"/>
      <c r="DG30" s="41"/>
      <c r="DH30" s="41"/>
      <c r="DI30" s="41"/>
      <c r="DJ30" s="42"/>
      <c r="DK30" s="95"/>
      <c r="DL30" s="41"/>
      <c r="DM30" s="41"/>
      <c r="DN30" s="41"/>
      <c r="DO30" s="41"/>
      <c r="DP30" s="41"/>
      <c r="DQ30" s="41"/>
      <c r="DR30" s="41"/>
      <c r="DS30" s="41"/>
      <c r="DT30" s="41"/>
      <c r="DU30" s="41"/>
      <c r="DV30" s="42"/>
      <c r="DX30" s="138" t="e">
        <f t="shared" si="365"/>
        <v>#DIV/0!</v>
      </c>
      <c r="DY30" s="34" t="e">
        <f t="shared" si="366"/>
        <v>#DIV/0!</v>
      </c>
      <c r="DZ30" s="34" t="e">
        <f t="shared" si="367"/>
        <v>#DIV/0!</v>
      </c>
      <c r="EA30" s="34" t="e">
        <f t="shared" si="368"/>
        <v>#DIV/0!</v>
      </c>
      <c r="EB30" s="34" t="e">
        <f t="shared" si="369"/>
        <v>#DIV/0!</v>
      </c>
      <c r="EC30" s="34" t="e">
        <f t="shared" si="370"/>
        <v>#DIV/0!</v>
      </c>
      <c r="ED30" s="34" t="e">
        <f t="shared" si="371"/>
        <v>#DIV/0!</v>
      </c>
      <c r="EE30" s="139" t="e">
        <f t="shared" si="372"/>
        <v>#DIV/0!</v>
      </c>
      <c r="EF30" s="138" t="e">
        <f t="shared" si="373"/>
        <v>#DIV/0!</v>
      </c>
      <c r="EG30" s="34" t="e">
        <f t="shared" si="374"/>
        <v>#DIV/0!</v>
      </c>
      <c r="EH30" s="34" t="e">
        <f t="shared" si="375"/>
        <v>#DIV/0!</v>
      </c>
      <c r="EI30" s="139" t="e">
        <f t="shared" si="376"/>
        <v>#DIV/0!</v>
      </c>
      <c r="EJ30" s="138" t="e">
        <f t="shared" si="377"/>
        <v>#DIV/0!</v>
      </c>
      <c r="EK30" s="34" t="e">
        <f t="shared" si="378"/>
        <v>#DIV/0!</v>
      </c>
      <c r="EL30" s="34" t="e">
        <f t="shared" si="379"/>
        <v>#DIV/0!</v>
      </c>
      <c r="EM30" s="34" t="e">
        <f t="shared" si="380"/>
        <v>#DIV/0!</v>
      </c>
      <c r="EN30" s="34" t="e">
        <f t="shared" si="381"/>
        <v>#DIV/0!</v>
      </c>
      <c r="EO30" s="139" t="e">
        <f t="shared" si="382"/>
        <v>#DIV/0!</v>
      </c>
      <c r="EP30" s="138" t="e">
        <f t="shared" si="383"/>
        <v>#DIV/0!</v>
      </c>
      <c r="EQ30" s="34" t="e">
        <f t="shared" si="384"/>
        <v>#DIV/0!</v>
      </c>
      <c r="ER30" s="34" t="e">
        <f t="shared" si="385"/>
        <v>#DIV/0!</v>
      </c>
      <c r="ES30" s="34" t="e">
        <f t="shared" si="386"/>
        <v>#DIV/0!</v>
      </c>
      <c r="ET30" s="139" t="e">
        <f t="shared" si="387"/>
        <v>#DIV/0!</v>
      </c>
      <c r="EU30" s="138" t="e">
        <f t="shared" si="388"/>
        <v>#DIV/0!</v>
      </c>
      <c r="EV30" s="34" t="e">
        <f t="shared" si="389"/>
        <v>#DIV/0!</v>
      </c>
      <c r="EW30" s="34" t="e">
        <f t="shared" si="390"/>
        <v>#DIV/0!</v>
      </c>
      <c r="EX30" s="34" t="e">
        <f t="shared" si="391"/>
        <v>#DIV/0!</v>
      </c>
      <c r="EY30" s="34" t="e">
        <f t="shared" si="392"/>
        <v>#DIV/0!</v>
      </c>
      <c r="EZ30" s="34" t="e">
        <f t="shared" si="393"/>
        <v>#DIV/0!</v>
      </c>
      <c r="FA30" s="34" t="e">
        <f t="shared" si="394"/>
        <v>#DIV/0!</v>
      </c>
      <c r="FB30" s="34" t="e">
        <f t="shared" si="395"/>
        <v>#DIV/0!</v>
      </c>
      <c r="FC30" s="34" t="e">
        <f t="shared" si="396"/>
        <v>#DIV/0!</v>
      </c>
      <c r="FD30" s="34" t="e">
        <f t="shared" si="397"/>
        <v>#DIV/0!</v>
      </c>
      <c r="FE30" s="34" t="e">
        <f t="shared" si="398"/>
        <v>#DIV/0!</v>
      </c>
      <c r="FF30" s="139" t="e">
        <f t="shared" si="399"/>
        <v>#DIV/0!</v>
      </c>
    </row>
    <row r="31" spans="2:162" x14ac:dyDescent="0.25">
      <c r="B31" s="127">
        <f t="shared" si="400"/>
        <v>45520</v>
      </c>
      <c r="C31" s="266"/>
      <c r="D31" s="53"/>
      <c r="E31" s="129"/>
      <c r="F31" s="25"/>
      <c r="G31" s="25"/>
      <c r="H31" s="150"/>
      <c r="I31" s="24"/>
      <c r="J31" s="151"/>
      <c r="K31" s="151"/>
      <c r="L31" s="152"/>
      <c r="M31" s="152" t="e">
        <f t="shared" si="294"/>
        <v>#DIV/0!</v>
      </c>
      <c r="N31" s="153" t="e">
        <f t="shared" si="295"/>
        <v>#DIV/0!</v>
      </c>
      <c r="O31" s="25"/>
      <c r="P31" s="95"/>
      <c r="Q31" s="41"/>
      <c r="R31" s="41"/>
      <c r="S31" s="41"/>
      <c r="T31" s="41"/>
      <c r="U31" s="41"/>
      <c r="V31" s="41"/>
      <c r="W31" s="42"/>
      <c r="X31" s="95"/>
      <c r="Y31" s="41"/>
      <c r="Z31" s="41"/>
      <c r="AA31" s="42"/>
      <c r="AB31" s="95"/>
      <c r="AC31" s="41"/>
      <c r="AD31" s="41"/>
      <c r="AE31" s="41"/>
      <c r="AF31" s="41"/>
      <c r="AG31" s="42"/>
      <c r="AH31" s="95"/>
      <c r="AI31" s="41"/>
      <c r="AJ31" s="41"/>
      <c r="AK31" s="41"/>
      <c r="AL31" s="42"/>
      <c r="AM31" s="95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2"/>
      <c r="BB31" s="95" t="e">
        <f t="shared" si="296"/>
        <v>#DIV/0!</v>
      </c>
      <c r="BC31" s="41" t="e">
        <f t="shared" si="297"/>
        <v>#DIV/0!</v>
      </c>
      <c r="BD31" s="41" t="e">
        <f t="shared" si="298"/>
        <v>#DIV/0!</v>
      </c>
      <c r="BE31" s="41" t="e">
        <f t="shared" si="299"/>
        <v>#DIV/0!</v>
      </c>
      <c r="BF31" s="41" t="e">
        <f t="shared" si="300"/>
        <v>#DIV/0!</v>
      </c>
      <c r="BG31" s="41" t="e">
        <f t="shared" si="301"/>
        <v>#DIV/0!</v>
      </c>
      <c r="BH31" s="41" t="e">
        <f t="shared" si="302"/>
        <v>#DIV/0!</v>
      </c>
      <c r="BI31" s="42" t="e">
        <f t="shared" si="303"/>
        <v>#DIV/0!</v>
      </c>
      <c r="BJ31" s="95" t="e">
        <f t="shared" si="304"/>
        <v>#DIV/0!</v>
      </c>
      <c r="BK31" s="41" t="e">
        <f t="shared" si="305"/>
        <v>#DIV/0!</v>
      </c>
      <c r="BL31" s="41" t="e">
        <f t="shared" si="306"/>
        <v>#DIV/0!</v>
      </c>
      <c r="BM31" s="42" t="e">
        <f t="shared" si="307"/>
        <v>#DIV/0!</v>
      </c>
      <c r="BN31" s="95" t="e">
        <f t="shared" si="308"/>
        <v>#DIV/0!</v>
      </c>
      <c r="BO31" s="41" t="e">
        <f t="shared" si="309"/>
        <v>#DIV/0!</v>
      </c>
      <c r="BP31" s="41" t="e">
        <f t="shared" si="310"/>
        <v>#DIV/0!</v>
      </c>
      <c r="BQ31" s="41" t="e">
        <f t="shared" si="311"/>
        <v>#DIV/0!</v>
      </c>
      <c r="BR31" s="41" t="e">
        <f t="shared" si="312"/>
        <v>#DIV/0!</v>
      </c>
      <c r="BS31" s="42" t="e">
        <f t="shared" si="313"/>
        <v>#DIV/0!</v>
      </c>
      <c r="BT31" s="95" t="e">
        <f t="shared" si="314"/>
        <v>#DIV/0!</v>
      </c>
      <c r="BU31" s="41" t="e">
        <f t="shared" si="315"/>
        <v>#DIV/0!</v>
      </c>
      <c r="BV31" s="41" t="e">
        <f t="shared" si="316"/>
        <v>#DIV/0!</v>
      </c>
      <c r="BW31" s="41" t="e">
        <f t="shared" si="317"/>
        <v>#DIV/0!</v>
      </c>
      <c r="BX31" s="42" t="e">
        <f t="shared" si="318"/>
        <v>#DIV/0!</v>
      </c>
      <c r="BY31" s="95" t="e">
        <f t="shared" si="319"/>
        <v>#DIV/0!</v>
      </c>
      <c r="BZ31" s="41" t="e">
        <f t="shared" si="320"/>
        <v>#DIV/0!</v>
      </c>
      <c r="CA31" s="41" t="e">
        <f t="shared" si="321"/>
        <v>#DIV/0!</v>
      </c>
      <c r="CB31" s="41" t="e">
        <f t="shared" si="322"/>
        <v>#DIV/0!</v>
      </c>
      <c r="CC31" s="41" t="e">
        <f t="shared" si="323"/>
        <v>#DIV/0!</v>
      </c>
      <c r="CD31" s="41" t="e">
        <f t="shared" si="324"/>
        <v>#DIV/0!</v>
      </c>
      <c r="CE31" s="41" t="e">
        <f t="shared" si="325"/>
        <v>#DIV/0!</v>
      </c>
      <c r="CF31" s="41" t="e">
        <f t="shared" si="326"/>
        <v>#DIV/0!</v>
      </c>
      <c r="CG31" s="41" t="e">
        <f t="shared" si="327"/>
        <v>#DIV/0!</v>
      </c>
      <c r="CH31" s="41" t="e">
        <f t="shared" si="328"/>
        <v>#DIV/0!</v>
      </c>
      <c r="CI31" s="41" t="e">
        <f t="shared" si="329"/>
        <v>#DIV/0!</v>
      </c>
      <c r="CJ31" s="42" t="e">
        <f t="shared" si="330"/>
        <v>#DIV/0!</v>
      </c>
      <c r="CL31" s="36"/>
      <c r="CN31" s="95"/>
      <c r="CO31" s="41"/>
      <c r="CP31" s="41"/>
      <c r="CQ31" s="41"/>
      <c r="CR31" s="41"/>
      <c r="CS31" s="41"/>
      <c r="CT31" s="41"/>
      <c r="CU31" s="42"/>
      <c r="CV31" s="95"/>
      <c r="CW31" s="41"/>
      <c r="CX31" s="41"/>
      <c r="CY31" s="42"/>
      <c r="CZ31" s="95"/>
      <c r="DA31" s="41"/>
      <c r="DB31" s="41"/>
      <c r="DC31" s="41"/>
      <c r="DD31" s="41"/>
      <c r="DE31" s="42"/>
      <c r="DF31" s="95"/>
      <c r="DG31" s="41"/>
      <c r="DH31" s="41"/>
      <c r="DI31" s="41"/>
      <c r="DJ31" s="42"/>
      <c r="DK31" s="95"/>
      <c r="DL31" s="41"/>
      <c r="DM31" s="41"/>
      <c r="DN31" s="41"/>
      <c r="DO31" s="41"/>
      <c r="DP31" s="41"/>
      <c r="DQ31" s="41"/>
      <c r="DR31" s="41"/>
      <c r="DS31" s="41"/>
      <c r="DT31" s="41"/>
      <c r="DU31" s="41"/>
      <c r="DV31" s="42"/>
      <c r="DX31" s="138" t="e">
        <f t="shared" si="365"/>
        <v>#DIV/0!</v>
      </c>
      <c r="DY31" s="34" t="e">
        <f t="shared" si="366"/>
        <v>#DIV/0!</v>
      </c>
      <c r="DZ31" s="34" t="e">
        <f t="shared" si="367"/>
        <v>#DIV/0!</v>
      </c>
      <c r="EA31" s="34" t="e">
        <f t="shared" si="368"/>
        <v>#DIV/0!</v>
      </c>
      <c r="EB31" s="34" t="e">
        <f t="shared" si="369"/>
        <v>#DIV/0!</v>
      </c>
      <c r="EC31" s="34" t="e">
        <f t="shared" si="370"/>
        <v>#DIV/0!</v>
      </c>
      <c r="ED31" s="34" t="e">
        <f t="shared" si="371"/>
        <v>#DIV/0!</v>
      </c>
      <c r="EE31" s="139" t="e">
        <f t="shared" si="372"/>
        <v>#DIV/0!</v>
      </c>
      <c r="EF31" s="138" t="e">
        <f t="shared" si="373"/>
        <v>#DIV/0!</v>
      </c>
      <c r="EG31" s="34" t="e">
        <f t="shared" si="374"/>
        <v>#DIV/0!</v>
      </c>
      <c r="EH31" s="34" t="e">
        <f t="shared" si="375"/>
        <v>#DIV/0!</v>
      </c>
      <c r="EI31" s="139" t="e">
        <f t="shared" si="376"/>
        <v>#DIV/0!</v>
      </c>
      <c r="EJ31" s="138" t="e">
        <f t="shared" si="377"/>
        <v>#DIV/0!</v>
      </c>
      <c r="EK31" s="34" t="e">
        <f t="shared" si="378"/>
        <v>#DIV/0!</v>
      </c>
      <c r="EL31" s="34" t="e">
        <f t="shared" si="379"/>
        <v>#DIV/0!</v>
      </c>
      <c r="EM31" s="34" t="e">
        <f t="shared" si="380"/>
        <v>#DIV/0!</v>
      </c>
      <c r="EN31" s="34" t="e">
        <f t="shared" si="381"/>
        <v>#DIV/0!</v>
      </c>
      <c r="EO31" s="139" t="e">
        <f t="shared" si="382"/>
        <v>#DIV/0!</v>
      </c>
      <c r="EP31" s="138" t="e">
        <f t="shared" si="383"/>
        <v>#DIV/0!</v>
      </c>
      <c r="EQ31" s="34" t="e">
        <f t="shared" si="384"/>
        <v>#DIV/0!</v>
      </c>
      <c r="ER31" s="34" t="e">
        <f t="shared" si="385"/>
        <v>#DIV/0!</v>
      </c>
      <c r="ES31" s="34" t="e">
        <f t="shared" si="386"/>
        <v>#DIV/0!</v>
      </c>
      <c r="ET31" s="139" t="e">
        <f t="shared" si="387"/>
        <v>#DIV/0!</v>
      </c>
      <c r="EU31" s="138" t="e">
        <f t="shared" si="388"/>
        <v>#DIV/0!</v>
      </c>
      <c r="EV31" s="34" t="e">
        <f t="shared" si="389"/>
        <v>#DIV/0!</v>
      </c>
      <c r="EW31" s="34" t="e">
        <f t="shared" si="390"/>
        <v>#DIV/0!</v>
      </c>
      <c r="EX31" s="34" t="e">
        <f t="shared" si="391"/>
        <v>#DIV/0!</v>
      </c>
      <c r="EY31" s="34" t="e">
        <f t="shared" si="392"/>
        <v>#DIV/0!</v>
      </c>
      <c r="EZ31" s="34" t="e">
        <f t="shared" si="393"/>
        <v>#DIV/0!</v>
      </c>
      <c r="FA31" s="34" t="e">
        <f t="shared" si="394"/>
        <v>#DIV/0!</v>
      </c>
      <c r="FB31" s="34" t="e">
        <f t="shared" si="395"/>
        <v>#DIV/0!</v>
      </c>
      <c r="FC31" s="34" t="e">
        <f t="shared" si="396"/>
        <v>#DIV/0!</v>
      </c>
      <c r="FD31" s="34" t="e">
        <f t="shared" si="397"/>
        <v>#DIV/0!</v>
      </c>
      <c r="FE31" s="34" t="e">
        <f t="shared" si="398"/>
        <v>#DIV/0!</v>
      </c>
      <c r="FF31" s="139" t="e">
        <f t="shared" si="399"/>
        <v>#DIV/0!</v>
      </c>
    </row>
    <row r="32" spans="2:162" x14ac:dyDescent="0.25">
      <c r="B32" s="127">
        <f t="shared" si="400"/>
        <v>45521</v>
      </c>
      <c r="C32" s="266"/>
      <c r="D32" s="53"/>
      <c r="E32" s="129"/>
      <c r="F32" s="25"/>
      <c r="G32" s="25"/>
      <c r="H32" s="150"/>
      <c r="I32" s="24"/>
      <c r="J32" s="151"/>
      <c r="K32" s="151"/>
      <c r="L32" s="152">
        <v>16.100000000000001</v>
      </c>
      <c r="M32" s="152" t="e">
        <f t="shared" si="294"/>
        <v>#DIV/0!</v>
      </c>
      <c r="N32" s="153" t="e">
        <f t="shared" si="295"/>
        <v>#DIV/0!</v>
      </c>
      <c r="O32" s="25"/>
      <c r="P32" s="95"/>
      <c r="Q32" s="41"/>
      <c r="R32" s="41"/>
      <c r="S32" s="41"/>
      <c r="T32" s="41"/>
      <c r="U32" s="41"/>
      <c r="V32" s="41"/>
      <c r="W32" s="42"/>
      <c r="X32" s="95"/>
      <c r="Y32" s="41"/>
      <c r="Z32" s="41"/>
      <c r="AA32" s="42"/>
      <c r="AB32" s="95"/>
      <c r="AC32" s="41"/>
      <c r="AD32" s="41"/>
      <c r="AE32" s="41"/>
      <c r="AF32" s="41"/>
      <c r="AG32" s="42"/>
      <c r="AH32" s="95"/>
      <c r="AI32" s="41"/>
      <c r="AJ32" s="41"/>
      <c r="AK32" s="41"/>
      <c r="AL32" s="42"/>
      <c r="AM32" s="95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B32" s="95" t="e">
        <f t="shared" si="296"/>
        <v>#DIV/0!</v>
      </c>
      <c r="BC32" s="41" t="e">
        <f t="shared" si="297"/>
        <v>#DIV/0!</v>
      </c>
      <c r="BD32" s="41" t="e">
        <f t="shared" si="298"/>
        <v>#DIV/0!</v>
      </c>
      <c r="BE32" s="41" t="e">
        <f t="shared" si="299"/>
        <v>#DIV/0!</v>
      </c>
      <c r="BF32" s="41" t="e">
        <f t="shared" si="300"/>
        <v>#DIV/0!</v>
      </c>
      <c r="BG32" s="41" t="e">
        <f t="shared" si="301"/>
        <v>#DIV/0!</v>
      </c>
      <c r="BH32" s="41" t="e">
        <f t="shared" si="302"/>
        <v>#DIV/0!</v>
      </c>
      <c r="BI32" s="42" t="e">
        <f t="shared" si="303"/>
        <v>#DIV/0!</v>
      </c>
      <c r="BJ32" s="95" t="e">
        <f t="shared" si="304"/>
        <v>#DIV/0!</v>
      </c>
      <c r="BK32" s="41" t="e">
        <f t="shared" si="305"/>
        <v>#DIV/0!</v>
      </c>
      <c r="BL32" s="41" t="e">
        <f t="shared" si="306"/>
        <v>#DIV/0!</v>
      </c>
      <c r="BM32" s="42" t="e">
        <f t="shared" si="307"/>
        <v>#DIV/0!</v>
      </c>
      <c r="BN32" s="95" t="e">
        <f t="shared" si="308"/>
        <v>#DIV/0!</v>
      </c>
      <c r="BO32" s="41" t="e">
        <f t="shared" si="309"/>
        <v>#DIV/0!</v>
      </c>
      <c r="BP32" s="41" t="e">
        <f t="shared" si="310"/>
        <v>#DIV/0!</v>
      </c>
      <c r="BQ32" s="41" t="e">
        <f t="shared" si="311"/>
        <v>#DIV/0!</v>
      </c>
      <c r="BR32" s="41" t="e">
        <f t="shared" si="312"/>
        <v>#DIV/0!</v>
      </c>
      <c r="BS32" s="42" t="e">
        <f t="shared" si="313"/>
        <v>#DIV/0!</v>
      </c>
      <c r="BT32" s="95" t="e">
        <f t="shared" si="314"/>
        <v>#DIV/0!</v>
      </c>
      <c r="BU32" s="41" t="e">
        <f t="shared" si="315"/>
        <v>#DIV/0!</v>
      </c>
      <c r="BV32" s="41" t="e">
        <f t="shared" si="316"/>
        <v>#DIV/0!</v>
      </c>
      <c r="BW32" s="41" t="e">
        <f t="shared" si="317"/>
        <v>#DIV/0!</v>
      </c>
      <c r="BX32" s="42" t="e">
        <f t="shared" si="318"/>
        <v>#DIV/0!</v>
      </c>
      <c r="BY32" s="95" t="e">
        <f t="shared" si="319"/>
        <v>#DIV/0!</v>
      </c>
      <c r="BZ32" s="41" t="e">
        <f t="shared" si="320"/>
        <v>#DIV/0!</v>
      </c>
      <c r="CA32" s="41" t="e">
        <f t="shared" si="321"/>
        <v>#DIV/0!</v>
      </c>
      <c r="CB32" s="41" t="e">
        <f t="shared" si="322"/>
        <v>#DIV/0!</v>
      </c>
      <c r="CC32" s="41" t="e">
        <f t="shared" si="323"/>
        <v>#DIV/0!</v>
      </c>
      <c r="CD32" s="41" t="e">
        <f t="shared" si="324"/>
        <v>#DIV/0!</v>
      </c>
      <c r="CE32" s="41" t="e">
        <f t="shared" si="325"/>
        <v>#DIV/0!</v>
      </c>
      <c r="CF32" s="41" t="e">
        <f t="shared" si="326"/>
        <v>#DIV/0!</v>
      </c>
      <c r="CG32" s="41" t="e">
        <f t="shared" si="327"/>
        <v>#DIV/0!</v>
      </c>
      <c r="CH32" s="41" t="e">
        <f t="shared" si="328"/>
        <v>#DIV/0!</v>
      </c>
      <c r="CI32" s="41" t="e">
        <f t="shared" si="329"/>
        <v>#DIV/0!</v>
      </c>
      <c r="CJ32" s="42" t="e">
        <f t="shared" si="330"/>
        <v>#DIV/0!</v>
      </c>
      <c r="CL32" s="36">
        <v>2</v>
      </c>
      <c r="CN32" s="95" t="e">
        <f t="shared" ref="CN32" si="401">AVERAGE(BB32:BB33)*$CL32</f>
        <v>#DIV/0!</v>
      </c>
      <c r="CO32" s="41" t="e">
        <f t="shared" ref="CO32" si="402">AVERAGE(BC32:BC33)*$CL32</f>
        <v>#DIV/0!</v>
      </c>
      <c r="CP32" s="41" t="e">
        <f t="shared" ref="CP32" si="403">AVERAGE(BD32:BD33)*$CL32</f>
        <v>#DIV/0!</v>
      </c>
      <c r="CQ32" s="41" t="e">
        <f t="shared" ref="CQ32" si="404">AVERAGE(BE32:BE33)*$CL32</f>
        <v>#DIV/0!</v>
      </c>
      <c r="CR32" s="41" t="e">
        <f t="shared" ref="CR32" si="405">AVERAGE(BF32:BF33)*$CL32</f>
        <v>#DIV/0!</v>
      </c>
      <c r="CS32" s="41" t="e">
        <f t="shared" ref="CS32" si="406">AVERAGE(BG32:BG33)*$CL32</f>
        <v>#DIV/0!</v>
      </c>
      <c r="CT32" s="41" t="e">
        <f t="shared" ref="CT32" si="407">AVERAGE(BH32:BH33)*$CL32</f>
        <v>#DIV/0!</v>
      </c>
      <c r="CU32" s="42" t="e">
        <f t="shared" ref="CU32" si="408">AVERAGE(BI32:BI33)*$CL32</f>
        <v>#DIV/0!</v>
      </c>
      <c r="CV32" s="95" t="e">
        <f t="shared" ref="CV32" si="409">AVERAGE(BJ32:BJ33)*$CL32</f>
        <v>#DIV/0!</v>
      </c>
      <c r="CW32" s="41" t="e">
        <f t="shared" ref="CW32" si="410">AVERAGE(BK32:BK33)*$CL32</f>
        <v>#DIV/0!</v>
      </c>
      <c r="CX32" s="41" t="e">
        <f t="shared" ref="CX32" si="411">AVERAGE(BL32:BL33)*$CL32</f>
        <v>#DIV/0!</v>
      </c>
      <c r="CY32" s="42" t="e">
        <f t="shared" ref="CY32" si="412">AVERAGE(BM32:BM33)*$CL32</f>
        <v>#DIV/0!</v>
      </c>
      <c r="CZ32" s="95" t="e">
        <f t="shared" ref="CZ32" si="413">AVERAGE(BN32:BN33)*$CL32</f>
        <v>#DIV/0!</v>
      </c>
      <c r="DA32" s="41" t="e">
        <f t="shared" ref="DA32" si="414">AVERAGE(BO32:BO33)*$CL32</f>
        <v>#DIV/0!</v>
      </c>
      <c r="DB32" s="41" t="e">
        <f t="shared" ref="DB32" si="415">AVERAGE(BP32:BP33)*$CL32</f>
        <v>#DIV/0!</v>
      </c>
      <c r="DC32" s="41" t="e">
        <f t="shared" ref="DC32" si="416">AVERAGE(BQ32:BQ33)*$CL32</f>
        <v>#DIV/0!</v>
      </c>
      <c r="DD32" s="41" t="e">
        <f t="shared" ref="DD32" si="417">AVERAGE(BR32:BR33)*$CL32</f>
        <v>#DIV/0!</v>
      </c>
      <c r="DE32" s="42" t="e">
        <f t="shared" ref="DE32" si="418">AVERAGE(BS32:BS33)*$CL32</f>
        <v>#DIV/0!</v>
      </c>
      <c r="DF32" s="95" t="e">
        <f t="shared" ref="DF32" si="419">AVERAGE(BT32:BT33)*$CL32</f>
        <v>#DIV/0!</v>
      </c>
      <c r="DG32" s="41" t="e">
        <f t="shared" ref="DG32" si="420">AVERAGE(BU32:BU33)*$CL32</f>
        <v>#DIV/0!</v>
      </c>
      <c r="DH32" s="41" t="e">
        <f t="shared" ref="DH32" si="421">AVERAGE(BV32:BV33)*$CL32</f>
        <v>#DIV/0!</v>
      </c>
      <c r="DI32" s="41" t="e">
        <f t="shared" ref="DI32" si="422">AVERAGE(BW32:BW33)*$CL32</f>
        <v>#DIV/0!</v>
      </c>
      <c r="DJ32" s="42" t="e">
        <f t="shared" ref="DJ32" si="423">AVERAGE(BX32:BX33)*$CL32</f>
        <v>#DIV/0!</v>
      </c>
      <c r="DK32" s="95" t="e">
        <f t="shared" ref="DK32" si="424">AVERAGE(BY32:BY33)*$CL32</f>
        <v>#DIV/0!</v>
      </c>
      <c r="DL32" s="41" t="e">
        <f t="shared" ref="DL32" si="425">AVERAGE(BZ32:BZ33)*$CL32</f>
        <v>#DIV/0!</v>
      </c>
      <c r="DM32" s="41" t="e">
        <f t="shared" ref="DM32" si="426">AVERAGE(CA32:CA33)*$CL32</f>
        <v>#DIV/0!</v>
      </c>
      <c r="DN32" s="41" t="e">
        <f t="shared" ref="DN32" si="427">AVERAGE(CB32:CB33)*$CL32</f>
        <v>#DIV/0!</v>
      </c>
      <c r="DO32" s="41" t="e">
        <f t="shared" ref="DO32" si="428">AVERAGE(CC32:CC33)*$CL32</f>
        <v>#DIV/0!</v>
      </c>
      <c r="DP32" s="41" t="e">
        <f t="shared" ref="DP32" si="429">AVERAGE(CD32:CD33)*$CL32</f>
        <v>#DIV/0!</v>
      </c>
      <c r="DQ32" s="41" t="e">
        <f t="shared" ref="DQ32" si="430">AVERAGE(CE32:CE33)*$CL32</f>
        <v>#DIV/0!</v>
      </c>
      <c r="DR32" s="41" t="e">
        <f t="shared" ref="DR32" si="431">AVERAGE(CF32:CF33)*$CL32</f>
        <v>#DIV/0!</v>
      </c>
      <c r="DS32" s="41" t="e">
        <f t="shared" ref="DS32" si="432">AVERAGE(CG32:CG33)*$CL32</f>
        <v>#DIV/0!</v>
      </c>
      <c r="DT32" s="41" t="e">
        <f t="shared" ref="DT32" si="433">AVERAGE(CH32:CH33)*$CL32</f>
        <v>#DIV/0!</v>
      </c>
      <c r="DU32" s="41" t="e">
        <f t="shared" ref="DU32" si="434">AVERAGE(CI32:CI33)*$CL32</f>
        <v>#DIV/0!</v>
      </c>
      <c r="DV32" s="42" t="e">
        <f t="shared" ref="DV32" si="435">AVERAGE(CJ32:CJ33)*$CL32</f>
        <v>#DIV/0!</v>
      </c>
      <c r="DX32" s="138" t="e">
        <f t="shared" si="365"/>
        <v>#DIV/0!</v>
      </c>
      <c r="DY32" s="34" t="e">
        <f t="shared" si="366"/>
        <v>#DIV/0!</v>
      </c>
      <c r="DZ32" s="34" t="e">
        <f t="shared" si="367"/>
        <v>#DIV/0!</v>
      </c>
      <c r="EA32" s="34" t="e">
        <f t="shared" si="368"/>
        <v>#DIV/0!</v>
      </c>
      <c r="EB32" s="34" t="e">
        <f t="shared" si="369"/>
        <v>#DIV/0!</v>
      </c>
      <c r="EC32" s="34" t="e">
        <f t="shared" si="370"/>
        <v>#DIV/0!</v>
      </c>
      <c r="ED32" s="34" t="e">
        <f t="shared" si="371"/>
        <v>#DIV/0!</v>
      </c>
      <c r="EE32" s="139" t="e">
        <f t="shared" si="372"/>
        <v>#DIV/0!</v>
      </c>
      <c r="EF32" s="138" t="e">
        <f t="shared" si="373"/>
        <v>#DIV/0!</v>
      </c>
      <c r="EG32" s="34" t="e">
        <f t="shared" si="374"/>
        <v>#DIV/0!</v>
      </c>
      <c r="EH32" s="34" t="e">
        <f t="shared" si="375"/>
        <v>#DIV/0!</v>
      </c>
      <c r="EI32" s="139" t="e">
        <f t="shared" si="376"/>
        <v>#DIV/0!</v>
      </c>
      <c r="EJ32" s="138" t="e">
        <f t="shared" si="377"/>
        <v>#DIV/0!</v>
      </c>
      <c r="EK32" s="34" t="e">
        <f t="shared" si="378"/>
        <v>#DIV/0!</v>
      </c>
      <c r="EL32" s="34" t="e">
        <f t="shared" si="379"/>
        <v>#DIV/0!</v>
      </c>
      <c r="EM32" s="34" t="e">
        <f t="shared" si="380"/>
        <v>#DIV/0!</v>
      </c>
      <c r="EN32" s="34" t="e">
        <f t="shared" si="381"/>
        <v>#DIV/0!</v>
      </c>
      <c r="EO32" s="139" t="e">
        <f t="shared" si="382"/>
        <v>#DIV/0!</v>
      </c>
      <c r="EP32" s="138" t="e">
        <f t="shared" si="383"/>
        <v>#DIV/0!</v>
      </c>
      <c r="EQ32" s="34" t="e">
        <f t="shared" si="384"/>
        <v>#DIV/0!</v>
      </c>
      <c r="ER32" s="34" t="e">
        <f t="shared" si="385"/>
        <v>#DIV/0!</v>
      </c>
      <c r="ES32" s="34" t="e">
        <f t="shared" si="386"/>
        <v>#DIV/0!</v>
      </c>
      <c r="ET32" s="139" t="e">
        <f t="shared" si="387"/>
        <v>#DIV/0!</v>
      </c>
      <c r="EU32" s="138" t="e">
        <f t="shared" si="388"/>
        <v>#DIV/0!</v>
      </c>
      <c r="EV32" s="34" t="e">
        <f t="shared" si="389"/>
        <v>#DIV/0!</v>
      </c>
      <c r="EW32" s="34" t="e">
        <f t="shared" si="390"/>
        <v>#DIV/0!</v>
      </c>
      <c r="EX32" s="34" t="e">
        <f t="shared" si="391"/>
        <v>#DIV/0!</v>
      </c>
      <c r="EY32" s="34" t="e">
        <f t="shared" si="392"/>
        <v>#DIV/0!</v>
      </c>
      <c r="EZ32" s="34" t="e">
        <f t="shared" si="393"/>
        <v>#DIV/0!</v>
      </c>
      <c r="FA32" s="34" t="e">
        <f t="shared" si="394"/>
        <v>#DIV/0!</v>
      </c>
      <c r="FB32" s="34" t="e">
        <f t="shared" si="395"/>
        <v>#DIV/0!</v>
      </c>
      <c r="FC32" s="34" t="e">
        <f t="shared" si="396"/>
        <v>#DIV/0!</v>
      </c>
      <c r="FD32" s="34" t="e">
        <f t="shared" si="397"/>
        <v>#DIV/0!</v>
      </c>
      <c r="FE32" s="34" t="e">
        <f t="shared" si="398"/>
        <v>#DIV/0!</v>
      </c>
      <c r="FF32" s="139" t="e">
        <f t="shared" si="399"/>
        <v>#DIV/0!</v>
      </c>
    </row>
    <row r="33" spans="2:162" ht="16.5" thickBot="1" x14ac:dyDescent="0.3">
      <c r="B33" s="127">
        <f t="shared" si="400"/>
        <v>45522</v>
      </c>
      <c r="C33" s="267"/>
      <c r="D33" s="100"/>
      <c r="E33" s="131"/>
      <c r="F33" s="25"/>
      <c r="G33" s="25"/>
      <c r="H33" s="171"/>
      <c r="I33" s="172"/>
      <c r="J33" s="173"/>
      <c r="K33" s="173"/>
      <c r="L33" s="174">
        <v>16</v>
      </c>
      <c r="M33" s="174" t="e">
        <f t="shared" si="294"/>
        <v>#DIV/0!</v>
      </c>
      <c r="N33" s="175" t="e">
        <f t="shared" si="295"/>
        <v>#DIV/0!</v>
      </c>
      <c r="O33" s="25"/>
      <c r="P33" s="96"/>
      <c r="Q33" s="76"/>
      <c r="R33" s="76"/>
      <c r="S33" s="76"/>
      <c r="T33" s="76"/>
      <c r="U33" s="76"/>
      <c r="V33" s="76"/>
      <c r="W33" s="77"/>
      <c r="X33" s="96"/>
      <c r="Y33" s="76"/>
      <c r="Z33" s="76"/>
      <c r="AA33" s="77"/>
      <c r="AB33" s="96"/>
      <c r="AC33" s="76"/>
      <c r="AD33" s="76"/>
      <c r="AE33" s="76"/>
      <c r="AF33" s="76"/>
      <c r="AG33" s="77"/>
      <c r="AH33" s="96"/>
      <c r="AI33" s="76"/>
      <c r="AJ33" s="76"/>
      <c r="AK33" s="76"/>
      <c r="AL33" s="77"/>
      <c r="AM33" s="9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7"/>
      <c r="BB33" s="96" t="e">
        <f t="shared" si="296"/>
        <v>#DIV/0!</v>
      </c>
      <c r="BC33" s="76" t="e">
        <f t="shared" si="297"/>
        <v>#DIV/0!</v>
      </c>
      <c r="BD33" s="76" t="e">
        <f t="shared" si="298"/>
        <v>#DIV/0!</v>
      </c>
      <c r="BE33" s="76" t="e">
        <f t="shared" si="299"/>
        <v>#DIV/0!</v>
      </c>
      <c r="BF33" s="76" t="e">
        <f t="shared" si="300"/>
        <v>#DIV/0!</v>
      </c>
      <c r="BG33" s="76" t="e">
        <f t="shared" si="301"/>
        <v>#DIV/0!</v>
      </c>
      <c r="BH33" s="76" t="e">
        <f t="shared" si="302"/>
        <v>#DIV/0!</v>
      </c>
      <c r="BI33" s="77" t="e">
        <f t="shared" si="303"/>
        <v>#DIV/0!</v>
      </c>
      <c r="BJ33" s="96" t="e">
        <f t="shared" si="304"/>
        <v>#DIV/0!</v>
      </c>
      <c r="BK33" s="76" t="e">
        <f t="shared" si="305"/>
        <v>#DIV/0!</v>
      </c>
      <c r="BL33" s="76" t="e">
        <f t="shared" si="306"/>
        <v>#DIV/0!</v>
      </c>
      <c r="BM33" s="77" t="e">
        <f t="shared" si="307"/>
        <v>#DIV/0!</v>
      </c>
      <c r="BN33" s="96" t="e">
        <f t="shared" si="308"/>
        <v>#DIV/0!</v>
      </c>
      <c r="BO33" s="76" t="e">
        <f t="shared" si="309"/>
        <v>#DIV/0!</v>
      </c>
      <c r="BP33" s="76" t="e">
        <f t="shared" si="310"/>
        <v>#DIV/0!</v>
      </c>
      <c r="BQ33" s="76" t="e">
        <f t="shared" si="311"/>
        <v>#DIV/0!</v>
      </c>
      <c r="BR33" s="76" t="e">
        <f t="shared" si="312"/>
        <v>#DIV/0!</v>
      </c>
      <c r="BS33" s="77" t="e">
        <f t="shared" si="313"/>
        <v>#DIV/0!</v>
      </c>
      <c r="BT33" s="96" t="e">
        <f t="shared" si="314"/>
        <v>#DIV/0!</v>
      </c>
      <c r="BU33" s="76" t="e">
        <f t="shared" si="315"/>
        <v>#DIV/0!</v>
      </c>
      <c r="BV33" s="76" t="e">
        <f t="shared" si="316"/>
        <v>#DIV/0!</v>
      </c>
      <c r="BW33" s="76" t="e">
        <f t="shared" si="317"/>
        <v>#DIV/0!</v>
      </c>
      <c r="BX33" s="77" t="e">
        <f t="shared" si="318"/>
        <v>#DIV/0!</v>
      </c>
      <c r="BY33" s="96" t="e">
        <f t="shared" si="319"/>
        <v>#DIV/0!</v>
      </c>
      <c r="BZ33" s="76" t="e">
        <f t="shared" si="320"/>
        <v>#DIV/0!</v>
      </c>
      <c r="CA33" s="76" t="e">
        <f t="shared" si="321"/>
        <v>#DIV/0!</v>
      </c>
      <c r="CB33" s="76" t="e">
        <f t="shared" si="322"/>
        <v>#DIV/0!</v>
      </c>
      <c r="CC33" s="76" t="e">
        <f t="shared" si="323"/>
        <v>#DIV/0!</v>
      </c>
      <c r="CD33" s="76" t="e">
        <f t="shared" si="324"/>
        <v>#DIV/0!</v>
      </c>
      <c r="CE33" s="76" t="e">
        <f t="shared" si="325"/>
        <v>#DIV/0!</v>
      </c>
      <c r="CF33" s="76" t="e">
        <f t="shared" si="326"/>
        <v>#DIV/0!</v>
      </c>
      <c r="CG33" s="76" t="e">
        <f t="shared" si="327"/>
        <v>#DIV/0!</v>
      </c>
      <c r="CH33" s="76" t="e">
        <f t="shared" si="328"/>
        <v>#DIV/0!</v>
      </c>
      <c r="CI33" s="76" t="e">
        <f t="shared" si="329"/>
        <v>#DIV/0!</v>
      </c>
      <c r="CJ33" s="77" t="e">
        <f t="shared" si="330"/>
        <v>#DIV/0!</v>
      </c>
      <c r="CN33" s="96"/>
      <c r="CO33" s="76"/>
      <c r="CP33" s="76"/>
      <c r="CQ33" s="76"/>
      <c r="CR33" s="76"/>
      <c r="CS33" s="76"/>
      <c r="CT33" s="76"/>
      <c r="CU33" s="77"/>
      <c r="CV33" s="96"/>
      <c r="CW33" s="76"/>
      <c r="CX33" s="76"/>
      <c r="CY33" s="77"/>
      <c r="CZ33" s="96"/>
      <c r="DA33" s="76"/>
      <c r="DB33" s="76"/>
      <c r="DC33" s="76"/>
      <c r="DD33" s="76"/>
      <c r="DE33" s="77"/>
      <c r="DF33" s="96"/>
      <c r="DG33" s="76"/>
      <c r="DH33" s="76"/>
      <c r="DI33" s="76"/>
      <c r="DJ33" s="77"/>
      <c r="DK33" s="96"/>
      <c r="DL33" s="76"/>
      <c r="DM33" s="76"/>
      <c r="DN33" s="76"/>
      <c r="DO33" s="76"/>
      <c r="DP33" s="76"/>
      <c r="DQ33" s="76"/>
      <c r="DR33" s="76"/>
      <c r="DS33" s="76"/>
      <c r="DT33" s="76"/>
      <c r="DU33" s="76"/>
      <c r="DV33" s="77"/>
      <c r="DX33" s="140" t="e">
        <f t="shared" si="365"/>
        <v>#DIV/0!</v>
      </c>
      <c r="DY33" s="141" t="e">
        <f t="shared" si="366"/>
        <v>#DIV/0!</v>
      </c>
      <c r="DZ33" s="141" t="e">
        <f t="shared" si="367"/>
        <v>#DIV/0!</v>
      </c>
      <c r="EA33" s="141" t="e">
        <f t="shared" si="368"/>
        <v>#DIV/0!</v>
      </c>
      <c r="EB33" s="141" t="e">
        <f t="shared" si="369"/>
        <v>#DIV/0!</v>
      </c>
      <c r="EC33" s="141" t="e">
        <f t="shared" si="370"/>
        <v>#DIV/0!</v>
      </c>
      <c r="ED33" s="141" t="e">
        <f t="shared" si="371"/>
        <v>#DIV/0!</v>
      </c>
      <c r="EE33" s="142" t="e">
        <f t="shared" si="372"/>
        <v>#DIV/0!</v>
      </c>
      <c r="EF33" s="140" t="e">
        <f t="shared" si="373"/>
        <v>#DIV/0!</v>
      </c>
      <c r="EG33" s="141" t="e">
        <f t="shared" si="374"/>
        <v>#DIV/0!</v>
      </c>
      <c r="EH33" s="141" t="e">
        <f t="shared" si="375"/>
        <v>#DIV/0!</v>
      </c>
      <c r="EI33" s="142" t="e">
        <f t="shared" si="376"/>
        <v>#DIV/0!</v>
      </c>
      <c r="EJ33" s="140" t="e">
        <f t="shared" si="377"/>
        <v>#DIV/0!</v>
      </c>
      <c r="EK33" s="141" t="e">
        <f t="shared" si="378"/>
        <v>#DIV/0!</v>
      </c>
      <c r="EL33" s="141" t="e">
        <f t="shared" si="379"/>
        <v>#DIV/0!</v>
      </c>
      <c r="EM33" s="141" t="e">
        <f t="shared" si="380"/>
        <v>#DIV/0!</v>
      </c>
      <c r="EN33" s="141" t="e">
        <f t="shared" si="381"/>
        <v>#DIV/0!</v>
      </c>
      <c r="EO33" s="142" t="e">
        <f t="shared" si="382"/>
        <v>#DIV/0!</v>
      </c>
      <c r="EP33" s="140" t="e">
        <f t="shared" si="383"/>
        <v>#DIV/0!</v>
      </c>
      <c r="EQ33" s="141" t="e">
        <f t="shared" si="384"/>
        <v>#DIV/0!</v>
      </c>
      <c r="ER33" s="141" t="e">
        <f t="shared" si="385"/>
        <v>#DIV/0!</v>
      </c>
      <c r="ES33" s="141" t="e">
        <f t="shared" si="386"/>
        <v>#DIV/0!</v>
      </c>
      <c r="ET33" s="142" t="e">
        <f t="shared" si="387"/>
        <v>#DIV/0!</v>
      </c>
      <c r="EU33" s="140" t="e">
        <f t="shared" si="388"/>
        <v>#DIV/0!</v>
      </c>
      <c r="EV33" s="141" t="e">
        <f t="shared" si="389"/>
        <v>#DIV/0!</v>
      </c>
      <c r="EW33" s="141" t="e">
        <f t="shared" si="390"/>
        <v>#DIV/0!</v>
      </c>
      <c r="EX33" s="141" t="e">
        <f t="shared" si="391"/>
        <v>#DIV/0!</v>
      </c>
      <c r="EY33" s="141" t="e">
        <f t="shared" si="392"/>
        <v>#DIV/0!</v>
      </c>
      <c r="EZ33" s="141" t="e">
        <f t="shared" si="393"/>
        <v>#DIV/0!</v>
      </c>
      <c r="FA33" s="141" t="e">
        <f t="shared" si="394"/>
        <v>#DIV/0!</v>
      </c>
      <c r="FB33" s="141" t="e">
        <f t="shared" si="395"/>
        <v>#DIV/0!</v>
      </c>
      <c r="FC33" s="141" t="e">
        <f t="shared" si="396"/>
        <v>#DIV/0!</v>
      </c>
      <c r="FD33" s="141" t="e">
        <f t="shared" si="397"/>
        <v>#DIV/0!</v>
      </c>
      <c r="FE33" s="141" t="e">
        <f t="shared" si="398"/>
        <v>#DIV/0!</v>
      </c>
      <c r="FF33" s="142" t="e">
        <f t="shared" si="399"/>
        <v>#DIV/0!</v>
      </c>
    </row>
    <row r="34" spans="2:162" ht="17.25" thickTop="1" thickBot="1" x14ac:dyDescent="0.3">
      <c r="B34" s="279"/>
      <c r="C34" s="268"/>
      <c r="D34" s="101">
        <f t="shared" ref="D34:E34" si="436">SUM(D27:D33)</f>
        <v>0</v>
      </c>
      <c r="E34" s="134">
        <f t="shared" si="436"/>
        <v>0</v>
      </c>
      <c r="F34" s="146"/>
      <c r="G34" s="146"/>
      <c r="H34" s="43"/>
      <c r="I34" s="39"/>
      <c r="J34" s="39"/>
      <c r="K34" s="39"/>
      <c r="L34" s="184"/>
      <c r="M34" s="185"/>
      <c r="N34" s="170" t="e">
        <f>AVERAGE(N27:N31)*5+AVERAGE(N32:N33)*2</f>
        <v>#DIV/0!</v>
      </c>
      <c r="O34" s="146"/>
      <c r="P34" s="68">
        <f t="shared" ref="P34:AZ34" si="437">SUM(P27:P33)</f>
        <v>0</v>
      </c>
      <c r="Q34" s="65">
        <f t="shared" si="437"/>
        <v>0</v>
      </c>
      <c r="R34" s="65">
        <f t="shared" si="437"/>
        <v>0</v>
      </c>
      <c r="S34" s="65">
        <f t="shared" si="437"/>
        <v>0</v>
      </c>
      <c r="T34" s="65">
        <f t="shared" si="437"/>
        <v>0</v>
      </c>
      <c r="U34" s="65">
        <f t="shared" si="437"/>
        <v>0</v>
      </c>
      <c r="V34" s="65">
        <f t="shared" si="437"/>
        <v>0</v>
      </c>
      <c r="W34" s="66">
        <f t="shared" si="437"/>
        <v>0</v>
      </c>
      <c r="X34" s="68">
        <f t="shared" si="437"/>
        <v>0</v>
      </c>
      <c r="Y34" s="65">
        <f t="shared" si="437"/>
        <v>0</v>
      </c>
      <c r="Z34" s="65">
        <f t="shared" si="437"/>
        <v>0</v>
      </c>
      <c r="AA34" s="66">
        <f t="shared" si="437"/>
        <v>0</v>
      </c>
      <c r="AB34" s="68">
        <f t="shared" si="437"/>
        <v>0</v>
      </c>
      <c r="AC34" s="65">
        <f t="shared" si="437"/>
        <v>0</v>
      </c>
      <c r="AD34" s="65">
        <f t="shared" si="437"/>
        <v>0</v>
      </c>
      <c r="AE34" s="65">
        <f t="shared" si="437"/>
        <v>0</v>
      </c>
      <c r="AF34" s="65">
        <f t="shared" si="437"/>
        <v>0</v>
      </c>
      <c r="AG34" s="66">
        <f t="shared" si="437"/>
        <v>0</v>
      </c>
      <c r="AH34" s="68">
        <f t="shared" si="437"/>
        <v>0</v>
      </c>
      <c r="AI34" s="65">
        <f t="shared" si="437"/>
        <v>0</v>
      </c>
      <c r="AJ34" s="65">
        <f t="shared" si="437"/>
        <v>0</v>
      </c>
      <c r="AK34" s="65">
        <f t="shared" si="437"/>
        <v>0</v>
      </c>
      <c r="AL34" s="66">
        <f t="shared" si="437"/>
        <v>0</v>
      </c>
      <c r="AM34" s="68">
        <f t="shared" si="437"/>
        <v>0</v>
      </c>
      <c r="AN34" s="65">
        <f t="shared" si="437"/>
        <v>0</v>
      </c>
      <c r="AO34" s="65">
        <f t="shared" si="437"/>
        <v>0</v>
      </c>
      <c r="AP34" s="65">
        <f t="shared" si="437"/>
        <v>0</v>
      </c>
      <c r="AQ34" s="65">
        <f t="shared" si="437"/>
        <v>0</v>
      </c>
      <c r="AR34" s="65">
        <f t="shared" si="437"/>
        <v>0</v>
      </c>
      <c r="AS34" s="65">
        <f t="shared" si="437"/>
        <v>0</v>
      </c>
      <c r="AT34" s="65">
        <f t="shared" si="437"/>
        <v>0</v>
      </c>
      <c r="AU34" s="65">
        <f t="shared" si="437"/>
        <v>0</v>
      </c>
      <c r="AV34" s="65">
        <f t="shared" si="437"/>
        <v>0</v>
      </c>
      <c r="AW34" s="65">
        <f t="shared" si="437"/>
        <v>0</v>
      </c>
      <c r="AX34" s="65">
        <f t="shared" si="437"/>
        <v>0</v>
      </c>
      <c r="AY34" s="65">
        <f t="shared" si="437"/>
        <v>0</v>
      </c>
      <c r="AZ34" s="66">
        <f t="shared" si="437"/>
        <v>0</v>
      </c>
      <c r="BB34" s="68" t="e">
        <f t="shared" ref="BB34:CJ34" si="438">SUM(BB27:BB33)</f>
        <v>#DIV/0!</v>
      </c>
      <c r="BC34" s="65" t="e">
        <f t="shared" si="438"/>
        <v>#DIV/0!</v>
      </c>
      <c r="BD34" s="65" t="e">
        <f t="shared" si="438"/>
        <v>#DIV/0!</v>
      </c>
      <c r="BE34" s="65" t="e">
        <f t="shared" si="438"/>
        <v>#DIV/0!</v>
      </c>
      <c r="BF34" s="65" t="e">
        <f t="shared" si="438"/>
        <v>#DIV/0!</v>
      </c>
      <c r="BG34" s="65" t="e">
        <f t="shared" si="438"/>
        <v>#DIV/0!</v>
      </c>
      <c r="BH34" s="65" t="e">
        <f t="shared" si="438"/>
        <v>#DIV/0!</v>
      </c>
      <c r="BI34" s="66" t="e">
        <f t="shared" si="438"/>
        <v>#DIV/0!</v>
      </c>
      <c r="BJ34" s="68" t="e">
        <f t="shared" si="438"/>
        <v>#DIV/0!</v>
      </c>
      <c r="BK34" s="65" t="e">
        <f t="shared" si="438"/>
        <v>#DIV/0!</v>
      </c>
      <c r="BL34" s="65" t="e">
        <f t="shared" si="438"/>
        <v>#DIV/0!</v>
      </c>
      <c r="BM34" s="66" t="e">
        <f t="shared" si="438"/>
        <v>#DIV/0!</v>
      </c>
      <c r="BN34" s="68" t="e">
        <f t="shared" si="438"/>
        <v>#DIV/0!</v>
      </c>
      <c r="BO34" s="65" t="e">
        <f t="shared" si="438"/>
        <v>#DIV/0!</v>
      </c>
      <c r="BP34" s="65" t="e">
        <f t="shared" si="438"/>
        <v>#DIV/0!</v>
      </c>
      <c r="BQ34" s="65" t="e">
        <f t="shared" si="438"/>
        <v>#DIV/0!</v>
      </c>
      <c r="BR34" s="65" t="e">
        <f t="shared" si="438"/>
        <v>#DIV/0!</v>
      </c>
      <c r="BS34" s="66" t="e">
        <f t="shared" si="438"/>
        <v>#DIV/0!</v>
      </c>
      <c r="BT34" s="68" t="e">
        <f t="shared" si="438"/>
        <v>#DIV/0!</v>
      </c>
      <c r="BU34" s="65" t="e">
        <f t="shared" si="438"/>
        <v>#DIV/0!</v>
      </c>
      <c r="BV34" s="65" t="e">
        <f t="shared" si="438"/>
        <v>#DIV/0!</v>
      </c>
      <c r="BW34" s="65" t="e">
        <f t="shared" si="438"/>
        <v>#DIV/0!</v>
      </c>
      <c r="BX34" s="66" t="e">
        <f t="shared" si="438"/>
        <v>#DIV/0!</v>
      </c>
      <c r="BY34" s="68" t="e">
        <f t="shared" si="438"/>
        <v>#DIV/0!</v>
      </c>
      <c r="BZ34" s="65" t="e">
        <f t="shared" si="438"/>
        <v>#DIV/0!</v>
      </c>
      <c r="CA34" s="65" t="e">
        <f t="shared" si="438"/>
        <v>#DIV/0!</v>
      </c>
      <c r="CB34" s="65" t="e">
        <f t="shared" si="438"/>
        <v>#DIV/0!</v>
      </c>
      <c r="CC34" s="65" t="e">
        <f t="shared" si="438"/>
        <v>#DIV/0!</v>
      </c>
      <c r="CD34" s="65" t="e">
        <f t="shared" si="438"/>
        <v>#DIV/0!</v>
      </c>
      <c r="CE34" s="65" t="e">
        <f t="shared" si="438"/>
        <v>#DIV/0!</v>
      </c>
      <c r="CF34" s="65" t="e">
        <f t="shared" si="438"/>
        <v>#DIV/0!</v>
      </c>
      <c r="CG34" s="65" t="e">
        <f t="shared" si="438"/>
        <v>#DIV/0!</v>
      </c>
      <c r="CH34" s="65" t="e">
        <f t="shared" si="438"/>
        <v>#DIV/0!</v>
      </c>
      <c r="CI34" s="65" t="e">
        <f t="shared" si="438"/>
        <v>#DIV/0!</v>
      </c>
      <c r="CJ34" s="66" t="e">
        <f t="shared" si="438"/>
        <v>#DIV/0!</v>
      </c>
      <c r="CN34" s="68" t="e">
        <f t="shared" ref="CN34:DV34" si="439">SUM(CN27:CN33)</f>
        <v>#DIV/0!</v>
      </c>
      <c r="CO34" s="65" t="e">
        <f t="shared" si="439"/>
        <v>#DIV/0!</v>
      </c>
      <c r="CP34" s="65" t="e">
        <f t="shared" si="439"/>
        <v>#DIV/0!</v>
      </c>
      <c r="CQ34" s="65" t="e">
        <f t="shared" si="439"/>
        <v>#DIV/0!</v>
      </c>
      <c r="CR34" s="65" t="e">
        <f t="shared" si="439"/>
        <v>#DIV/0!</v>
      </c>
      <c r="CS34" s="65" t="e">
        <f t="shared" si="439"/>
        <v>#DIV/0!</v>
      </c>
      <c r="CT34" s="65" t="e">
        <f t="shared" si="439"/>
        <v>#DIV/0!</v>
      </c>
      <c r="CU34" s="66" t="e">
        <f t="shared" si="439"/>
        <v>#DIV/0!</v>
      </c>
      <c r="CV34" s="68" t="e">
        <f t="shared" si="439"/>
        <v>#DIV/0!</v>
      </c>
      <c r="CW34" s="65" t="e">
        <f t="shared" si="439"/>
        <v>#DIV/0!</v>
      </c>
      <c r="CX34" s="65" t="e">
        <f t="shared" si="439"/>
        <v>#DIV/0!</v>
      </c>
      <c r="CY34" s="66" t="e">
        <f t="shared" si="439"/>
        <v>#DIV/0!</v>
      </c>
      <c r="CZ34" s="68" t="e">
        <f t="shared" si="439"/>
        <v>#DIV/0!</v>
      </c>
      <c r="DA34" s="65" t="e">
        <f t="shared" si="439"/>
        <v>#DIV/0!</v>
      </c>
      <c r="DB34" s="65" t="e">
        <f t="shared" si="439"/>
        <v>#DIV/0!</v>
      </c>
      <c r="DC34" s="65" t="e">
        <f t="shared" si="439"/>
        <v>#DIV/0!</v>
      </c>
      <c r="DD34" s="65" t="e">
        <f t="shared" si="439"/>
        <v>#DIV/0!</v>
      </c>
      <c r="DE34" s="66" t="e">
        <f t="shared" si="439"/>
        <v>#DIV/0!</v>
      </c>
      <c r="DF34" s="68" t="e">
        <f t="shared" si="439"/>
        <v>#DIV/0!</v>
      </c>
      <c r="DG34" s="65" t="e">
        <f t="shared" si="439"/>
        <v>#DIV/0!</v>
      </c>
      <c r="DH34" s="65" t="e">
        <f t="shared" si="439"/>
        <v>#DIV/0!</v>
      </c>
      <c r="DI34" s="65" t="e">
        <f t="shared" si="439"/>
        <v>#DIV/0!</v>
      </c>
      <c r="DJ34" s="66" t="e">
        <f t="shared" si="439"/>
        <v>#DIV/0!</v>
      </c>
      <c r="DK34" s="68" t="e">
        <f t="shared" si="439"/>
        <v>#DIV/0!</v>
      </c>
      <c r="DL34" s="65" t="e">
        <f t="shared" si="439"/>
        <v>#DIV/0!</v>
      </c>
      <c r="DM34" s="65" t="e">
        <f t="shared" si="439"/>
        <v>#DIV/0!</v>
      </c>
      <c r="DN34" s="65" t="e">
        <f t="shared" si="439"/>
        <v>#DIV/0!</v>
      </c>
      <c r="DO34" s="65" t="e">
        <f t="shared" si="439"/>
        <v>#DIV/0!</v>
      </c>
      <c r="DP34" s="65" t="e">
        <f t="shared" si="439"/>
        <v>#DIV/0!</v>
      </c>
      <c r="DQ34" s="65" t="e">
        <f t="shared" si="439"/>
        <v>#DIV/0!</v>
      </c>
      <c r="DR34" s="65" t="e">
        <f t="shared" si="439"/>
        <v>#DIV/0!</v>
      </c>
      <c r="DS34" s="65" t="e">
        <f t="shared" si="439"/>
        <v>#DIV/0!</v>
      </c>
      <c r="DT34" s="65" t="e">
        <f t="shared" si="439"/>
        <v>#DIV/0!</v>
      </c>
      <c r="DU34" s="65" t="e">
        <f t="shared" si="439"/>
        <v>#DIV/0!</v>
      </c>
      <c r="DV34" s="66" t="e">
        <f t="shared" si="439"/>
        <v>#DIV/0!</v>
      </c>
      <c r="DX34" s="143" t="e">
        <f t="shared" ref="DX34:FF34" si="440">AVERAGE(DX27:DX33)</f>
        <v>#DIV/0!</v>
      </c>
      <c r="DY34" s="144" t="e">
        <f t="shared" si="440"/>
        <v>#DIV/0!</v>
      </c>
      <c r="DZ34" s="144" t="e">
        <f t="shared" si="440"/>
        <v>#DIV/0!</v>
      </c>
      <c r="EA34" s="144" t="e">
        <f t="shared" si="440"/>
        <v>#DIV/0!</v>
      </c>
      <c r="EB34" s="144" t="e">
        <f t="shared" si="440"/>
        <v>#DIV/0!</v>
      </c>
      <c r="EC34" s="144" t="e">
        <f t="shared" si="440"/>
        <v>#DIV/0!</v>
      </c>
      <c r="ED34" s="144" t="e">
        <f t="shared" si="440"/>
        <v>#DIV/0!</v>
      </c>
      <c r="EE34" s="145" t="e">
        <f t="shared" si="440"/>
        <v>#DIV/0!</v>
      </c>
      <c r="EF34" s="143" t="e">
        <f t="shared" si="440"/>
        <v>#DIV/0!</v>
      </c>
      <c r="EG34" s="144" t="e">
        <f t="shared" si="440"/>
        <v>#DIV/0!</v>
      </c>
      <c r="EH34" s="144" t="e">
        <f t="shared" si="440"/>
        <v>#DIV/0!</v>
      </c>
      <c r="EI34" s="145" t="e">
        <f t="shared" si="440"/>
        <v>#DIV/0!</v>
      </c>
      <c r="EJ34" s="143" t="e">
        <f t="shared" si="440"/>
        <v>#DIV/0!</v>
      </c>
      <c r="EK34" s="144" t="e">
        <f t="shared" si="440"/>
        <v>#DIV/0!</v>
      </c>
      <c r="EL34" s="144" t="e">
        <f t="shared" si="440"/>
        <v>#DIV/0!</v>
      </c>
      <c r="EM34" s="144" t="e">
        <f t="shared" si="440"/>
        <v>#DIV/0!</v>
      </c>
      <c r="EN34" s="144" t="e">
        <f t="shared" si="440"/>
        <v>#DIV/0!</v>
      </c>
      <c r="EO34" s="144" t="e">
        <f t="shared" si="440"/>
        <v>#DIV/0!</v>
      </c>
      <c r="EP34" s="143" t="e">
        <f t="shared" si="440"/>
        <v>#DIV/0!</v>
      </c>
      <c r="EQ34" s="144" t="e">
        <f t="shared" si="440"/>
        <v>#DIV/0!</v>
      </c>
      <c r="ER34" s="144" t="e">
        <f t="shared" si="440"/>
        <v>#DIV/0!</v>
      </c>
      <c r="ES34" s="144" t="e">
        <f t="shared" si="440"/>
        <v>#DIV/0!</v>
      </c>
      <c r="ET34" s="145" t="e">
        <f t="shared" si="440"/>
        <v>#DIV/0!</v>
      </c>
      <c r="EU34" s="143" t="e">
        <f t="shared" si="440"/>
        <v>#DIV/0!</v>
      </c>
      <c r="EV34" s="144" t="e">
        <f t="shared" si="440"/>
        <v>#DIV/0!</v>
      </c>
      <c r="EW34" s="144" t="e">
        <f t="shared" si="440"/>
        <v>#DIV/0!</v>
      </c>
      <c r="EX34" s="144" t="e">
        <f t="shared" si="440"/>
        <v>#DIV/0!</v>
      </c>
      <c r="EY34" s="144" t="e">
        <f t="shared" si="440"/>
        <v>#DIV/0!</v>
      </c>
      <c r="EZ34" s="144" t="e">
        <f t="shared" si="440"/>
        <v>#DIV/0!</v>
      </c>
      <c r="FA34" s="144" t="e">
        <f t="shared" si="440"/>
        <v>#DIV/0!</v>
      </c>
      <c r="FB34" s="144" t="e">
        <f t="shared" si="440"/>
        <v>#DIV/0!</v>
      </c>
      <c r="FC34" s="144" t="e">
        <f t="shared" si="440"/>
        <v>#DIV/0!</v>
      </c>
      <c r="FD34" s="144" t="e">
        <f t="shared" si="440"/>
        <v>#DIV/0!</v>
      </c>
      <c r="FE34" s="144" t="e">
        <f t="shared" si="440"/>
        <v>#DIV/0!</v>
      </c>
      <c r="FF34" s="145" t="e">
        <f t="shared" si="440"/>
        <v>#DIV/0!</v>
      </c>
    </row>
    <row r="35" spans="2:162" ht="16.5" thickBot="1" x14ac:dyDescent="0.3">
      <c r="H35" s="136"/>
      <c r="I35" s="136"/>
      <c r="J35" s="136"/>
      <c r="K35" s="136"/>
      <c r="L35" s="253" t="s">
        <v>146</v>
      </c>
      <c r="M35" s="136"/>
      <c r="N35" s="136"/>
    </row>
    <row r="36" spans="2:162" x14ac:dyDescent="0.25">
      <c r="B36" s="176">
        <f>B27+7</f>
        <v>45523</v>
      </c>
      <c r="C36" s="265"/>
      <c r="D36" s="103"/>
      <c r="E36" s="156"/>
      <c r="F36" s="25"/>
      <c r="G36" s="25"/>
      <c r="H36" s="179"/>
      <c r="I36" s="180"/>
      <c r="J36" s="181"/>
      <c r="K36" s="181"/>
      <c r="L36" s="182">
        <v>16</v>
      </c>
      <c r="M36" s="182" t="e">
        <f t="shared" ref="M36:M42" si="441">H36/I36*K36*L36*1.5</f>
        <v>#DIV/0!</v>
      </c>
      <c r="N36" s="183" t="e">
        <f t="shared" ref="N36:N42" si="442">H36/I36*J36*L36*N$4</f>
        <v>#DIV/0!</v>
      </c>
      <c r="O36" s="25"/>
      <c r="P36" s="157"/>
      <c r="Q36" s="158"/>
      <c r="R36" s="158"/>
      <c r="S36" s="158"/>
      <c r="T36" s="158"/>
      <c r="U36" s="158"/>
      <c r="V36" s="158"/>
      <c r="W36" s="159"/>
      <c r="X36" s="157"/>
      <c r="Y36" s="158"/>
      <c r="Z36" s="158"/>
      <c r="AA36" s="159"/>
      <c r="AB36" s="157"/>
      <c r="AC36" s="158"/>
      <c r="AD36" s="158"/>
      <c r="AE36" s="158"/>
      <c r="AF36" s="158"/>
      <c r="AG36" s="159"/>
      <c r="AH36" s="157"/>
      <c r="AI36" s="158"/>
      <c r="AJ36" s="158"/>
      <c r="AK36" s="158"/>
      <c r="AL36" s="159"/>
      <c r="AM36" s="157"/>
      <c r="AN36" s="158"/>
      <c r="AO36" s="158"/>
      <c r="AP36" s="158"/>
      <c r="AQ36" s="158"/>
      <c r="AR36" s="158"/>
      <c r="AS36" s="158"/>
      <c r="AT36" s="158"/>
      <c r="AU36" s="158"/>
      <c r="AV36" s="158"/>
      <c r="AW36" s="158"/>
      <c r="AX36" s="158"/>
      <c r="AY36" s="158"/>
      <c r="AZ36" s="159"/>
      <c r="BB36" s="157" t="e">
        <f t="shared" ref="BB36:BB42" si="443">$N36*DX36</f>
        <v>#DIV/0!</v>
      </c>
      <c r="BC36" s="158" t="e">
        <f t="shared" ref="BC36:BC42" si="444">$N36*DY36</f>
        <v>#DIV/0!</v>
      </c>
      <c r="BD36" s="158" t="e">
        <f t="shared" ref="BD36:BD42" si="445">$N36*DZ36</f>
        <v>#DIV/0!</v>
      </c>
      <c r="BE36" s="158" t="e">
        <f t="shared" ref="BE36:BE42" si="446">$N36*EA36</f>
        <v>#DIV/0!</v>
      </c>
      <c r="BF36" s="158" t="e">
        <f t="shared" ref="BF36:BF42" si="447">$N36*EB36</f>
        <v>#DIV/0!</v>
      </c>
      <c r="BG36" s="158" t="e">
        <f t="shared" ref="BG36:BG42" si="448">$N36*EC36</f>
        <v>#DIV/0!</v>
      </c>
      <c r="BH36" s="158" t="e">
        <f t="shared" ref="BH36:BH42" si="449">$N36*ED36</f>
        <v>#DIV/0!</v>
      </c>
      <c r="BI36" s="159" t="e">
        <f t="shared" ref="BI36:BI42" si="450">$N36*EE36</f>
        <v>#DIV/0!</v>
      </c>
      <c r="BJ36" s="157" t="e">
        <f t="shared" ref="BJ36:BJ42" si="451">$N36*EF36</f>
        <v>#DIV/0!</v>
      </c>
      <c r="BK36" s="158" t="e">
        <f t="shared" ref="BK36:BK42" si="452">$N36*EG36</f>
        <v>#DIV/0!</v>
      </c>
      <c r="BL36" s="158" t="e">
        <f t="shared" ref="BL36:BL42" si="453">$N36*EH36</f>
        <v>#DIV/0!</v>
      </c>
      <c r="BM36" s="159" t="e">
        <f t="shared" ref="BM36:BM42" si="454">$N36*EI36</f>
        <v>#DIV/0!</v>
      </c>
      <c r="BN36" s="157" t="e">
        <f t="shared" ref="BN36:BN42" si="455">$N36*EJ36</f>
        <v>#DIV/0!</v>
      </c>
      <c r="BO36" s="158" t="e">
        <f t="shared" ref="BO36:BO42" si="456">$N36*EK36</f>
        <v>#DIV/0!</v>
      </c>
      <c r="BP36" s="158" t="e">
        <f t="shared" ref="BP36:BP42" si="457">$N36*EL36</f>
        <v>#DIV/0!</v>
      </c>
      <c r="BQ36" s="158" t="e">
        <f t="shared" ref="BQ36:BQ42" si="458">$N36*EM36</f>
        <v>#DIV/0!</v>
      </c>
      <c r="BR36" s="158" t="e">
        <f t="shared" ref="BR36:BR42" si="459">$N36*EN36</f>
        <v>#DIV/0!</v>
      </c>
      <c r="BS36" s="159" t="e">
        <f t="shared" ref="BS36:BS42" si="460">$N36*EO36</f>
        <v>#DIV/0!</v>
      </c>
      <c r="BT36" s="157" t="e">
        <f t="shared" ref="BT36:BT42" si="461">$N36*EP36</f>
        <v>#DIV/0!</v>
      </c>
      <c r="BU36" s="158" t="e">
        <f t="shared" ref="BU36:BU42" si="462">$N36*EQ36</f>
        <v>#DIV/0!</v>
      </c>
      <c r="BV36" s="158" t="e">
        <f t="shared" ref="BV36:BV42" si="463">$N36*ER36</f>
        <v>#DIV/0!</v>
      </c>
      <c r="BW36" s="158" t="e">
        <f t="shared" ref="BW36:BW42" si="464">$N36*ES36</f>
        <v>#DIV/0!</v>
      </c>
      <c r="BX36" s="159" t="e">
        <f t="shared" ref="BX36:BX42" si="465">$N36*ET36</f>
        <v>#DIV/0!</v>
      </c>
      <c r="BY36" s="157" t="e">
        <f t="shared" ref="BY36:BY42" si="466">$N36*EU36</f>
        <v>#DIV/0!</v>
      </c>
      <c r="BZ36" s="158" t="e">
        <f t="shared" ref="BZ36:BZ42" si="467">$N36*EV36</f>
        <v>#DIV/0!</v>
      </c>
      <c r="CA36" s="158" t="e">
        <f t="shared" ref="CA36:CA42" si="468">$N36*EW36</f>
        <v>#DIV/0!</v>
      </c>
      <c r="CB36" s="158" t="e">
        <f t="shared" ref="CB36:CB42" si="469">$N36*EX36</f>
        <v>#DIV/0!</v>
      </c>
      <c r="CC36" s="158" t="e">
        <f t="shared" ref="CC36:CC42" si="470">$N36*EY36</f>
        <v>#DIV/0!</v>
      </c>
      <c r="CD36" s="158" t="e">
        <f t="shared" ref="CD36:CD42" si="471">$N36*EZ36</f>
        <v>#DIV/0!</v>
      </c>
      <c r="CE36" s="158" t="e">
        <f t="shared" ref="CE36:CE42" si="472">$N36*FA36</f>
        <v>#DIV/0!</v>
      </c>
      <c r="CF36" s="158" t="e">
        <f t="shared" ref="CF36:CF42" si="473">$N36*FB36</f>
        <v>#DIV/0!</v>
      </c>
      <c r="CG36" s="158" t="e">
        <f t="shared" ref="CG36:CG42" si="474">$N36*FC36</f>
        <v>#DIV/0!</v>
      </c>
      <c r="CH36" s="158" t="e">
        <f t="shared" ref="CH36:CH42" si="475">$N36*FD36</f>
        <v>#DIV/0!</v>
      </c>
      <c r="CI36" s="158" t="e">
        <f t="shared" ref="CI36:CI42" si="476">$N36*FE36</f>
        <v>#DIV/0!</v>
      </c>
      <c r="CJ36" s="159" t="e">
        <f t="shared" ref="CJ36:CJ42" si="477">$N36*FF36</f>
        <v>#DIV/0!</v>
      </c>
      <c r="CL36" s="36">
        <v>5</v>
      </c>
      <c r="CN36" s="157" t="e">
        <f>AVERAGE(BB36:BB40)*$CL36</f>
        <v>#DIV/0!</v>
      </c>
      <c r="CO36" s="158" t="e">
        <f t="shared" ref="CO36" si="478">AVERAGE(BC36:BC40)*$CL36</f>
        <v>#DIV/0!</v>
      </c>
      <c r="CP36" s="158" t="e">
        <f t="shared" ref="CP36" si="479">AVERAGE(BD36:BD40)*$CL36</f>
        <v>#DIV/0!</v>
      </c>
      <c r="CQ36" s="158" t="e">
        <f t="shared" ref="CQ36" si="480">AVERAGE(BE36:BE40)*$CL36</f>
        <v>#DIV/0!</v>
      </c>
      <c r="CR36" s="158" t="e">
        <f t="shared" ref="CR36" si="481">AVERAGE(BF36:BF40)*$CL36</f>
        <v>#DIV/0!</v>
      </c>
      <c r="CS36" s="158" t="e">
        <f t="shared" ref="CS36" si="482">AVERAGE(BG36:BG40)*$CL36</f>
        <v>#DIV/0!</v>
      </c>
      <c r="CT36" s="158" t="e">
        <f t="shared" ref="CT36" si="483">AVERAGE(BH36:BH40)*$CL36</f>
        <v>#DIV/0!</v>
      </c>
      <c r="CU36" s="159" t="e">
        <f t="shared" ref="CU36" si="484">AVERAGE(BI36:BI40)*$CL36</f>
        <v>#DIV/0!</v>
      </c>
      <c r="CV36" s="157" t="e">
        <f t="shared" ref="CV36" si="485">AVERAGE(BJ36:BJ40)*$CL36</f>
        <v>#DIV/0!</v>
      </c>
      <c r="CW36" s="158" t="e">
        <f t="shared" ref="CW36" si="486">AVERAGE(BK36:BK40)*$CL36</f>
        <v>#DIV/0!</v>
      </c>
      <c r="CX36" s="158" t="e">
        <f t="shared" ref="CX36" si="487">AVERAGE(BL36:BL40)*$CL36</f>
        <v>#DIV/0!</v>
      </c>
      <c r="CY36" s="159" t="e">
        <f t="shared" ref="CY36" si="488">AVERAGE(BM36:BM40)*$CL36</f>
        <v>#DIV/0!</v>
      </c>
      <c r="CZ36" s="157" t="e">
        <f t="shared" ref="CZ36" si="489">AVERAGE(BN36:BN40)*$CL36</f>
        <v>#DIV/0!</v>
      </c>
      <c r="DA36" s="158" t="e">
        <f t="shared" ref="DA36" si="490">AVERAGE(BO36:BO40)*$CL36</f>
        <v>#DIV/0!</v>
      </c>
      <c r="DB36" s="158" t="e">
        <f t="shared" ref="DB36" si="491">AVERAGE(BP36:BP40)*$CL36</f>
        <v>#DIV/0!</v>
      </c>
      <c r="DC36" s="158" t="e">
        <f t="shared" ref="DC36" si="492">AVERAGE(BQ36:BQ40)*$CL36</f>
        <v>#DIV/0!</v>
      </c>
      <c r="DD36" s="158" t="e">
        <f t="shared" ref="DD36" si="493">AVERAGE(BR36:BR40)*$CL36</f>
        <v>#DIV/0!</v>
      </c>
      <c r="DE36" s="159" t="e">
        <f t="shared" ref="DE36" si="494">AVERAGE(BS36:BS40)*$CL36</f>
        <v>#DIV/0!</v>
      </c>
      <c r="DF36" s="157" t="e">
        <f t="shared" ref="DF36" si="495">AVERAGE(BT36:BT40)*$CL36</f>
        <v>#DIV/0!</v>
      </c>
      <c r="DG36" s="158" t="e">
        <f t="shared" ref="DG36" si="496">AVERAGE(BU36:BU40)*$CL36</f>
        <v>#DIV/0!</v>
      </c>
      <c r="DH36" s="158" t="e">
        <f t="shared" ref="DH36" si="497">AVERAGE(BV36:BV40)*$CL36</f>
        <v>#DIV/0!</v>
      </c>
      <c r="DI36" s="158" t="e">
        <f t="shared" ref="DI36" si="498">AVERAGE(BW36:BW40)*$CL36</f>
        <v>#DIV/0!</v>
      </c>
      <c r="DJ36" s="159" t="e">
        <f t="shared" ref="DJ36" si="499">AVERAGE(BX36:BX40)*$CL36</f>
        <v>#DIV/0!</v>
      </c>
      <c r="DK36" s="157" t="e">
        <f t="shared" ref="DK36" si="500">AVERAGE(BY36:BY40)*$CL36</f>
        <v>#DIV/0!</v>
      </c>
      <c r="DL36" s="158" t="e">
        <f t="shared" ref="DL36" si="501">AVERAGE(BZ36:BZ40)*$CL36</f>
        <v>#DIV/0!</v>
      </c>
      <c r="DM36" s="158" t="e">
        <f t="shared" ref="DM36" si="502">AVERAGE(CA36:CA40)*$CL36</f>
        <v>#DIV/0!</v>
      </c>
      <c r="DN36" s="158" t="e">
        <f t="shared" ref="DN36" si="503">AVERAGE(CB36:CB40)*$CL36</f>
        <v>#DIV/0!</v>
      </c>
      <c r="DO36" s="158" t="e">
        <f t="shared" ref="DO36" si="504">AVERAGE(CC36:CC40)*$CL36</f>
        <v>#DIV/0!</v>
      </c>
      <c r="DP36" s="158" t="e">
        <f t="shared" ref="DP36" si="505">AVERAGE(CD36:CD40)*$CL36</f>
        <v>#DIV/0!</v>
      </c>
      <c r="DQ36" s="158" t="e">
        <f t="shared" ref="DQ36" si="506">AVERAGE(CE36:CE40)*$CL36</f>
        <v>#DIV/0!</v>
      </c>
      <c r="DR36" s="158" t="e">
        <f t="shared" ref="DR36" si="507">AVERAGE(CF36:CF40)*$CL36</f>
        <v>#DIV/0!</v>
      </c>
      <c r="DS36" s="158" t="e">
        <f t="shared" ref="DS36" si="508">AVERAGE(CG36:CG40)*$CL36</f>
        <v>#DIV/0!</v>
      </c>
      <c r="DT36" s="158" t="e">
        <f t="shared" ref="DT36" si="509">AVERAGE(CH36:CH40)*$CL36</f>
        <v>#DIV/0!</v>
      </c>
      <c r="DU36" s="158" t="e">
        <f t="shared" ref="DU36" si="510">AVERAGE(CI36:CI40)*$CL36</f>
        <v>#DIV/0!</v>
      </c>
      <c r="DV36" s="159" t="e">
        <f t="shared" ref="DV36" si="511">AVERAGE(CJ36:CJ40)*$CL36</f>
        <v>#DIV/0!</v>
      </c>
      <c r="DX36" s="186" t="e">
        <f t="shared" ref="DX36:DX42" si="512">P36/$E36</f>
        <v>#DIV/0!</v>
      </c>
      <c r="DY36" s="187" t="e">
        <f t="shared" ref="DY36:DY42" si="513">Q36/$E36</f>
        <v>#DIV/0!</v>
      </c>
      <c r="DZ36" s="187" t="e">
        <f t="shared" ref="DZ36:DZ42" si="514">R36/$E36</f>
        <v>#DIV/0!</v>
      </c>
      <c r="EA36" s="187" t="e">
        <f t="shared" ref="EA36:EA42" si="515">S36/$E36</f>
        <v>#DIV/0!</v>
      </c>
      <c r="EB36" s="187" t="e">
        <f t="shared" ref="EB36:EB42" si="516">T36/$E36</f>
        <v>#DIV/0!</v>
      </c>
      <c r="EC36" s="187" t="e">
        <f t="shared" ref="EC36:EC42" si="517">U36/$E36</f>
        <v>#DIV/0!</v>
      </c>
      <c r="ED36" s="187" t="e">
        <f t="shared" ref="ED36:ED42" si="518">V36/$E36</f>
        <v>#DIV/0!</v>
      </c>
      <c r="EE36" s="188" t="e">
        <f t="shared" ref="EE36:EE42" si="519">W36/$E36</f>
        <v>#DIV/0!</v>
      </c>
      <c r="EF36" s="186" t="e">
        <f t="shared" ref="EF36:EF42" si="520">X36/$E36</f>
        <v>#DIV/0!</v>
      </c>
      <c r="EG36" s="187" t="e">
        <f t="shared" ref="EG36:EG42" si="521">Y36/$E36</f>
        <v>#DIV/0!</v>
      </c>
      <c r="EH36" s="187" t="e">
        <f t="shared" ref="EH36:EH42" si="522">Z36/$E36</f>
        <v>#DIV/0!</v>
      </c>
      <c r="EI36" s="188" t="e">
        <f t="shared" ref="EI36:EI42" si="523">AA36/$E36</f>
        <v>#DIV/0!</v>
      </c>
      <c r="EJ36" s="186" t="e">
        <f t="shared" ref="EJ36:EJ42" si="524">AB36/$E36</f>
        <v>#DIV/0!</v>
      </c>
      <c r="EK36" s="187" t="e">
        <f t="shared" ref="EK36:EK42" si="525">AC36/$E36</f>
        <v>#DIV/0!</v>
      </c>
      <c r="EL36" s="187" t="e">
        <f t="shared" ref="EL36:EL42" si="526">AD36/$E36</f>
        <v>#DIV/0!</v>
      </c>
      <c r="EM36" s="187" t="e">
        <f t="shared" ref="EM36:EM42" si="527">AE36/$E36</f>
        <v>#DIV/0!</v>
      </c>
      <c r="EN36" s="187" t="e">
        <f t="shared" ref="EN36:EN42" si="528">AF36/$E36</f>
        <v>#DIV/0!</v>
      </c>
      <c r="EO36" s="188" t="e">
        <f t="shared" ref="EO36:EO42" si="529">AG36/$E36</f>
        <v>#DIV/0!</v>
      </c>
      <c r="EP36" s="186" t="e">
        <f t="shared" ref="EP36:EP42" si="530">AH36/$E36</f>
        <v>#DIV/0!</v>
      </c>
      <c r="EQ36" s="187" t="e">
        <f t="shared" ref="EQ36:EQ42" si="531">AI36/$E36</f>
        <v>#DIV/0!</v>
      </c>
      <c r="ER36" s="187" t="e">
        <f t="shared" ref="ER36:ER42" si="532">AJ36/$E36</f>
        <v>#DIV/0!</v>
      </c>
      <c r="ES36" s="187" t="e">
        <f t="shared" ref="ES36:ES42" si="533">AK36/$E36</f>
        <v>#DIV/0!</v>
      </c>
      <c r="ET36" s="188" t="e">
        <f t="shared" ref="ET36:ET42" si="534">AL36/$E36</f>
        <v>#DIV/0!</v>
      </c>
      <c r="EU36" s="186" t="e">
        <f t="shared" ref="EU36:EU42" si="535">AM36/$E36</f>
        <v>#DIV/0!</v>
      </c>
      <c r="EV36" s="187" t="e">
        <f t="shared" ref="EV36:EV42" si="536">AN36/$E36</f>
        <v>#DIV/0!</v>
      </c>
      <c r="EW36" s="187" t="e">
        <f t="shared" ref="EW36:EW42" si="537">AO36/$E36</f>
        <v>#DIV/0!</v>
      </c>
      <c r="EX36" s="187" t="e">
        <f t="shared" ref="EX36:EX42" si="538">AP36/$E36</f>
        <v>#DIV/0!</v>
      </c>
      <c r="EY36" s="187" t="e">
        <f t="shared" ref="EY36:EY42" si="539">AQ36/$E36</f>
        <v>#DIV/0!</v>
      </c>
      <c r="EZ36" s="187" t="e">
        <f t="shared" ref="EZ36:EZ42" si="540">AR36/$E36</f>
        <v>#DIV/0!</v>
      </c>
      <c r="FA36" s="187" t="e">
        <f t="shared" ref="FA36:FA42" si="541">AS36/$E36</f>
        <v>#DIV/0!</v>
      </c>
      <c r="FB36" s="187" t="e">
        <f t="shared" ref="FB36:FB42" si="542">AT36/$E36</f>
        <v>#DIV/0!</v>
      </c>
      <c r="FC36" s="187" t="e">
        <f t="shared" ref="FC36:FC42" si="543">AU36/$E36</f>
        <v>#DIV/0!</v>
      </c>
      <c r="FD36" s="187" t="e">
        <f t="shared" ref="FD36:FD42" si="544">AV36/$E36</f>
        <v>#DIV/0!</v>
      </c>
      <c r="FE36" s="187" t="e">
        <f t="shared" ref="FE36:FE42" si="545">AY36/$E36</f>
        <v>#DIV/0!</v>
      </c>
      <c r="FF36" s="188" t="e">
        <f t="shared" ref="FF36:FF42" si="546">AZ36/$E36</f>
        <v>#DIV/0!</v>
      </c>
    </row>
    <row r="37" spans="2:162" x14ac:dyDescent="0.25">
      <c r="B37" s="127">
        <f t="shared" ref="B37:B42" si="547">B36+1</f>
        <v>45524</v>
      </c>
      <c r="C37" s="266"/>
      <c r="D37" s="53"/>
      <c r="E37" s="129"/>
      <c r="F37" s="25"/>
      <c r="G37" s="25"/>
      <c r="H37" s="150"/>
      <c r="I37" s="24"/>
      <c r="J37" s="151"/>
      <c r="K37" s="151"/>
      <c r="L37" s="152">
        <v>15.9</v>
      </c>
      <c r="M37" s="152" t="e">
        <f t="shared" si="441"/>
        <v>#DIV/0!</v>
      </c>
      <c r="N37" s="153" t="e">
        <f t="shared" si="442"/>
        <v>#DIV/0!</v>
      </c>
      <c r="O37" s="25"/>
      <c r="P37" s="95"/>
      <c r="Q37" s="41"/>
      <c r="R37" s="41"/>
      <c r="S37" s="41"/>
      <c r="T37" s="41"/>
      <c r="U37" s="41"/>
      <c r="V37" s="41"/>
      <c r="W37" s="42"/>
      <c r="X37" s="95"/>
      <c r="Y37" s="41"/>
      <c r="Z37" s="41"/>
      <c r="AA37" s="42"/>
      <c r="AB37" s="95"/>
      <c r="AC37" s="41"/>
      <c r="AD37" s="41"/>
      <c r="AE37" s="41"/>
      <c r="AF37" s="41"/>
      <c r="AG37" s="42"/>
      <c r="AH37" s="95"/>
      <c r="AI37" s="41"/>
      <c r="AJ37" s="41"/>
      <c r="AK37" s="41"/>
      <c r="AL37" s="42"/>
      <c r="AM37" s="95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2"/>
      <c r="BB37" s="95" t="e">
        <f t="shared" si="443"/>
        <v>#DIV/0!</v>
      </c>
      <c r="BC37" s="41" t="e">
        <f t="shared" si="444"/>
        <v>#DIV/0!</v>
      </c>
      <c r="BD37" s="41" t="e">
        <f t="shared" si="445"/>
        <v>#DIV/0!</v>
      </c>
      <c r="BE37" s="41" t="e">
        <f t="shared" si="446"/>
        <v>#DIV/0!</v>
      </c>
      <c r="BF37" s="41" t="e">
        <f t="shared" si="447"/>
        <v>#DIV/0!</v>
      </c>
      <c r="BG37" s="41" t="e">
        <f t="shared" si="448"/>
        <v>#DIV/0!</v>
      </c>
      <c r="BH37" s="41" t="e">
        <f t="shared" si="449"/>
        <v>#DIV/0!</v>
      </c>
      <c r="BI37" s="42" t="e">
        <f t="shared" si="450"/>
        <v>#DIV/0!</v>
      </c>
      <c r="BJ37" s="95" t="e">
        <f t="shared" si="451"/>
        <v>#DIV/0!</v>
      </c>
      <c r="BK37" s="41" t="e">
        <f t="shared" si="452"/>
        <v>#DIV/0!</v>
      </c>
      <c r="BL37" s="41" t="e">
        <f t="shared" si="453"/>
        <v>#DIV/0!</v>
      </c>
      <c r="BM37" s="42" t="e">
        <f t="shared" si="454"/>
        <v>#DIV/0!</v>
      </c>
      <c r="BN37" s="95" t="e">
        <f t="shared" si="455"/>
        <v>#DIV/0!</v>
      </c>
      <c r="BO37" s="41" t="e">
        <f t="shared" si="456"/>
        <v>#DIV/0!</v>
      </c>
      <c r="BP37" s="41" t="e">
        <f t="shared" si="457"/>
        <v>#DIV/0!</v>
      </c>
      <c r="BQ37" s="41" t="e">
        <f t="shared" si="458"/>
        <v>#DIV/0!</v>
      </c>
      <c r="BR37" s="41" t="e">
        <f t="shared" si="459"/>
        <v>#DIV/0!</v>
      </c>
      <c r="BS37" s="42" t="e">
        <f t="shared" si="460"/>
        <v>#DIV/0!</v>
      </c>
      <c r="BT37" s="95" t="e">
        <f t="shared" si="461"/>
        <v>#DIV/0!</v>
      </c>
      <c r="BU37" s="41" t="e">
        <f t="shared" si="462"/>
        <v>#DIV/0!</v>
      </c>
      <c r="BV37" s="41" t="e">
        <f t="shared" si="463"/>
        <v>#DIV/0!</v>
      </c>
      <c r="BW37" s="41" t="e">
        <f t="shared" si="464"/>
        <v>#DIV/0!</v>
      </c>
      <c r="BX37" s="42" t="e">
        <f t="shared" si="465"/>
        <v>#DIV/0!</v>
      </c>
      <c r="BY37" s="95" t="e">
        <f t="shared" si="466"/>
        <v>#DIV/0!</v>
      </c>
      <c r="BZ37" s="41" t="e">
        <f t="shared" si="467"/>
        <v>#DIV/0!</v>
      </c>
      <c r="CA37" s="41" t="e">
        <f t="shared" si="468"/>
        <v>#DIV/0!</v>
      </c>
      <c r="CB37" s="41" t="e">
        <f t="shared" si="469"/>
        <v>#DIV/0!</v>
      </c>
      <c r="CC37" s="41" t="e">
        <f t="shared" si="470"/>
        <v>#DIV/0!</v>
      </c>
      <c r="CD37" s="41" t="e">
        <f t="shared" si="471"/>
        <v>#DIV/0!</v>
      </c>
      <c r="CE37" s="41" t="e">
        <f t="shared" si="472"/>
        <v>#DIV/0!</v>
      </c>
      <c r="CF37" s="41" t="e">
        <f t="shared" si="473"/>
        <v>#DIV/0!</v>
      </c>
      <c r="CG37" s="41" t="e">
        <f t="shared" si="474"/>
        <v>#DIV/0!</v>
      </c>
      <c r="CH37" s="41" t="e">
        <f t="shared" si="475"/>
        <v>#DIV/0!</v>
      </c>
      <c r="CI37" s="41" t="e">
        <f t="shared" si="476"/>
        <v>#DIV/0!</v>
      </c>
      <c r="CJ37" s="42" t="e">
        <f t="shared" si="477"/>
        <v>#DIV/0!</v>
      </c>
      <c r="CL37" s="36"/>
      <c r="CN37" s="95"/>
      <c r="CO37" s="41"/>
      <c r="CP37" s="41"/>
      <c r="CQ37" s="41"/>
      <c r="CR37" s="41"/>
      <c r="CS37" s="41"/>
      <c r="CT37" s="41"/>
      <c r="CU37" s="42"/>
      <c r="CV37" s="95"/>
      <c r="CW37" s="41"/>
      <c r="CX37" s="41"/>
      <c r="CY37" s="42"/>
      <c r="CZ37" s="95"/>
      <c r="DA37" s="41"/>
      <c r="DB37" s="41"/>
      <c r="DC37" s="41"/>
      <c r="DD37" s="41"/>
      <c r="DE37" s="42"/>
      <c r="DF37" s="95"/>
      <c r="DG37" s="41"/>
      <c r="DH37" s="41"/>
      <c r="DI37" s="41"/>
      <c r="DJ37" s="42"/>
      <c r="DK37" s="95"/>
      <c r="DL37" s="41"/>
      <c r="DM37" s="41"/>
      <c r="DN37" s="41"/>
      <c r="DO37" s="41"/>
      <c r="DP37" s="41"/>
      <c r="DQ37" s="41"/>
      <c r="DR37" s="41"/>
      <c r="DS37" s="41"/>
      <c r="DT37" s="41"/>
      <c r="DU37" s="41"/>
      <c r="DV37" s="42"/>
      <c r="DX37" s="138" t="e">
        <f t="shared" si="512"/>
        <v>#DIV/0!</v>
      </c>
      <c r="DY37" s="34" t="e">
        <f t="shared" si="513"/>
        <v>#DIV/0!</v>
      </c>
      <c r="DZ37" s="34" t="e">
        <f t="shared" si="514"/>
        <v>#DIV/0!</v>
      </c>
      <c r="EA37" s="34" t="e">
        <f t="shared" si="515"/>
        <v>#DIV/0!</v>
      </c>
      <c r="EB37" s="34" t="e">
        <f t="shared" si="516"/>
        <v>#DIV/0!</v>
      </c>
      <c r="EC37" s="34" t="e">
        <f t="shared" si="517"/>
        <v>#DIV/0!</v>
      </c>
      <c r="ED37" s="34" t="e">
        <f t="shared" si="518"/>
        <v>#DIV/0!</v>
      </c>
      <c r="EE37" s="139" t="e">
        <f t="shared" si="519"/>
        <v>#DIV/0!</v>
      </c>
      <c r="EF37" s="138" t="e">
        <f t="shared" si="520"/>
        <v>#DIV/0!</v>
      </c>
      <c r="EG37" s="34" t="e">
        <f t="shared" si="521"/>
        <v>#DIV/0!</v>
      </c>
      <c r="EH37" s="34" t="e">
        <f t="shared" si="522"/>
        <v>#DIV/0!</v>
      </c>
      <c r="EI37" s="139" t="e">
        <f t="shared" si="523"/>
        <v>#DIV/0!</v>
      </c>
      <c r="EJ37" s="138" t="e">
        <f t="shared" si="524"/>
        <v>#DIV/0!</v>
      </c>
      <c r="EK37" s="34" t="e">
        <f t="shared" si="525"/>
        <v>#DIV/0!</v>
      </c>
      <c r="EL37" s="34" t="e">
        <f t="shared" si="526"/>
        <v>#DIV/0!</v>
      </c>
      <c r="EM37" s="34" t="e">
        <f t="shared" si="527"/>
        <v>#DIV/0!</v>
      </c>
      <c r="EN37" s="34" t="e">
        <f t="shared" si="528"/>
        <v>#DIV/0!</v>
      </c>
      <c r="EO37" s="139" t="e">
        <f t="shared" si="529"/>
        <v>#DIV/0!</v>
      </c>
      <c r="EP37" s="138" t="e">
        <f t="shared" si="530"/>
        <v>#DIV/0!</v>
      </c>
      <c r="EQ37" s="34" t="e">
        <f t="shared" si="531"/>
        <v>#DIV/0!</v>
      </c>
      <c r="ER37" s="34" t="e">
        <f t="shared" si="532"/>
        <v>#DIV/0!</v>
      </c>
      <c r="ES37" s="34" t="e">
        <f t="shared" si="533"/>
        <v>#DIV/0!</v>
      </c>
      <c r="ET37" s="139" t="e">
        <f t="shared" si="534"/>
        <v>#DIV/0!</v>
      </c>
      <c r="EU37" s="138" t="e">
        <f t="shared" si="535"/>
        <v>#DIV/0!</v>
      </c>
      <c r="EV37" s="34" t="e">
        <f t="shared" si="536"/>
        <v>#DIV/0!</v>
      </c>
      <c r="EW37" s="34" t="e">
        <f t="shared" si="537"/>
        <v>#DIV/0!</v>
      </c>
      <c r="EX37" s="34" t="e">
        <f t="shared" si="538"/>
        <v>#DIV/0!</v>
      </c>
      <c r="EY37" s="34" t="e">
        <f t="shared" si="539"/>
        <v>#DIV/0!</v>
      </c>
      <c r="EZ37" s="34" t="e">
        <f t="shared" si="540"/>
        <v>#DIV/0!</v>
      </c>
      <c r="FA37" s="34" t="e">
        <f t="shared" si="541"/>
        <v>#DIV/0!</v>
      </c>
      <c r="FB37" s="34" t="e">
        <f t="shared" si="542"/>
        <v>#DIV/0!</v>
      </c>
      <c r="FC37" s="34" t="e">
        <f t="shared" si="543"/>
        <v>#DIV/0!</v>
      </c>
      <c r="FD37" s="34" t="e">
        <f t="shared" si="544"/>
        <v>#DIV/0!</v>
      </c>
      <c r="FE37" s="34" t="e">
        <f t="shared" si="545"/>
        <v>#DIV/0!</v>
      </c>
      <c r="FF37" s="139" t="e">
        <f t="shared" si="546"/>
        <v>#DIV/0!</v>
      </c>
    </row>
    <row r="38" spans="2:162" x14ac:dyDescent="0.25">
      <c r="B38" s="127">
        <f t="shared" si="547"/>
        <v>45525</v>
      </c>
      <c r="C38" s="266"/>
      <c r="D38" s="53"/>
      <c r="E38" s="129"/>
      <c r="F38" s="25"/>
      <c r="G38" s="25"/>
      <c r="H38" s="150"/>
      <c r="I38" s="24"/>
      <c r="J38" s="151"/>
      <c r="K38" s="151"/>
      <c r="L38" s="152">
        <v>15.9</v>
      </c>
      <c r="M38" s="152" t="e">
        <f t="shared" si="441"/>
        <v>#DIV/0!</v>
      </c>
      <c r="N38" s="153" t="e">
        <f t="shared" si="442"/>
        <v>#DIV/0!</v>
      </c>
      <c r="O38" s="25"/>
      <c r="P38" s="95"/>
      <c r="Q38" s="41"/>
      <c r="R38" s="41"/>
      <c r="S38" s="41"/>
      <c r="T38" s="41"/>
      <c r="U38" s="41"/>
      <c r="V38" s="41"/>
      <c r="W38" s="42"/>
      <c r="X38" s="95"/>
      <c r="Y38" s="41"/>
      <c r="Z38" s="41"/>
      <c r="AA38" s="42"/>
      <c r="AB38" s="95"/>
      <c r="AC38" s="41"/>
      <c r="AD38" s="41"/>
      <c r="AE38" s="41"/>
      <c r="AF38" s="41"/>
      <c r="AG38" s="42"/>
      <c r="AH38" s="95"/>
      <c r="AI38" s="41"/>
      <c r="AJ38" s="41"/>
      <c r="AK38" s="41"/>
      <c r="AL38" s="42"/>
      <c r="AM38" s="95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2"/>
      <c r="BB38" s="95" t="e">
        <f t="shared" si="443"/>
        <v>#DIV/0!</v>
      </c>
      <c r="BC38" s="41" t="e">
        <f t="shared" si="444"/>
        <v>#DIV/0!</v>
      </c>
      <c r="BD38" s="41" t="e">
        <f t="shared" si="445"/>
        <v>#DIV/0!</v>
      </c>
      <c r="BE38" s="41" t="e">
        <f t="shared" si="446"/>
        <v>#DIV/0!</v>
      </c>
      <c r="BF38" s="41" t="e">
        <f t="shared" si="447"/>
        <v>#DIV/0!</v>
      </c>
      <c r="BG38" s="41" t="e">
        <f t="shared" si="448"/>
        <v>#DIV/0!</v>
      </c>
      <c r="BH38" s="41" t="e">
        <f t="shared" si="449"/>
        <v>#DIV/0!</v>
      </c>
      <c r="BI38" s="42" t="e">
        <f t="shared" si="450"/>
        <v>#DIV/0!</v>
      </c>
      <c r="BJ38" s="95" t="e">
        <f t="shared" si="451"/>
        <v>#DIV/0!</v>
      </c>
      <c r="BK38" s="41" t="e">
        <f t="shared" si="452"/>
        <v>#DIV/0!</v>
      </c>
      <c r="BL38" s="41" t="e">
        <f t="shared" si="453"/>
        <v>#DIV/0!</v>
      </c>
      <c r="BM38" s="42" t="e">
        <f t="shared" si="454"/>
        <v>#DIV/0!</v>
      </c>
      <c r="BN38" s="95" t="e">
        <f t="shared" si="455"/>
        <v>#DIV/0!</v>
      </c>
      <c r="BO38" s="41" t="e">
        <f t="shared" si="456"/>
        <v>#DIV/0!</v>
      </c>
      <c r="BP38" s="41" t="e">
        <f t="shared" si="457"/>
        <v>#DIV/0!</v>
      </c>
      <c r="BQ38" s="41" t="e">
        <f t="shared" si="458"/>
        <v>#DIV/0!</v>
      </c>
      <c r="BR38" s="41" t="e">
        <f t="shared" si="459"/>
        <v>#DIV/0!</v>
      </c>
      <c r="BS38" s="42" t="e">
        <f t="shared" si="460"/>
        <v>#DIV/0!</v>
      </c>
      <c r="BT38" s="95" t="e">
        <f t="shared" si="461"/>
        <v>#DIV/0!</v>
      </c>
      <c r="BU38" s="41" t="e">
        <f t="shared" si="462"/>
        <v>#DIV/0!</v>
      </c>
      <c r="BV38" s="41" t="e">
        <f t="shared" si="463"/>
        <v>#DIV/0!</v>
      </c>
      <c r="BW38" s="41" t="e">
        <f t="shared" si="464"/>
        <v>#DIV/0!</v>
      </c>
      <c r="BX38" s="42" t="e">
        <f t="shared" si="465"/>
        <v>#DIV/0!</v>
      </c>
      <c r="BY38" s="95" t="e">
        <f t="shared" si="466"/>
        <v>#DIV/0!</v>
      </c>
      <c r="BZ38" s="41" t="e">
        <f t="shared" si="467"/>
        <v>#DIV/0!</v>
      </c>
      <c r="CA38" s="41" t="e">
        <f t="shared" si="468"/>
        <v>#DIV/0!</v>
      </c>
      <c r="CB38" s="41" t="e">
        <f t="shared" si="469"/>
        <v>#DIV/0!</v>
      </c>
      <c r="CC38" s="41" t="e">
        <f t="shared" si="470"/>
        <v>#DIV/0!</v>
      </c>
      <c r="CD38" s="41" t="e">
        <f t="shared" si="471"/>
        <v>#DIV/0!</v>
      </c>
      <c r="CE38" s="41" t="e">
        <f t="shared" si="472"/>
        <v>#DIV/0!</v>
      </c>
      <c r="CF38" s="41" t="e">
        <f t="shared" si="473"/>
        <v>#DIV/0!</v>
      </c>
      <c r="CG38" s="41" t="e">
        <f t="shared" si="474"/>
        <v>#DIV/0!</v>
      </c>
      <c r="CH38" s="41" t="e">
        <f t="shared" si="475"/>
        <v>#DIV/0!</v>
      </c>
      <c r="CI38" s="41" t="e">
        <f t="shared" si="476"/>
        <v>#DIV/0!</v>
      </c>
      <c r="CJ38" s="42" t="e">
        <f t="shared" si="477"/>
        <v>#DIV/0!</v>
      </c>
      <c r="CL38" s="36"/>
      <c r="CN38" s="95"/>
      <c r="CO38" s="41"/>
      <c r="CP38" s="41"/>
      <c r="CQ38" s="41"/>
      <c r="CR38" s="41"/>
      <c r="CS38" s="41"/>
      <c r="CT38" s="41"/>
      <c r="CU38" s="42"/>
      <c r="CV38" s="95"/>
      <c r="CW38" s="41"/>
      <c r="CX38" s="41"/>
      <c r="CY38" s="42"/>
      <c r="CZ38" s="95"/>
      <c r="DA38" s="41"/>
      <c r="DB38" s="41"/>
      <c r="DC38" s="41"/>
      <c r="DD38" s="41"/>
      <c r="DE38" s="42"/>
      <c r="DF38" s="95"/>
      <c r="DG38" s="41"/>
      <c r="DH38" s="41"/>
      <c r="DI38" s="41"/>
      <c r="DJ38" s="42"/>
      <c r="DK38" s="95"/>
      <c r="DL38" s="41"/>
      <c r="DM38" s="41"/>
      <c r="DN38" s="41"/>
      <c r="DO38" s="41"/>
      <c r="DP38" s="41"/>
      <c r="DQ38" s="41"/>
      <c r="DR38" s="41"/>
      <c r="DS38" s="41"/>
      <c r="DT38" s="41"/>
      <c r="DU38" s="41"/>
      <c r="DV38" s="42"/>
      <c r="DX38" s="138" t="e">
        <f t="shared" si="512"/>
        <v>#DIV/0!</v>
      </c>
      <c r="DY38" s="34" t="e">
        <f t="shared" si="513"/>
        <v>#DIV/0!</v>
      </c>
      <c r="DZ38" s="34" t="e">
        <f t="shared" si="514"/>
        <v>#DIV/0!</v>
      </c>
      <c r="EA38" s="34" t="e">
        <f t="shared" si="515"/>
        <v>#DIV/0!</v>
      </c>
      <c r="EB38" s="34" t="e">
        <f t="shared" si="516"/>
        <v>#DIV/0!</v>
      </c>
      <c r="EC38" s="34" t="e">
        <f t="shared" si="517"/>
        <v>#DIV/0!</v>
      </c>
      <c r="ED38" s="34" t="e">
        <f t="shared" si="518"/>
        <v>#DIV/0!</v>
      </c>
      <c r="EE38" s="139" t="e">
        <f t="shared" si="519"/>
        <v>#DIV/0!</v>
      </c>
      <c r="EF38" s="138" t="e">
        <f t="shared" si="520"/>
        <v>#DIV/0!</v>
      </c>
      <c r="EG38" s="34" t="e">
        <f t="shared" si="521"/>
        <v>#DIV/0!</v>
      </c>
      <c r="EH38" s="34" t="e">
        <f t="shared" si="522"/>
        <v>#DIV/0!</v>
      </c>
      <c r="EI38" s="139" t="e">
        <f t="shared" si="523"/>
        <v>#DIV/0!</v>
      </c>
      <c r="EJ38" s="138" t="e">
        <f t="shared" si="524"/>
        <v>#DIV/0!</v>
      </c>
      <c r="EK38" s="34" t="e">
        <f t="shared" si="525"/>
        <v>#DIV/0!</v>
      </c>
      <c r="EL38" s="34" t="e">
        <f t="shared" si="526"/>
        <v>#DIV/0!</v>
      </c>
      <c r="EM38" s="34" t="e">
        <f t="shared" si="527"/>
        <v>#DIV/0!</v>
      </c>
      <c r="EN38" s="34" t="e">
        <f t="shared" si="528"/>
        <v>#DIV/0!</v>
      </c>
      <c r="EO38" s="139" t="e">
        <f t="shared" si="529"/>
        <v>#DIV/0!</v>
      </c>
      <c r="EP38" s="138" t="e">
        <f t="shared" si="530"/>
        <v>#DIV/0!</v>
      </c>
      <c r="EQ38" s="34" t="e">
        <f t="shared" si="531"/>
        <v>#DIV/0!</v>
      </c>
      <c r="ER38" s="34" t="e">
        <f t="shared" si="532"/>
        <v>#DIV/0!</v>
      </c>
      <c r="ES38" s="34" t="e">
        <f t="shared" si="533"/>
        <v>#DIV/0!</v>
      </c>
      <c r="ET38" s="139" t="e">
        <f t="shared" si="534"/>
        <v>#DIV/0!</v>
      </c>
      <c r="EU38" s="138" t="e">
        <f t="shared" si="535"/>
        <v>#DIV/0!</v>
      </c>
      <c r="EV38" s="34" t="e">
        <f t="shared" si="536"/>
        <v>#DIV/0!</v>
      </c>
      <c r="EW38" s="34" t="e">
        <f t="shared" si="537"/>
        <v>#DIV/0!</v>
      </c>
      <c r="EX38" s="34" t="e">
        <f t="shared" si="538"/>
        <v>#DIV/0!</v>
      </c>
      <c r="EY38" s="34" t="e">
        <f t="shared" si="539"/>
        <v>#DIV/0!</v>
      </c>
      <c r="EZ38" s="34" t="e">
        <f t="shared" si="540"/>
        <v>#DIV/0!</v>
      </c>
      <c r="FA38" s="34" t="e">
        <f t="shared" si="541"/>
        <v>#DIV/0!</v>
      </c>
      <c r="FB38" s="34" t="e">
        <f t="shared" si="542"/>
        <v>#DIV/0!</v>
      </c>
      <c r="FC38" s="34" t="e">
        <f t="shared" si="543"/>
        <v>#DIV/0!</v>
      </c>
      <c r="FD38" s="34" t="e">
        <f t="shared" si="544"/>
        <v>#DIV/0!</v>
      </c>
      <c r="FE38" s="34" t="e">
        <f t="shared" si="545"/>
        <v>#DIV/0!</v>
      </c>
      <c r="FF38" s="139" t="e">
        <f t="shared" si="546"/>
        <v>#DIV/0!</v>
      </c>
    </row>
    <row r="39" spans="2:162" x14ac:dyDescent="0.25">
      <c r="B39" s="127">
        <f t="shared" si="547"/>
        <v>45526</v>
      </c>
      <c r="C39" s="266"/>
      <c r="D39" s="53"/>
      <c r="E39" s="129"/>
      <c r="F39" s="25"/>
      <c r="G39" s="25"/>
      <c r="H39" s="150"/>
      <c r="I39" s="24"/>
      <c r="J39" s="151"/>
      <c r="K39" s="151"/>
      <c r="L39" s="152">
        <v>15.8</v>
      </c>
      <c r="M39" s="152" t="e">
        <f t="shared" si="441"/>
        <v>#DIV/0!</v>
      </c>
      <c r="N39" s="153" t="e">
        <f t="shared" si="442"/>
        <v>#DIV/0!</v>
      </c>
      <c r="O39" s="25"/>
      <c r="P39" s="95"/>
      <c r="Q39" s="41"/>
      <c r="R39" s="41"/>
      <c r="S39" s="41"/>
      <c r="T39" s="41"/>
      <c r="U39" s="41"/>
      <c r="V39" s="41"/>
      <c r="W39" s="42"/>
      <c r="X39" s="95"/>
      <c r="Y39" s="41"/>
      <c r="Z39" s="41"/>
      <c r="AA39" s="42"/>
      <c r="AB39" s="95"/>
      <c r="AC39" s="41"/>
      <c r="AD39" s="41"/>
      <c r="AE39" s="41"/>
      <c r="AF39" s="41"/>
      <c r="AG39" s="42"/>
      <c r="AH39" s="95"/>
      <c r="AI39" s="41"/>
      <c r="AJ39" s="41"/>
      <c r="AK39" s="41"/>
      <c r="AL39" s="42"/>
      <c r="AM39" s="95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2"/>
      <c r="BB39" s="95" t="e">
        <f t="shared" si="443"/>
        <v>#DIV/0!</v>
      </c>
      <c r="BC39" s="41" t="e">
        <f t="shared" si="444"/>
        <v>#DIV/0!</v>
      </c>
      <c r="BD39" s="41" t="e">
        <f t="shared" si="445"/>
        <v>#DIV/0!</v>
      </c>
      <c r="BE39" s="41" t="e">
        <f t="shared" si="446"/>
        <v>#DIV/0!</v>
      </c>
      <c r="BF39" s="41" t="e">
        <f t="shared" si="447"/>
        <v>#DIV/0!</v>
      </c>
      <c r="BG39" s="41" t="e">
        <f t="shared" si="448"/>
        <v>#DIV/0!</v>
      </c>
      <c r="BH39" s="41" t="e">
        <f t="shared" si="449"/>
        <v>#DIV/0!</v>
      </c>
      <c r="BI39" s="42" t="e">
        <f t="shared" si="450"/>
        <v>#DIV/0!</v>
      </c>
      <c r="BJ39" s="95" t="e">
        <f t="shared" si="451"/>
        <v>#DIV/0!</v>
      </c>
      <c r="BK39" s="41" t="e">
        <f t="shared" si="452"/>
        <v>#DIV/0!</v>
      </c>
      <c r="BL39" s="41" t="e">
        <f t="shared" si="453"/>
        <v>#DIV/0!</v>
      </c>
      <c r="BM39" s="42" t="e">
        <f t="shared" si="454"/>
        <v>#DIV/0!</v>
      </c>
      <c r="BN39" s="95" t="e">
        <f t="shared" si="455"/>
        <v>#DIV/0!</v>
      </c>
      <c r="BO39" s="41" t="e">
        <f t="shared" si="456"/>
        <v>#DIV/0!</v>
      </c>
      <c r="BP39" s="41" t="e">
        <f t="shared" si="457"/>
        <v>#DIV/0!</v>
      </c>
      <c r="BQ39" s="41" t="e">
        <f t="shared" si="458"/>
        <v>#DIV/0!</v>
      </c>
      <c r="BR39" s="41" t="e">
        <f t="shared" si="459"/>
        <v>#DIV/0!</v>
      </c>
      <c r="BS39" s="42" t="e">
        <f t="shared" si="460"/>
        <v>#DIV/0!</v>
      </c>
      <c r="BT39" s="95" t="e">
        <f t="shared" si="461"/>
        <v>#DIV/0!</v>
      </c>
      <c r="BU39" s="41" t="e">
        <f t="shared" si="462"/>
        <v>#DIV/0!</v>
      </c>
      <c r="BV39" s="41" t="e">
        <f t="shared" si="463"/>
        <v>#DIV/0!</v>
      </c>
      <c r="BW39" s="41" t="e">
        <f t="shared" si="464"/>
        <v>#DIV/0!</v>
      </c>
      <c r="BX39" s="42" t="e">
        <f t="shared" si="465"/>
        <v>#DIV/0!</v>
      </c>
      <c r="BY39" s="95" t="e">
        <f t="shared" si="466"/>
        <v>#DIV/0!</v>
      </c>
      <c r="BZ39" s="41" t="e">
        <f t="shared" si="467"/>
        <v>#DIV/0!</v>
      </c>
      <c r="CA39" s="41" t="e">
        <f t="shared" si="468"/>
        <v>#DIV/0!</v>
      </c>
      <c r="CB39" s="41" t="e">
        <f t="shared" si="469"/>
        <v>#DIV/0!</v>
      </c>
      <c r="CC39" s="41" t="e">
        <f t="shared" si="470"/>
        <v>#DIV/0!</v>
      </c>
      <c r="CD39" s="41" t="e">
        <f t="shared" si="471"/>
        <v>#DIV/0!</v>
      </c>
      <c r="CE39" s="41" t="e">
        <f t="shared" si="472"/>
        <v>#DIV/0!</v>
      </c>
      <c r="CF39" s="41" t="e">
        <f t="shared" si="473"/>
        <v>#DIV/0!</v>
      </c>
      <c r="CG39" s="41" t="e">
        <f t="shared" si="474"/>
        <v>#DIV/0!</v>
      </c>
      <c r="CH39" s="41" t="e">
        <f t="shared" si="475"/>
        <v>#DIV/0!</v>
      </c>
      <c r="CI39" s="41" t="e">
        <f t="shared" si="476"/>
        <v>#DIV/0!</v>
      </c>
      <c r="CJ39" s="42" t="e">
        <f t="shared" si="477"/>
        <v>#DIV/0!</v>
      </c>
      <c r="CL39" s="36"/>
      <c r="CN39" s="95"/>
      <c r="CO39" s="41"/>
      <c r="CP39" s="41"/>
      <c r="CQ39" s="41"/>
      <c r="CR39" s="41"/>
      <c r="CS39" s="41"/>
      <c r="CT39" s="41"/>
      <c r="CU39" s="42"/>
      <c r="CV39" s="95"/>
      <c r="CW39" s="41"/>
      <c r="CX39" s="41"/>
      <c r="CY39" s="42"/>
      <c r="CZ39" s="95"/>
      <c r="DA39" s="41"/>
      <c r="DB39" s="41"/>
      <c r="DC39" s="41"/>
      <c r="DD39" s="41"/>
      <c r="DE39" s="42"/>
      <c r="DF39" s="95"/>
      <c r="DG39" s="41"/>
      <c r="DH39" s="41"/>
      <c r="DI39" s="41"/>
      <c r="DJ39" s="42"/>
      <c r="DK39" s="95"/>
      <c r="DL39" s="41"/>
      <c r="DM39" s="41"/>
      <c r="DN39" s="41"/>
      <c r="DO39" s="41"/>
      <c r="DP39" s="41"/>
      <c r="DQ39" s="41"/>
      <c r="DR39" s="41"/>
      <c r="DS39" s="41"/>
      <c r="DT39" s="41"/>
      <c r="DU39" s="41"/>
      <c r="DV39" s="42"/>
      <c r="DX39" s="138" t="e">
        <f t="shared" si="512"/>
        <v>#DIV/0!</v>
      </c>
      <c r="DY39" s="34" t="e">
        <f t="shared" si="513"/>
        <v>#DIV/0!</v>
      </c>
      <c r="DZ39" s="34" t="e">
        <f t="shared" si="514"/>
        <v>#DIV/0!</v>
      </c>
      <c r="EA39" s="34" t="e">
        <f t="shared" si="515"/>
        <v>#DIV/0!</v>
      </c>
      <c r="EB39" s="34" t="e">
        <f t="shared" si="516"/>
        <v>#DIV/0!</v>
      </c>
      <c r="EC39" s="34" t="e">
        <f t="shared" si="517"/>
        <v>#DIV/0!</v>
      </c>
      <c r="ED39" s="34" t="e">
        <f t="shared" si="518"/>
        <v>#DIV/0!</v>
      </c>
      <c r="EE39" s="139" t="e">
        <f t="shared" si="519"/>
        <v>#DIV/0!</v>
      </c>
      <c r="EF39" s="138" t="e">
        <f t="shared" si="520"/>
        <v>#DIV/0!</v>
      </c>
      <c r="EG39" s="34" t="e">
        <f t="shared" si="521"/>
        <v>#DIV/0!</v>
      </c>
      <c r="EH39" s="34" t="e">
        <f t="shared" si="522"/>
        <v>#DIV/0!</v>
      </c>
      <c r="EI39" s="139" t="e">
        <f t="shared" si="523"/>
        <v>#DIV/0!</v>
      </c>
      <c r="EJ39" s="138" t="e">
        <f t="shared" si="524"/>
        <v>#DIV/0!</v>
      </c>
      <c r="EK39" s="34" t="e">
        <f t="shared" si="525"/>
        <v>#DIV/0!</v>
      </c>
      <c r="EL39" s="34" t="e">
        <f t="shared" si="526"/>
        <v>#DIV/0!</v>
      </c>
      <c r="EM39" s="34" t="e">
        <f t="shared" si="527"/>
        <v>#DIV/0!</v>
      </c>
      <c r="EN39" s="34" t="e">
        <f t="shared" si="528"/>
        <v>#DIV/0!</v>
      </c>
      <c r="EO39" s="139" t="e">
        <f t="shared" si="529"/>
        <v>#DIV/0!</v>
      </c>
      <c r="EP39" s="138" t="e">
        <f t="shared" si="530"/>
        <v>#DIV/0!</v>
      </c>
      <c r="EQ39" s="34" t="e">
        <f t="shared" si="531"/>
        <v>#DIV/0!</v>
      </c>
      <c r="ER39" s="34" t="e">
        <f t="shared" si="532"/>
        <v>#DIV/0!</v>
      </c>
      <c r="ES39" s="34" t="e">
        <f t="shared" si="533"/>
        <v>#DIV/0!</v>
      </c>
      <c r="ET39" s="139" t="e">
        <f t="shared" si="534"/>
        <v>#DIV/0!</v>
      </c>
      <c r="EU39" s="138" t="e">
        <f t="shared" si="535"/>
        <v>#DIV/0!</v>
      </c>
      <c r="EV39" s="34" t="e">
        <f t="shared" si="536"/>
        <v>#DIV/0!</v>
      </c>
      <c r="EW39" s="34" t="e">
        <f t="shared" si="537"/>
        <v>#DIV/0!</v>
      </c>
      <c r="EX39" s="34" t="e">
        <f t="shared" si="538"/>
        <v>#DIV/0!</v>
      </c>
      <c r="EY39" s="34" t="e">
        <f t="shared" si="539"/>
        <v>#DIV/0!</v>
      </c>
      <c r="EZ39" s="34" t="e">
        <f t="shared" si="540"/>
        <v>#DIV/0!</v>
      </c>
      <c r="FA39" s="34" t="e">
        <f t="shared" si="541"/>
        <v>#DIV/0!</v>
      </c>
      <c r="FB39" s="34" t="e">
        <f t="shared" si="542"/>
        <v>#DIV/0!</v>
      </c>
      <c r="FC39" s="34" t="e">
        <f t="shared" si="543"/>
        <v>#DIV/0!</v>
      </c>
      <c r="FD39" s="34" t="e">
        <f t="shared" si="544"/>
        <v>#DIV/0!</v>
      </c>
      <c r="FE39" s="34" t="e">
        <f t="shared" si="545"/>
        <v>#DIV/0!</v>
      </c>
      <c r="FF39" s="139" t="e">
        <f t="shared" si="546"/>
        <v>#DIV/0!</v>
      </c>
    </row>
    <row r="40" spans="2:162" x14ac:dyDescent="0.25">
      <c r="B40" s="127">
        <f t="shared" si="547"/>
        <v>45527</v>
      </c>
      <c r="C40" s="266"/>
      <c r="D40" s="53"/>
      <c r="E40" s="129"/>
      <c r="F40" s="25"/>
      <c r="G40" s="25"/>
      <c r="H40" s="150"/>
      <c r="I40" s="24"/>
      <c r="J40" s="151"/>
      <c r="K40" s="151"/>
      <c r="L40" s="152">
        <v>15.8</v>
      </c>
      <c r="M40" s="152" t="e">
        <f t="shared" si="441"/>
        <v>#DIV/0!</v>
      </c>
      <c r="N40" s="153" t="e">
        <f t="shared" si="442"/>
        <v>#DIV/0!</v>
      </c>
      <c r="O40" s="25"/>
      <c r="P40" s="95"/>
      <c r="Q40" s="41"/>
      <c r="R40" s="41"/>
      <c r="S40" s="41"/>
      <c r="T40" s="41"/>
      <c r="U40" s="41"/>
      <c r="V40" s="41"/>
      <c r="W40" s="42"/>
      <c r="X40" s="95"/>
      <c r="Y40" s="41"/>
      <c r="Z40" s="41"/>
      <c r="AA40" s="42"/>
      <c r="AB40" s="95"/>
      <c r="AC40" s="41"/>
      <c r="AD40" s="41"/>
      <c r="AE40" s="41"/>
      <c r="AF40" s="41"/>
      <c r="AG40" s="42"/>
      <c r="AH40" s="95"/>
      <c r="AI40" s="41"/>
      <c r="AJ40" s="41"/>
      <c r="AK40" s="41"/>
      <c r="AL40" s="42"/>
      <c r="AM40" s="95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2"/>
      <c r="BB40" s="95" t="e">
        <f t="shared" si="443"/>
        <v>#DIV/0!</v>
      </c>
      <c r="BC40" s="41" t="e">
        <f t="shared" si="444"/>
        <v>#DIV/0!</v>
      </c>
      <c r="BD40" s="41" t="e">
        <f t="shared" si="445"/>
        <v>#DIV/0!</v>
      </c>
      <c r="BE40" s="41" t="e">
        <f t="shared" si="446"/>
        <v>#DIV/0!</v>
      </c>
      <c r="BF40" s="41" t="e">
        <f t="shared" si="447"/>
        <v>#DIV/0!</v>
      </c>
      <c r="BG40" s="41" t="e">
        <f t="shared" si="448"/>
        <v>#DIV/0!</v>
      </c>
      <c r="BH40" s="41" t="e">
        <f t="shared" si="449"/>
        <v>#DIV/0!</v>
      </c>
      <c r="BI40" s="42" t="e">
        <f t="shared" si="450"/>
        <v>#DIV/0!</v>
      </c>
      <c r="BJ40" s="95" t="e">
        <f t="shared" si="451"/>
        <v>#DIV/0!</v>
      </c>
      <c r="BK40" s="41" t="e">
        <f t="shared" si="452"/>
        <v>#DIV/0!</v>
      </c>
      <c r="BL40" s="41" t="e">
        <f t="shared" si="453"/>
        <v>#DIV/0!</v>
      </c>
      <c r="BM40" s="42" t="e">
        <f t="shared" si="454"/>
        <v>#DIV/0!</v>
      </c>
      <c r="BN40" s="95" t="e">
        <f t="shared" si="455"/>
        <v>#DIV/0!</v>
      </c>
      <c r="BO40" s="41" t="e">
        <f t="shared" si="456"/>
        <v>#DIV/0!</v>
      </c>
      <c r="BP40" s="41" t="e">
        <f t="shared" si="457"/>
        <v>#DIV/0!</v>
      </c>
      <c r="BQ40" s="41" t="e">
        <f t="shared" si="458"/>
        <v>#DIV/0!</v>
      </c>
      <c r="BR40" s="41" t="e">
        <f t="shared" si="459"/>
        <v>#DIV/0!</v>
      </c>
      <c r="BS40" s="42" t="e">
        <f t="shared" si="460"/>
        <v>#DIV/0!</v>
      </c>
      <c r="BT40" s="95" t="e">
        <f t="shared" si="461"/>
        <v>#DIV/0!</v>
      </c>
      <c r="BU40" s="41" t="e">
        <f t="shared" si="462"/>
        <v>#DIV/0!</v>
      </c>
      <c r="BV40" s="41" t="e">
        <f t="shared" si="463"/>
        <v>#DIV/0!</v>
      </c>
      <c r="BW40" s="41" t="e">
        <f t="shared" si="464"/>
        <v>#DIV/0!</v>
      </c>
      <c r="BX40" s="42" t="e">
        <f t="shared" si="465"/>
        <v>#DIV/0!</v>
      </c>
      <c r="BY40" s="95" t="e">
        <f t="shared" si="466"/>
        <v>#DIV/0!</v>
      </c>
      <c r="BZ40" s="41" t="e">
        <f t="shared" si="467"/>
        <v>#DIV/0!</v>
      </c>
      <c r="CA40" s="41" t="e">
        <f t="shared" si="468"/>
        <v>#DIV/0!</v>
      </c>
      <c r="CB40" s="41" t="e">
        <f t="shared" si="469"/>
        <v>#DIV/0!</v>
      </c>
      <c r="CC40" s="41" t="e">
        <f t="shared" si="470"/>
        <v>#DIV/0!</v>
      </c>
      <c r="CD40" s="41" t="e">
        <f t="shared" si="471"/>
        <v>#DIV/0!</v>
      </c>
      <c r="CE40" s="41" t="e">
        <f t="shared" si="472"/>
        <v>#DIV/0!</v>
      </c>
      <c r="CF40" s="41" t="e">
        <f t="shared" si="473"/>
        <v>#DIV/0!</v>
      </c>
      <c r="CG40" s="41" t="e">
        <f t="shared" si="474"/>
        <v>#DIV/0!</v>
      </c>
      <c r="CH40" s="41" t="e">
        <f t="shared" si="475"/>
        <v>#DIV/0!</v>
      </c>
      <c r="CI40" s="41" t="e">
        <f t="shared" si="476"/>
        <v>#DIV/0!</v>
      </c>
      <c r="CJ40" s="42" t="e">
        <f t="shared" si="477"/>
        <v>#DIV/0!</v>
      </c>
      <c r="CL40" s="36"/>
      <c r="CN40" s="95"/>
      <c r="CO40" s="41"/>
      <c r="CP40" s="41"/>
      <c r="CQ40" s="41"/>
      <c r="CR40" s="41"/>
      <c r="CS40" s="41"/>
      <c r="CT40" s="41"/>
      <c r="CU40" s="42"/>
      <c r="CV40" s="95"/>
      <c r="CW40" s="41"/>
      <c r="CX40" s="41"/>
      <c r="CY40" s="42"/>
      <c r="CZ40" s="95"/>
      <c r="DA40" s="41"/>
      <c r="DB40" s="41"/>
      <c r="DC40" s="41"/>
      <c r="DD40" s="41"/>
      <c r="DE40" s="42"/>
      <c r="DF40" s="95"/>
      <c r="DG40" s="41"/>
      <c r="DH40" s="41"/>
      <c r="DI40" s="41"/>
      <c r="DJ40" s="42"/>
      <c r="DK40" s="95"/>
      <c r="DL40" s="41"/>
      <c r="DM40" s="41"/>
      <c r="DN40" s="41"/>
      <c r="DO40" s="41"/>
      <c r="DP40" s="41"/>
      <c r="DQ40" s="41"/>
      <c r="DR40" s="41"/>
      <c r="DS40" s="41"/>
      <c r="DT40" s="41"/>
      <c r="DU40" s="41"/>
      <c r="DV40" s="42"/>
      <c r="DX40" s="138" t="e">
        <f t="shared" si="512"/>
        <v>#DIV/0!</v>
      </c>
      <c r="DY40" s="34" t="e">
        <f t="shared" si="513"/>
        <v>#DIV/0!</v>
      </c>
      <c r="DZ40" s="34" t="e">
        <f t="shared" si="514"/>
        <v>#DIV/0!</v>
      </c>
      <c r="EA40" s="34" t="e">
        <f t="shared" si="515"/>
        <v>#DIV/0!</v>
      </c>
      <c r="EB40" s="34" t="e">
        <f t="shared" si="516"/>
        <v>#DIV/0!</v>
      </c>
      <c r="EC40" s="34" t="e">
        <f t="shared" si="517"/>
        <v>#DIV/0!</v>
      </c>
      <c r="ED40" s="34" t="e">
        <f t="shared" si="518"/>
        <v>#DIV/0!</v>
      </c>
      <c r="EE40" s="139" t="e">
        <f t="shared" si="519"/>
        <v>#DIV/0!</v>
      </c>
      <c r="EF40" s="138" t="e">
        <f t="shared" si="520"/>
        <v>#DIV/0!</v>
      </c>
      <c r="EG40" s="34" t="e">
        <f t="shared" si="521"/>
        <v>#DIV/0!</v>
      </c>
      <c r="EH40" s="34" t="e">
        <f t="shared" si="522"/>
        <v>#DIV/0!</v>
      </c>
      <c r="EI40" s="139" t="e">
        <f t="shared" si="523"/>
        <v>#DIV/0!</v>
      </c>
      <c r="EJ40" s="138" t="e">
        <f t="shared" si="524"/>
        <v>#DIV/0!</v>
      </c>
      <c r="EK40" s="34" t="e">
        <f t="shared" si="525"/>
        <v>#DIV/0!</v>
      </c>
      <c r="EL40" s="34" t="e">
        <f t="shared" si="526"/>
        <v>#DIV/0!</v>
      </c>
      <c r="EM40" s="34" t="e">
        <f t="shared" si="527"/>
        <v>#DIV/0!</v>
      </c>
      <c r="EN40" s="34" t="e">
        <f t="shared" si="528"/>
        <v>#DIV/0!</v>
      </c>
      <c r="EO40" s="139" t="e">
        <f t="shared" si="529"/>
        <v>#DIV/0!</v>
      </c>
      <c r="EP40" s="138" t="e">
        <f t="shared" si="530"/>
        <v>#DIV/0!</v>
      </c>
      <c r="EQ40" s="34" t="e">
        <f t="shared" si="531"/>
        <v>#DIV/0!</v>
      </c>
      <c r="ER40" s="34" t="e">
        <f t="shared" si="532"/>
        <v>#DIV/0!</v>
      </c>
      <c r="ES40" s="34" t="e">
        <f t="shared" si="533"/>
        <v>#DIV/0!</v>
      </c>
      <c r="ET40" s="139" t="e">
        <f t="shared" si="534"/>
        <v>#DIV/0!</v>
      </c>
      <c r="EU40" s="138" t="e">
        <f t="shared" si="535"/>
        <v>#DIV/0!</v>
      </c>
      <c r="EV40" s="34" t="e">
        <f t="shared" si="536"/>
        <v>#DIV/0!</v>
      </c>
      <c r="EW40" s="34" t="e">
        <f t="shared" si="537"/>
        <v>#DIV/0!</v>
      </c>
      <c r="EX40" s="34" t="e">
        <f t="shared" si="538"/>
        <v>#DIV/0!</v>
      </c>
      <c r="EY40" s="34" t="e">
        <f t="shared" si="539"/>
        <v>#DIV/0!</v>
      </c>
      <c r="EZ40" s="34" t="e">
        <f t="shared" si="540"/>
        <v>#DIV/0!</v>
      </c>
      <c r="FA40" s="34" t="e">
        <f t="shared" si="541"/>
        <v>#DIV/0!</v>
      </c>
      <c r="FB40" s="34" t="e">
        <f t="shared" si="542"/>
        <v>#DIV/0!</v>
      </c>
      <c r="FC40" s="34" t="e">
        <f t="shared" si="543"/>
        <v>#DIV/0!</v>
      </c>
      <c r="FD40" s="34" t="e">
        <f t="shared" si="544"/>
        <v>#DIV/0!</v>
      </c>
      <c r="FE40" s="34" t="e">
        <f t="shared" si="545"/>
        <v>#DIV/0!</v>
      </c>
      <c r="FF40" s="139" t="e">
        <f t="shared" si="546"/>
        <v>#DIV/0!</v>
      </c>
    </row>
    <row r="41" spans="2:162" x14ac:dyDescent="0.25">
      <c r="B41" s="127">
        <f t="shared" si="547"/>
        <v>45528</v>
      </c>
      <c r="C41" s="266"/>
      <c r="D41" s="53"/>
      <c r="E41" s="129"/>
      <c r="F41" s="25"/>
      <c r="G41" s="25"/>
      <c r="H41" s="150"/>
      <c r="I41" s="24"/>
      <c r="J41" s="151"/>
      <c r="K41" s="151"/>
      <c r="L41" s="152">
        <v>15.7</v>
      </c>
      <c r="M41" s="152" t="e">
        <f t="shared" si="441"/>
        <v>#DIV/0!</v>
      </c>
      <c r="N41" s="153" t="e">
        <f t="shared" si="442"/>
        <v>#DIV/0!</v>
      </c>
      <c r="O41" s="25"/>
      <c r="P41" s="95"/>
      <c r="Q41" s="41"/>
      <c r="R41" s="41"/>
      <c r="S41" s="41"/>
      <c r="T41" s="41"/>
      <c r="U41" s="41"/>
      <c r="V41" s="41"/>
      <c r="W41" s="42"/>
      <c r="X41" s="95"/>
      <c r="Y41" s="41"/>
      <c r="Z41" s="41"/>
      <c r="AA41" s="42"/>
      <c r="AB41" s="95"/>
      <c r="AC41" s="41"/>
      <c r="AD41" s="41"/>
      <c r="AE41" s="41"/>
      <c r="AF41" s="41"/>
      <c r="AG41" s="42"/>
      <c r="AH41" s="95"/>
      <c r="AI41" s="41"/>
      <c r="AJ41" s="41"/>
      <c r="AK41" s="41"/>
      <c r="AL41" s="42"/>
      <c r="AM41" s="95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2"/>
      <c r="BB41" s="95" t="e">
        <f t="shared" si="443"/>
        <v>#DIV/0!</v>
      </c>
      <c r="BC41" s="41" t="e">
        <f t="shared" si="444"/>
        <v>#DIV/0!</v>
      </c>
      <c r="BD41" s="41" t="e">
        <f t="shared" si="445"/>
        <v>#DIV/0!</v>
      </c>
      <c r="BE41" s="41" t="e">
        <f t="shared" si="446"/>
        <v>#DIV/0!</v>
      </c>
      <c r="BF41" s="41" t="e">
        <f t="shared" si="447"/>
        <v>#DIV/0!</v>
      </c>
      <c r="BG41" s="41" t="e">
        <f t="shared" si="448"/>
        <v>#DIV/0!</v>
      </c>
      <c r="BH41" s="41" t="e">
        <f t="shared" si="449"/>
        <v>#DIV/0!</v>
      </c>
      <c r="BI41" s="42" t="e">
        <f t="shared" si="450"/>
        <v>#DIV/0!</v>
      </c>
      <c r="BJ41" s="95" t="e">
        <f t="shared" si="451"/>
        <v>#DIV/0!</v>
      </c>
      <c r="BK41" s="41" t="e">
        <f t="shared" si="452"/>
        <v>#DIV/0!</v>
      </c>
      <c r="BL41" s="41" t="e">
        <f t="shared" si="453"/>
        <v>#DIV/0!</v>
      </c>
      <c r="BM41" s="42" t="e">
        <f t="shared" si="454"/>
        <v>#DIV/0!</v>
      </c>
      <c r="BN41" s="95" t="e">
        <f t="shared" si="455"/>
        <v>#DIV/0!</v>
      </c>
      <c r="BO41" s="41" t="e">
        <f t="shared" si="456"/>
        <v>#DIV/0!</v>
      </c>
      <c r="BP41" s="41" t="e">
        <f t="shared" si="457"/>
        <v>#DIV/0!</v>
      </c>
      <c r="BQ41" s="41" t="e">
        <f t="shared" si="458"/>
        <v>#DIV/0!</v>
      </c>
      <c r="BR41" s="41" t="e">
        <f t="shared" si="459"/>
        <v>#DIV/0!</v>
      </c>
      <c r="BS41" s="42" t="e">
        <f t="shared" si="460"/>
        <v>#DIV/0!</v>
      </c>
      <c r="BT41" s="95" t="e">
        <f t="shared" si="461"/>
        <v>#DIV/0!</v>
      </c>
      <c r="BU41" s="41" t="e">
        <f t="shared" si="462"/>
        <v>#DIV/0!</v>
      </c>
      <c r="BV41" s="41" t="e">
        <f t="shared" si="463"/>
        <v>#DIV/0!</v>
      </c>
      <c r="BW41" s="41" t="e">
        <f t="shared" si="464"/>
        <v>#DIV/0!</v>
      </c>
      <c r="BX41" s="42" t="e">
        <f t="shared" si="465"/>
        <v>#DIV/0!</v>
      </c>
      <c r="BY41" s="95" t="e">
        <f t="shared" si="466"/>
        <v>#DIV/0!</v>
      </c>
      <c r="BZ41" s="41" t="e">
        <f t="shared" si="467"/>
        <v>#DIV/0!</v>
      </c>
      <c r="CA41" s="41" t="e">
        <f t="shared" si="468"/>
        <v>#DIV/0!</v>
      </c>
      <c r="CB41" s="41" t="e">
        <f t="shared" si="469"/>
        <v>#DIV/0!</v>
      </c>
      <c r="CC41" s="41" t="e">
        <f t="shared" si="470"/>
        <v>#DIV/0!</v>
      </c>
      <c r="CD41" s="41" t="e">
        <f t="shared" si="471"/>
        <v>#DIV/0!</v>
      </c>
      <c r="CE41" s="41" t="e">
        <f t="shared" si="472"/>
        <v>#DIV/0!</v>
      </c>
      <c r="CF41" s="41" t="e">
        <f t="shared" si="473"/>
        <v>#DIV/0!</v>
      </c>
      <c r="CG41" s="41" t="e">
        <f t="shared" si="474"/>
        <v>#DIV/0!</v>
      </c>
      <c r="CH41" s="41" t="e">
        <f t="shared" si="475"/>
        <v>#DIV/0!</v>
      </c>
      <c r="CI41" s="41" t="e">
        <f t="shared" si="476"/>
        <v>#DIV/0!</v>
      </c>
      <c r="CJ41" s="42" t="e">
        <f t="shared" si="477"/>
        <v>#DIV/0!</v>
      </c>
      <c r="CL41" s="36">
        <v>2</v>
      </c>
      <c r="CN41" s="95" t="e">
        <f t="shared" ref="CN41" si="548">AVERAGE(BB41:BB42)*$CL41</f>
        <v>#DIV/0!</v>
      </c>
      <c r="CO41" s="41" t="e">
        <f t="shared" ref="CO41" si="549">AVERAGE(BC41:BC42)*$CL41</f>
        <v>#DIV/0!</v>
      </c>
      <c r="CP41" s="41" t="e">
        <f t="shared" ref="CP41" si="550">AVERAGE(BD41:BD42)*$CL41</f>
        <v>#DIV/0!</v>
      </c>
      <c r="CQ41" s="41" t="e">
        <f t="shared" ref="CQ41" si="551">AVERAGE(BE41:BE42)*$CL41</f>
        <v>#DIV/0!</v>
      </c>
      <c r="CR41" s="41" t="e">
        <f t="shared" ref="CR41" si="552">AVERAGE(BF41:BF42)*$CL41</f>
        <v>#DIV/0!</v>
      </c>
      <c r="CS41" s="41" t="e">
        <f t="shared" ref="CS41" si="553">AVERAGE(BG41:BG42)*$CL41</f>
        <v>#DIV/0!</v>
      </c>
      <c r="CT41" s="41" t="e">
        <f t="shared" ref="CT41" si="554">AVERAGE(BH41:BH42)*$CL41</f>
        <v>#DIV/0!</v>
      </c>
      <c r="CU41" s="42" t="e">
        <f t="shared" ref="CU41" si="555">AVERAGE(BI41:BI42)*$CL41</f>
        <v>#DIV/0!</v>
      </c>
      <c r="CV41" s="95" t="e">
        <f t="shared" ref="CV41" si="556">AVERAGE(BJ41:BJ42)*$CL41</f>
        <v>#DIV/0!</v>
      </c>
      <c r="CW41" s="41" t="e">
        <f t="shared" ref="CW41" si="557">AVERAGE(BK41:BK42)*$CL41</f>
        <v>#DIV/0!</v>
      </c>
      <c r="CX41" s="41" t="e">
        <f t="shared" ref="CX41" si="558">AVERAGE(BL41:BL42)*$CL41</f>
        <v>#DIV/0!</v>
      </c>
      <c r="CY41" s="42" t="e">
        <f t="shared" ref="CY41" si="559">AVERAGE(BM41:BM42)*$CL41</f>
        <v>#DIV/0!</v>
      </c>
      <c r="CZ41" s="95" t="e">
        <f t="shared" ref="CZ41" si="560">AVERAGE(BN41:BN42)*$CL41</f>
        <v>#DIV/0!</v>
      </c>
      <c r="DA41" s="41" t="e">
        <f t="shared" ref="DA41" si="561">AVERAGE(BO41:BO42)*$CL41</f>
        <v>#DIV/0!</v>
      </c>
      <c r="DB41" s="41" t="e">
        <f t="shared" ref="DB41" si="562">AVERAGE(BP41:BP42)*$CL41</f>
        <v>#DIV/0!</v>
      </c>
      <c r="DC41" s="41" t="e">
        <f t="shared" ref="DC41" si="563">AVERAGE(BQ41:BQ42)*$CL41</f>
        <v>#DIV/0!</v>
      </c>
      <c r="DD41" s="41" t="e">
        <f t="shared" ref="DD41" si="564">AVERAGE(BR41:BR42)*$CL41</f>
        <v>#DIV/0!</v>
      </c>
      <c r="DE41" s="42" t="e">
        <f t="shared" ref="DE41" si="565">AVERAGE(BS41:BS42)*$CL41</f>
        <v>#DIV/0!</v>
      </c>
      <c r="DF41" s="95" t="e">
        <f t="shared" ref="DF41" si="566">AVERAGE(BT41:BT42)*$CL41</f>
        <v>#DIV/0!</v>
      </c>
      <c r="DG41" s="41" t="e">
        <f t="shared" ref="DG41" si="567">AVERAGE(BU41:BU42)*$CL41</f>
        <v>#DIV/0!</v>
      </c>
      <c r="DH41" s="41" t="e">
        <f t="shared" ref="DH41" si="568">AVERAGE(BV41:BV42)*$CL41</f>
        <v>#DIV/0!</v>
      </c>
      <c r="DI41" s="41" t="e">
        <f t="shared" ref="DI41" si="569">AVERAGE(BW41:BW42)*$CL41</f>
        <v>#DIV/0!</v>
      </c>
      <c r="DJ41" s="42" t="e">
        <f t="shared" ref="DJ41" si="570">AVERAGE(BX41:BX42)*$CL41</f>
        <v>#DIV/0!</v>
      </c>
      <c r="DK41" s="95" t="e">
        <f t="shared" ref="DK41" si="571">AVERAGE(BY41:BY42)*$CL41</f>
        <v>#DIV/0!</v>
      </c>
      <c r="DL41" s="41" t="e">
        <f t="shared" ref="DL41" si="572">AVERAGE(BZ41:BZ42)*$CL41</f>
        <v>#DIV/0!</v>
      </c>
      <c r="DM41" s="41" t="e">
        <f t="shared" ref="DM41" si="573">AVERAGE(CA41:CA42)*$CL41</f>
        <v>#DIV/0!</v>
      </c>
      <c r="DN41" s="41" t="e">
        <f t="shared" ref="DN41" si="574">AVERAGE(CB41:CB42)*$CL41</f>
        <v>#DIV/0!</v>
      </c>
      <c r="DO41" s="41" t="e">
        <f t="shared" ref="DO41" si="575">AVERAGE(CC41:CC42)*$CL41</f>
        <v>#DIV/0!</v>
      </c>
      <c r="DP41" s="41" t="e">
        <f t="shared" ref="DP41" si="576">AVERAGE(CD41:CD42)*$CL41</f>
        <v>#DIV/0!</v>
      </c>
      <c r="DQ41" s="41" t="e">
        <f t="shared" ref="DQ41" si="577">AVERAGE(CE41:CE42)*$CL41</f>
        <v>#DIV/0!</v>
      </c>
      <c r="DR41" s="41" t="e">
        <f t="shared" ref="DR41" si="578">AVERAGE(CF41:CF42)*$CL41</f>
        <v>#DIV/0!</v>
      </c>
      <c r="DS41" s="41" t="e">
        <f t="shared" ref="DS41" si="579">AVERAGE(CG41:CG42)*$CL41</f>
        <v>#DIV/0!</v>
      </c>
      <c r="DT41" s="41" t="e">
        <f t="shared" ref="DT41" si="580">AVERAGE(CH41:CH42)*$CL41</f>
        <v>#DIV/0!</v>
      </c>
      <c r="DU41" s="41" t="e">
        <f t="shared" ref="DU41" si="581">AVERAGE(CI41:CI42)*$CL41</f>
        <v>#DIV/0!</v>
      </c>
      <c r="DV41" s="42" t="e">
        <f t="shared" ref="DV41" si="582">AVERAGE(CJ41:CJ42)*$CL41</f>
        <v>#DIV/0!</v>
      </c>
      <c r="DX41" s="138" t="e">
        <f t="shared" si="512"/>
        <v>#DIV/0!</v>
      </c>
      <c r="DY41" s="34" t="e">
        <f t="shared" si="513"/>
        <v>#DIV/0!</v>
      </c>
      <c r="DZ41" s="34" t="e">
        <f t="shared" si="514"/>
        <v>#DIV/0!</v>
      </c>
      <c r="EA41" s="34" t="e">
        <f t="shared" si="515"/>
        <v>#DIV/0!</v>
      </c>
      <c r="EB41" s="34" t="e">
        <f t="shared" si="516"/>
        <v>#DIV/0!</v>
      </c>
      <c r="EC41" s="34" t="e">
        <f t="shared" si="517"/>
        <v>#DIV/0!</v>
      </c>
      <c r="ED41" s="34" t="e">
        <f t="shared" si="518"/>
        <v>#DIV/0!</v>
      </c>
      <c r="EE41" s="139" t="e">
        <f t="shared" si="519"/>
        <v>#DIV/0!</v>
      </c>
      <c r="EF41" s="138" t="e">
        <f t="shared" si="520"/>
        <v>#DIV/0!</v>
      </c>
      <c r="EG41" s="34" t="e">
        <f t="shared" si="521"/>
        <v>#DIV/0!</v>
      </c>
      <c r="EH41" s="34" t="e">
        <f t="shared" si="522"/>
        <v>#DIV/0!</v>
      </c>
      <c r="EI41" s="139" t="e">
        <f t="shared" si="523"/>
        <v>#DIV/0!</v>
      </c>
      <c r="EJ41" s="138" t="e">
        <f t="shared" si="524"/>
        <v>#DIV/0!</v>
      </c>
      <c r="EK41" s="34" t="e">
        <f t="shared" si="525"/>
        <v>#DIV/0!</v>
      </c>
      <c r="EL41" s="34" t="e">
        <f t="shared" si="526"/>
        <v>#DIV/0!</v>
      </c>
      <c r="EM41" s="34" t="e">
        <f t="shared" si="527"/>
        <v>#DIV/0!</v>
      </c>
      <c r="EN41" s="34" t="e">
        <f t="shared" si="528"/>
        <v>#DIV/0!</v>
      </c>
      <c r="EO41" s="139" t="e">
        <f t="shared" si="529"/>
        <v>#DIV/0!</v>
      </c>
      <c r="EP41" s="138" t="e">
        <f t="shared" si="530"/>
        <v>#DIV/0!</v>
      </c>
      <c r="EQ41" s="34" t="e">
        <f t="shared" si="531"/>
        <v>#DIV/0!</v>
      </c>
      <c r="ER41" s="34" t="e">
        <f t="shared" si="532"/>
        <v>#DIV/0!</v>
      </c>
      <c r="ES41" s="34" t="e">
        <f t="shared" si="533"/>
        <v>#DIV/0!</v>
      </c>
      <c r="ET41" s="139" t="e">
        <f t="shared" si="534"/>
        <v>#DIV/0!</v>
      </c>
      <c r="EU41" s="138" t="e">
        <f t="shared" si="535"/>
        <v>#DIV/0!</v>
      </c>
      <c r="EV41" s="34" t="e">
        <f t="shared" si="536"/>
        <v>#DIV/0!</v>
      </c>
      <c r="EW41" s="34" t="e">
        <f t="shared" si="537"/>
        <v>#DIV/0!</v>
      </c>
      <c r="EX41" s="34" t="e">
        <f t="shared" si="538"/>
        <v>#DIV/0!</v>
      </c>
      <c r="EY41" s="34" t="e">
        <f t="shared" si="539"/>
        <v>#DIV/0!</v>
      </c>
      <c r="EZ41" s="34" t="e">
        <f t="shared" si="540"/>
        <v>#DIV/0!</v>
      </c>
      <c r="FA41" s="34" t="e">
        <f t="shared" si="541"/>
        <v>#DIV/0!</v>
      </c>
      <c r="FB41" s="34" t="e">
        <f t="shared" si="542"/>
        <v>#DIV/0!</v>
      </c>
      <c r="FC41" s="34" t="e">
        <f t="shared" si="543"/>
        <v>#DIV/0!</v>
      </c>
      <c r="FD41" s="34" t="e">
        <f t="shared" si="544"/>
        <v>#DIV/0!</v>
      </c>
      <c r="FE41" s="34" t="e">
        <f t="shared" si="545"/>
        <v>#DIV/0!</v>
      </c>
      <c r="FF41" s="139" t="e">
        <f t="shared" si="546"/>
        <v>#DIV/0!</v>
      </c>
    </row>
    <row r="42" spans="2:162" ht="16.5" thickBot="1" x14ac:dyDescent="0.3">
      <c r="B42" s="127">
        <f t="shared" si="547"/>
        <v>45529</v>
      </c>
      <c r="C42" s="267"/>
      <c r="D42" s="100"/>
      <c r="E42" s="131"/>
      <c r="F42" s="25"/>
      <c r="G42" s="25"/>
      <c r="H42" s="171"/>
      <c r="I42" s="172"/>
      <c r="J42" s="173"/>
      <c r="K42" s="173"/>
      <c r="L42" s="174">
        <v>15.6</v>
      </c>
      <c r="M42" s="174" t="e">
        <f t="shared" si="441"/>
        <v>#DIV/0!</v>
      </c>
      <c r="N42" s="175" t="e">
        <f t="shared" si="442"/>
        <v>#DIV/0!</v>
      </c>
      <c r="O42" s="25"/>
      <c r="P42" s="96"/>
      <c r="Q42" s="76"/>
      <c r="R42" s="76"/>
      <c r="S42" s="76"/>
      <c r="T42" s="76"/>
      <c r="U42" s="76"/>
      <c r="V42" s="76"/>
      <c r="W42" s="77"/>
      <c r="X42" s="96"/>
      <c r="Y42" s="76"/>
      <c r="Z42" s="76"/>
      <c r="AA42" s="77"/>
      <c r="AB42" s="96"/>
      <c r="AC42" s="76"/>
      <c r="AD42" s="76"/>
      <c r="AE42" s="76"/>
      <c r="AF42" s="76"/>
      <c r="AG42" s="77"/>
      <c r="AH42" s="96"/>
      <c r="AI42" s="76"/>
      <c r="AJ42" s="76"/>
      <c r="AK42" s="76"/>
      <c r="AL42" s="77"/>
      <c r="AM42" s="9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7"/>
      <c r="BB42" s="96" t="e">
        <f t="shared" si="443"/>
        <v>#DIV/0!</v>
      </c>
      <c r="BC42" s="76" t="e">
        <f t="shared" si="444"/>
        <v>#DIV/0!</v>
      </c>
      <c r="BD42" s="76" t="e">
        <f t="shared" si="445"/>
        <v>#DIV/0!</v>
      </c>
      <c r="BE42" s="76" t="e">
        <f t="shared" si="446"/>
        <v>#DIV/0!</v>
      </c>
      <c r="BF42" s="76" t="e">
        <f t="shared" si="447"/>
        <v>#DIV/0!</v>
      </c>
      <c r="BG42" s="76" t="e">
        <f t="shared" si="448"/>
        <v>#DIV/0!</v>
      </c>
      <c r="BH42" s="76" t="e">
        <f t="shared" si="449"/>
        <v>#DIV/0!</v>
      </c>
      <c r="BI42" s="77" t="e">
        <f t="shared" si="450"/>
        <v>#DIV/0!</v>
      </c>
      <c r="BJ42" s="96" t="e">
        <f t="shared" si="451"/>
        <v>#DIV/0!</v>
      </c>
      <c r="BK42" s="76" t="e">
        <f t="shared" si="452"/>
        <v>#DIV/0!</v>
      </c>
      <c r="BL42" s="76" t="e">
        <f t="shared" si="453"/>
        <v>#DIV/0!</v>
      </c>
      <c r="BM42" s="77" t="e">
        <f t="shared" si="454"/>
        <v>#DIV/0!</v>
      </c>
      <c r="BN42" s="96" t="e">
        <f t="shared" si="455"/>
        <v>#DIV/0!</v>
      </c>
      <c r="BO42" s="76" t="e">
        <f t="shared" si="456"/>
        <v>#DIV/0!</v>
      </c>
      <c r="BP42" s="76" t="e">
        <f t="shared" si="457"/>
        <v>#DIV/0!</v>
      </c>
      <c r="BQ42" s="76" t="e">
        <f t="shared" si="458"/>
        <v>#DIV/0!</v>
      </c>
      <c r="BR42" s="76" t="e">
        <f t="shared" si="459"/>
        <v>#DIV/0!</v>
      </c>
      <c r="BS42" s="77" t="e">
        <f t="shared" si="460"/>
        <v>#DIV/0!</v>
      </c>
      <c r="BT42" s="96" t="e">
        <f t="shared" si="461"/>
        <v>#DIV/0!</v>
      </c>
      <c r="BU42" s="76" t="e">
        <f t="shared" si="462"/>
        <v>#DIV/0!</v>
      </c>
      <c r="BV42" s="76" t="e">
        <f t="shared" si="463"/>
        <v>#DIV/0!</v>
      </c>
      <c r="BW42" s="76" t="e">
        <f t="shared" si="464"/>
        <v>#DIV/0!</v>
      </c>
      <c r="BX42" s="77" t="e">
        <f t="shared" si="465"/>
        <v>#DIV/0!</v>
      </c>
      <c r="BY42" s="96" t="e">
        <f t="shared" si="466"/>
        <v>#DIV/0!</v>
      </c>
      <c r="BZ42" s="76" t="e">
        <f t="shared" si="467"/>
        <v>#DIV/0!</v>
      </c>
      <c r="CA42" s="76" t="e">
        <f t="shared" si="468"/>
        <v>#DIV/0!</v>
      </c>
      <c r="CB42" s="76" t="e">
        <f t="shared" si="469"/>
        <v>#DIV/0!</v>
      </c>
      <c r="CC42" s="76" t="e">
        <f t="shared" si="470"/>
        <v>#DIV/0!</v>
      </c>
      <c r="CD42" s="76" t="e">
        <f t="shared" si="471"/>
        <v>#DIV/0!</v>
      </c>
      <c r="CE42" s="76" t="e">
        <f t="shared" si="472"/>
        <v>#DIV/0!</v>
      </c>
      <c r="CF42" s="76" t="e">
        <f t="shared" si="473"/>
        <v>#DIV/0!</v>
      </c>
      <c r="CG42" s="76" t="e">
        <f t="shared" si="474"/>
        <v>#DIV/0!</v>
      </c>
      <c r="CH42" s="76" t="e">
        <f t="shared" si="475"/>
        <v>#DIV/0!</v>
      </c>
      <c r="CI42" s="76" t="e">
        <f t="shared" si="476"/>
        <v>#DIV/0!</v>
      </c>
      <c r="CJ42" s="77" t="e">
        <f t="shared" si="477"/>
        <v>#DIV/0!</v>
      </c>
      <c r="CN42" s="96"/>
      <c r="CO42" s="76"/>
      <c r="CP42" s="76"/>
      <c r="CQ42" s="76"/>
      <c r="CR42" s="76"/>
      <c r="CS42" s="76"/>
      <c r="CT42" s="76"/>
      <c r="CU42" s="77"/>
      <c r="CV42" s="96"/>
      <c r="CW42" s="76"/>
      <c r="CX42" s="76"/>
      <c r="CY42" s="77"/>
      <c r="CZ42" s="96"/>
      <c r="DA42" s="76"/>
      <c r="DB42" s="76"/>
      <c r="DC42" s="76"/>
      <c r="DD42" s="76"/>
      <c r="DE42" s="77"/>
      <c r="DF42" s="96"/>
      <c r="DG42" s="76"/>
      <c r="DH42" s="76"/>
      <c r="DI42" s="76"/>
      <c r="DJ42" s="77"/>
      <c r="DK42" s="96"/>
      <c r="DL42" s="76"/>
      <c r="DM42" s="76"/>
      <c r="DN42" s="76"/>
      <c r="DO42" s="76"/>
      <c r="DP42" s="76"/>
      <c r="DQ42" s="76"/>
      <c r="DR42" s="76"/>
      <c r="DS42" s="76"/>
      <c r="DT42" s="76"/>
      <c r="DU42" s="76"/>
      <c r="DV42" s="77"/>
      <c r="DX42" s="140" t="e">
        <f t="shared" si="512"/>
        <v>#DIV/0!</v>
      </c>
      <c r="DY42" s="141" t="e">
        <f t="shared" si="513"/>
        <v>#DIV/0!</v>
      </c>
      <c r="DZ42" s="141" t="e">
        <f t="shared" si="514"/>
        <v>#DIV/0!</v>
      </c>
      <c r="EA42" s="141" t="e">
        <f t="shared" si="515"/>
        <v>#DIV/0!</v>
      </c>
      <c r="EB42" s="141" t="e">
        <f t="shared" si="516"/>
        <v>#DIV/0!</v>
      </c>
      <c r="EC42" s="141" t="e">
        <f t="shared" si="517"/>
        <v>#DIV/0!</v>
      </c>
      <c r="ED42" s="141" t="e">
        <f t="shared" si="518"/>
        <v>#DIV/0!</v>
      </c>
      <c r="EE42" s="142" t="e">
        <f t="shared" si="519"/>
        <v>#DIV/0!</v>
      </c>
      <c r="EF42" s="140" t="e">
        <f t="shared" si="520"/>
        <v>#DIV/0!</v>
      </c>
      <c r="EG42" s="141" t="e">
        <f t="shared" si="521"/>
        <v>#DIV/0!</v>
      </c>
      <c r="EH42" s="141" t="e">
        <f t="shared" si="522"/>
        <v>#DIV/0!</v>
      </c>
      <c r="EI42" s="142" t="e">
        <f t="shared" si="523"/>
        <v>#DIV/0!</v>
      </c>
      <c r="EJ42" s="140" t="e">
        <f t="shared" si="524"/>
        <v>#DIV/0!</v>
      </c>
      <c r="EK42" s="141" t="e">
        <f t="shared" si="525"/>
        <v>#DIV/0!</v>
      </c>
      <c r="EL42" s="141" t="e">
        <f t="shared" si="526"/>
        <v>#DIV/0!</v>
      </c>
      <c r="EM42" s="141" t="e">
        <f t="shared" si="527"/>
        <v>#DIV/0!</v>
      </c>
      <c r="EN42" s="141" t="e">
        <f t="shared" si="528"/>
        <v>#DIV/0!</v>
      </c>
      <c r="EO42" s="142" t="e">
        <f t="shared" si="529"/>
        <v>#DIV/0!</v>
      </c>
      <c r="EP42" s="140" t="e">
        <f t="shared" si="530"/>
        <v>#DIV/0!</v>
      </c>
      <c r="EQ42" s="141" t="e">
        <f t="shared" si="531"/>
        <v>#DIV/0!</v>
      </c>
      <c r="ER42" s="141" t="e">
        <f t="shared" si="532"/>
        <v>#DIV/0!</v>
      </c>
      <c r="ES42" s="141" t="e">
        <f t="shared" si="533"/>
        <v>#DIV/0!</v>
      </c>
      <c r="ET42" s="142" t="e">
        <f t="shared" si="534"/>
        <v>#DIV/0!</v>
      </c>
      <c r="EU42" s="140" t="e">
        <f t="shared" si="535"/>
        <v>#DIV/0!</v>
      </c>
      <c r="EV42" s="141" t="e">
        <f t="shared" si="536"/>
        <v>#DIV/0!</v>
      </c>
      <c r="EW42" s="141" t="e">
        <f t="shared" si="537"/>
        <v>#DIV/0!</v>
      </c>
      <c r="EX42" s="141" t="e">
        <f t="shared" si="538"/>
        <v>#DIV/0!</v>
      </c>
      <c r="EY42" s="141" t="e">
        <f t="shared" si="539"/>
        <v>#DIV/0!</v>
      </c>
      <c r="EZ42" s="141" t="e">
        <f t="shared" si="540"/>
        <v>#DIV/0!</v>
      </c>
      <c r="FA42" s="141" t="e">
        <f t="shared" si="541"/>
        <v>#DIV/0!</v>
      </c>
      <c r="FB42" s="141" t="e">
        <f t="shared" si="542"/>
        <v>#DIV/0!</v>
      </c>
      <c r="FC42" s="141" t="e">
        <f t="shared" si="543"/>
        <v>#DIV/0!</v>
      </c>
      <c r="FD42" s="141" t="e">
        <f t="shared" si="544"/>
        <v>#DIV/0!</v>
      </c>
      <c r="FE42" s="141" t="e">
        <f t="shared" si="545"/>
        <v>#DIV/0!</v>
      </c>
      <c r="FF42" s="142" t="e">
        <f t="shared" si="546"/>
        <v>#DIV/0!</v>
      </c>
    </row>
    <row r="43" spans="2:162" ht="17.25" thickTop="1" thickBot="1" x14ac:dyDescent="0.3">
      <c r="B43" s="178"/>
      <c r="C43" s="268"/>
      <c r="D43" s="101">
        <f t="shared" ref="D43:E43" si="583">SUM(D36:D42)</f>
        <v>0</v>
      </c>
      <c r="E43" s="134">
        <f t="shared" si="583"/>
        <v>0</v>
      </c>
      <c r="F43" s="146"/>
      <c r="G43" s="146"/>
      <c r="H43" s="43"/>
      <c r="I43" s="39"/>
      <c r="J43" s="39"/>
      <c r="K43" s="39"/>
      <c r="L43" s="184"/>
      <c r="M43" s="185"/>
      <c r="N43" s="170" t="e">
        <f>AVERAGE(N36:N40)*5+AVERAGE(N41:N42)*2</f>
        <v>#DIV/0!</v>
      </c>
      <c r="O43" s="146"/>
      <c r="P43" s="68">
        <f t="shared" ref="P43:AZ43" si="584">SUM(P36:P42)</f>
        <v>0</v>
      </c>
      <c r="Q43" s="65">
        <f t="shared" si="584"/>
        <v>0</v>
      </c>
      <c r="R43" s="65">
        <f t="shared" si="584"/>
        <v>0</v>
      </c>
      <c r="S43" s="65">
        <f t="shared" si="584"/>
        <v>0</v>
      </c>
      <c r="T43" s="65">
        <f t="shared" si="584"/>
        <v>0</v>
      </c>
      <c r="U43" s="65">
        <f t="shared" si="584"/>
        <v>0</v>
      </c>
      <c r="V43" s="65">
        <f t="shared" si="584"/>
        <v>0</v>
      </c>
      <c r="W43" s="66">
        <f t="shared" si="584"/>
        <v>0</v>
      </c>
      <c r="X43" s="68">
        <f t="shared" si="584"/>
        <v>0</v>
      </c>
      <c r="Y43" s="65">
        <f t="shared" si="584"/>
        <v>0</v>
      </c>
      <c r="Z43" s="65">
        <f t="shared" si="584"/>
        <v>0</v>
      </c>
      <c r="AA43" s="66">
        <f t="shared" si="584"/>
        <v>0</v>
      </c>
      <c r="AB43" s="68">
        <f t="shared" si="584"/>
        <v>0</v>
      </c>
      <c r="AC43" s="65">
        <f t="shared" si="584"/>
        <v>0</v>
      </c>
      <c r="AD43" s="65">
        <f t="shared" si="584"/>
        <v>0</v>
      </c>
      <c r="AE43" s="65">
        <f t="shared" si="584"/>
        <v>0</v>
      </c>
      <c r="AF43" s="65">
        <f t="shared" si="584"/>
        <v>0</v>
      </c>
      <c r="AG43" s="66">
        <f t="shared" si="584"/>
        <v>0</v>
      </c>
      <c r="AH43" s="68">
        <f t="shared" si="584"/>
        <v>0</v>
      </c>
      <c r="AI43" s="65">
        <f t="shared" si="584"/>
        <v>0</v>
      </c>
      <c r="AJ43" s="65">
        <f t="shared" si="584"/>
        <v>0</v>
      </c>
      <c r="AK43" s="65">
        <f t="shared" si="584"/>
        <v>0</v>
      </c>
      <c r="AL43" s="66">
        <f t="shared" si="584"/>
        <v>0</v>
      </c>
      <c r="AM43" s="68">
        <f t="shared" si="584"/>
        <v>0</v>
      </c>
      <c r="AN43" s="65">
        <f t="shared" si="584"/>
        <v>0</v>
      </c>
      <c r="AO43" s="65">
        <f t="shared" si="584"/>
        <v>0</v>
      </c>
      <c r="AP43" s="65">
        <f t="shared" si="584"/>
        <v>0</v>
      </c>
      <c r="AQ43" s="65">
        <f t="shared" si="584"/>
        <v>0</v>
      </c>
      <c r="AR43" s="65">
        <f t="shared" si="584"/>
        <v>0</v>
      </c>
      <c r="AS43" s="65">
        <f t="shared" si="584"/>
        <v>0</v>
      </c>
      <c r="AT43" s="65">
        <f t="shared" si="584"/>
        <v>0</v>
      </c>
      <c r="AU43" s="65">
        <f t="shared" si="584"/>
        <v>0</v>
      </c>
      <c r="AV43" s="65">
        <f t="shared" si="584"/>
        <v>0</v>
      </c>
      <c r="AW43" s="65">
        <f t="shared" si="584"/>
        <v>0</v>
      </c>
      <c r="AX43" s="65">
        <f t="shared" si="584"/>
        <v>0</v>
      </c>
      <c r="AY43" s="65">
        <f t="shared" si="584"/>
        <v>0</v>
      </c>
      <c r="AZ43" s="66">
        <f t="shared" si="584"/>
        <v>0</v>
      </c>
      <c r="BB43" s="68" t="e">
        <f t="shared" ref="BB43:CJ43" si="585">SUM(BB36:BB42)</f>
        <v>#DIV/0!</v>
      </c>
      <c r="BC43" s="65" t="e">
        <f t="shared" si="585"/>
        <v>#DIV/0!</v>
      </c>
      <c r="BD43" s="65" t="e">
        <f t="shared" si="585"/>
        <v>#DIV/0!</v>
      </c>
      <c r="BE43" s="65" t="e">
        <f t="shared" si="585"/>
        <v>#DIV/0!</v>
      </c>
      <c r="BF43" s="65" t="e">
        <f t="shared" si="585"/>
        <v>#DIV/0!</v>
      </c>
      <c r="BG43" s="65" t="e">
        <f t="shared" si="585"/>
        <v>#DIV/0!</v>
      </c>
      <c r="BH43" s="65" t="e">
        <f t="shared" si="585"/>
        <v>#DIV/0!</v>
      </c>
      <c r="BI43" s="66" t="e">
        <f t="shared" si="585"/>
        <v>#DIV/0!</v>
      </c>
      <c r="BJ43" s="68" t="e">
        <f t="shared" si="585"/>
        <v>#DIV/0!</v>
      </c>
      <c r="BK43" s="65" t="e">
        <f t="shared" si="585"/>
        <v>#DIV/0!</v>
      </c>
      <c r="BL43" s="65" t="e">
        <f t="shared" si="585"/>
        <v>#DIV/0!</v>
      </c>
      <c r="BM43" s="66" t="e">
        <f t="shared" si="585"/>
        <v>#DIV/0!</v>
      </c>
      <c r="BN43" s="68" t="e">
        <f t="shared" si="585"/>
        <v>#DIV/0!</v>
      </c>
      <c r="BO43" s="65" t="e">
        <f t="shared" si="585"/>
        <v>#DIV/0!</v>
      </c>
      <c r="BP43" s="65" t="e">
        <f t="shared" si="585"/>
        <v>#DIV/0!</v>
      </c>
      <c r="BQ43" s="65" t="e">
        <f t="shared" si="585"/>
        <v>#DIV/0!</v>
      </c>
      <c r="BR43" s="65" t="e">
        <f t="shared" si="585"/>
        <v>#DIV/0!</v>
      </c>
      <c r="BS43" s="66" t="e">
        <f t="shared" si="585"/>
        <v>#DIV/0!</v>
      </c>
      <c r="BT43" s="68" t="e">
        <f t="shared" si="585"/>
        <v>#DIV/0!</v>
      </c>
      <c r="BU43" s="65" t="e">
        <f t="shared" si="585"/>
        <v>#DIV/0!</v>
      </c>
      <c r="BV43" s="65" t="e">
        <f t="shared" si="585"/>
        <v>#DIV/0!</v>
      </c>
      <c r="BW43" s="65" t="e">
        <f t="shared" si="585"/>
        <v>#DIV/0!</v>
      </c>
      <c r="BX43" s="66" t="e">
        <f t="shared" si="585"/>
        <v>#DIV/0!</v>
      </c>
      <c r="BY43" s="68" t="e">
        <f t="shared" si="585"/>
        <v>#DIV/0!</v>
      </c>
      <c r="BZ43" s="65" t="e">
        <f t="shared" si="585"/>
        <v>#DIV/0!</v>
      </c>
      <c r="CA43" s="65" t="e">
        <f t="shared" si="585"/>
        <v>#DIV/0!</v>
      </c>
      <c r="CB43" s="65" t="e">
        <f t="shared" si="585"/>
        <v>#DIV/0!</v>
      </c>
      <c r="CC43" s="65" t="e">
        <f t="shared" si="585"/>
        <v>#DIV/0!</v>
      </c>
      <c r="CD43" s="65" t="e">
        <f t="shared" si="585"/>
        <v>#DIV/0!</v>
      </c>
      <c r="CE43" s="65" t="e">
        <f t="shared" si="585"/>
        <v>#DIV/0!</v>
      </c>
      <c r="CF43" s="65" t="e">
        <f t="shared" si="585"/>
        <v>#DIV/0!</v>
      </c>
      <c r="CG43" s="65" t="e">
        <f t="shared" si="585"/>
        <v>#DIV/0!</v>
      </c>
      <c r="CH43" s="65" t="e">
        <f t="shared" si="585"/>
        <v>#DIV/0!</v>
      </c>
      <c r="CI43" s="65" t="e">
        <f t="shared" si="585"/>
        <v>#DIV/0!</v>
      </c>
      <c r="CJ43" s="66" t="e">
        <f t="shared" si="585"/>
        <v>#DIV/0!</v>
      </c>
      <c r="CN43" s="68" t="e">
        <f t="shared" ref="CN43:DV43" si="586">SUM(CN36:CN42)</f>
        <v>#DIV/0!</v>
      </c>
      <c r="CO43" s="65" t="e">
        <f t="shared" si="586"/>
        <v>#DIV/0!</v>
      </c>
      <c r="CP43" s="65" t="e">
        <f t="shared" si="586"/>
        <v>#DIV/0!</v>
      </c>
      <c r="CQ43" s="65" t="e">
        <f t="shared" si="586"/>
        <v>#DIV/0!</v>
      </c>
      <c r="CR43" s="65" t="e">
        <f t="shared" si="586"/>
        <v>#DIV/0!</v>
      </c>
      <c r="CS43" s="65" t="e">
        <f t="shared" si="586"/>
        <v>#DIV/0!</v>
      </c>
      <c r="CT43" s="65" t="e">
        <f t="shared" si="586"/>
        <v>#DIV/0!</v>
      </c>
      <c r="CU43" s="66" t="e">
        <f t="shared" si="586"/>
        <v>#DIV/0!</v>
      </c>
      <c r="CV43" s="68" t="e">
        <f t="shared" si="586"/>
        <v>#DIV/0!</v>
      </c>
      <c r="CW43" s="65" t="e">
        <f t="shared" si="586"/>
        <v>#DIV/0!</v>
      </c>
      <c r="CX43" s="65" t="e">
        <f t="shared" si="586"/>
        <v>#DIV/0!</v>
      </c>
      <c r="CY43" s="66" t="e">
        <f t="shared" si="586"/>
        <v>#DIV/0!</v>
      </c>
      <c r="CZ43" s="68" t="e">
        <f t="shared" si="586"/>
        <v>#DIV/0!</v>
      </c>
      <c r="DA43" s="65" t="e">
        <f t="shared" si="586"/>
        <v>#DIV/0!</v>
      </c>
      <c r="DB43" s="65" t="e">
        <f t="shared" si="586"/>
        <v>#DIV/0!</v>
      </c>
      <c r="DC43" s="65" t="e">
        <f t="shared" si="586"/>
        <v>#DIV/0!</v>
      </c>
      <c r="DD43" s="65" t="e">
        <f t="shared" si="586"/>
        <v>#DIV/0!</v>
      </c>
      <c r="DE43" s="66" t="e">
        <f t="shared" si="586"/>
        <v>#DIV/0!</v>
      </c>
      <c r="DF43" s="68" t="e">
        <f t="shared" si="586"/>
        <v>#DIV/0!</v>
      </c>
      <c r="DG43" s="65" t="e">
        <f t="shared" si="586"/>
        <v>#DIV/0!</v>
      </c>
      <c r="DH43" s="65" t="e">
        <f t="shared" si="586"/>
        <v>#DIV/0!</v>
      </c>
      <c r="DI43" s="65" t="e">
        <f t="shared" si="586"/>
        <v>#DIV/0!</v>
      </c>
      <c r="DJ43" s="66" t="e">
        <f t="shared" si="586"/>
        <v>#DIV/0!</v>
      </c>
      <c r="DK43" s="68" t="e">
        <f t="shared" si="586"/>
        <v>#DIV/0!</v>
      </c>
      <c r="DL43" s="65" t="e">
        <f t="shared" si="586"/>
        <v>#DIV/0!</v>
      </c>
      <c r="DM43" s="65" t="e">
        <f t="shared" si="586"/>
        <v>#DIV/0!</v>
      </c>
      <c r="DN43" s="65" t="e">
        <f t="shared" si="586"/>
        <v>#DIV/0!</v>
      </c>
      <c r="DO43" s="65" t="e">
        <f t="shared" si="586"/>
        <v>#DIV/0!</v>
      </c>
      <c r="DP43" s="65" t="e">
        <f t="shared" si="586"/>
        <v>#DIV/0!</v>
      </c>
      <c r="DQ43" s="65" t="e">
        <f t="shared" si="586"/>
        <v>#DIV/0!</v>
      </c>
      <c r="DR43" s="65" t="e">
        <f t="shared" si="586"/>
        <v>#DIV/0!</v>
      </c>
      <c r="DS43" s="65" t="e">
        <f t="shared" si="586"/>
        <v>#DIV/0!</v>
      </c>
      <c r="DT43" s="65" t="e">
        <f t="shared" si="586"/>
        <v>#DIV/0!</v>
      </c>
      <c r="DU43" s="65" t="e">
        <f t="shared" si="586"/>
        <v>#DIV/0!</v>
      </c>
      <c r="DV43" s="66" t="e">
        <f t="shared" si="586"/>
        <v>#DIV/0!</v>
      </c>
      <c r="DX43" s="143" t="e">
        <f t="shared" ref="DX43:FF43" si="587">AVERAGE(DX36:DX42)</f>
        <v>#DIV/0!</v>
      </c>
      <c r="DY43" s="144" t="e">
        <f t="shared" si="587"/>
        <v>#DIV/0!</v>
      </c>
      <c r="DZ43" s="144" t="e">
        <f t="shared" si="587"/>
        <v>#DIV/0!</v>
      </c>
      <c r="EA43" s="144" t="e">
        <f t="shared" si="587"/>
        <v>#DIV/0!</v>
      </c>
      <c r="EB43" s="144" t="e">
        <f t="shared" si="587"/>
        <v>#DIV/0!</v>
      </c>
      <c r="EC43" s="144" t="e">
        <f t="shared" si="587"/>
        <v>#DIV/0!</v>
      </c>
      <c r="ED43" s="144" t="e">
        <f t="shared" si="587"/>
        <v>#DIV/0!</v>
      </c>
      <c r="EE43" s="145" t="e">
        <f t="shared" si="587"/>
        <v>#DIV/0!</v>
      </c>
      <c r="EF43" s="143" t="e">
        <f t="shared" si="587"/>
        <v>#DIV/0!</v>
      </c>
      <c r="EG43" s="144" t="e">
        <f t="shared" si="587"/>
        <v>#DIV/0!</v>
      </c>
      <c r="EH43" s="144" t="e">
        <f t="shared" si="587"/>
        <v>#DIV/0!</v>
      </c>
      <c r="EI43" s="145" t="e">
        <f t="shared" si="587"/>
        <v>#DIV/0!</v>
      </c>
      <c r="EJ43" s="143" t="e">
        <f t="shared" si="587"/>
        <v>#DIV/0!</v>
      </c>
      <c r="EK43" s="144" t="e">
        <f t="shared" si="587"/>
        <v>#DIV/0!</v>
      </c>
      <c r="EL43" s="144" t="e">
        <f t="shared" si="587"/>
        <v>#DIV/0!</v>
      </c>
      <c r="EM43" s="144" t="e">
        <f t="shared" si="587"/>
        <v>#DIV/0!</v>
      </c>
      <c r="EN43" s="144" t="e">
        <f t="shared" si="587"/>
        <v>#DIV/0!</v>
      </c>
      <c r="EO43" s="144" t="e">
        <f t="shared" si="587"/>
        <v>#DIV/0!</v>
      </c>
      <c r="EP43" s="143" t="e">
        <f t="shared" si="587"/>
        <v>#DIV/0!</v>
      </c>
      <c r="EQ43" s="144" t="e">
        <f t="shared" si="587"/>
        <v>#DIV/0!</v>
      </c>
      <c r="ER43" s="144" t="e">
        <f t="shared" si="587"/>
        <v>#DIV/0!</v>
      </c>
      <c r="ES43" s="144" t="e">
        <f t="shared" si="587"/>
        <v>#DIV/0!</v>
      </c>
      <c r="ET43" s="145" t="e">
        <f t="shared" si="587"/>
        <v>#DIV/0!</v>
      </c>
      <c r="EU43" s="143" t="e">
        <f t="shared" si="587"/>
        <v>#DIV/0!</v>
      </c>
      <c r="EV43" s="144" t="e">
        <f t="shared" si="587"/>
        <v>#DIV/0!</v>
      </c>
      <c r="EW43" s="144" t="e">
        <f t="shared" si="587"/>
        <v>#DIV/0!</v>
      </c>
      <c r="EX43" s="144" t="e">
        <f t="shared" si="587"/>
        <v>#DIV/0!</v>
      </c>
      <c r="EY43" s="144" t="e">
        <f t="shared" si="587"/>
        <v>#DIV/0!</v>
      </c>
      <c r="EZ43" s="144" t="e">
        <f t="shared" si="587"/>
        <v>#DIV/0!</v>
      </c>
      <c r="FA43" s="144" t="e">
        <f t="shared" si="587"/>
        <v>#DIV/0!</v>
      </c>
      <c r="FB43" s="144" t="e">
        <f t="shared" si="587"/>
        <v>#DIV/0!</v>
      </c>
      <c r="FC43" s="144" t="e">
        <f t="shared" si="587"/>
        <v>#DIV/0!</v>
      </c>
      <c r="FD43" s="144" t="e">
        <f t="shared" si="587"/>
        <v>#DIV/0!</v>
      </c>
      <c r="FE43" s="144" t="e">
        <f t="shared" si="587"/>
        <v>#DIV/0!</v>
      </c>
      <c r="FF43" s="145" t="e">
        <f t="shared" si="587"/>
        <v>#DIV/0!</v>
      </c>
    </row>
    <row r="44" spans="2:162" ht="16.5" thickBot="1" x14ac:dyDescent="0.3">
      <c r="L44" s="253"/>
    </row>
    <row r="45" spans="2:162" x14ac:dyDescent="0.25">
      <c r="B45" s="176">
        <f>B36+7</f>
        <v>45530</v>
      </c>
      <c r="C45" s="265"/>
      <c r="D45" s="103"/>
      <c r="E45" s="156"/>
      <c r="F45" s="25"/>
      <c r="G45" s="25"/>
      <c r="H45" s="179"/>
      <c r="I45" s="180"/>
      <c r="J45" s="181"/>
      <c r="K45" s="181"/>
      <c r="L45" s="182"/>
      <c r="M45" s="182"/>
      <c r="N45" s="183"/>
      <c r="O45" s="25"/>
      <c r="P45" s="157"/>
      <c r="Q45" s="158"/>
      <c r="R45" s="158"/>
      <c r="S45" s="158"/>
      <c r="T45" s="158"/>
      <c r="U45" s="158"/>
      <c r="V45" s="158"/>
      <c r="W45" s="159"/>
      <c r="X45" s="157"/>
      <c r="Y45" s="158"/>
      <c r="Z45" s="158"/>
      <c r="AA45" s="159"/>
      <c r="AB45" s="157"/>
      <c r="AC45" s="158"/>
      <c r="AD45" s="158"/>
      <c r="AE45" s="158"/>
      <c r="AF45" s="158"/>
      <c r="AG45" s="159"/>
      <c r="AH45" s="157"/>
      <c r="AI45" s="158"/>
      <c r="AJ45" s="158"/>
      <c r="AK45" s="158"/>
      <c r="AL45" s="159"/>
      <c r="AM45" s="157"/>
      <c r="AN45" s="158"/>
      <c r="AO45" s="158"/>
      <c r="AP45" s="158"/>
      <c r="AQ45" s="158"/>
      <c r="AR45" s="158"/>
      <c r="AS45" s="158"/>
      <c r="AT45" s="158"/>
      <c r="AU45" s="158"/>
      <c r="AV45" s="158"/>
      <c r="AW45" s="158"/>
      <c r="AX45" s="158"/>
      <c r="AY45" s="158"/>
      <c r="AZ45" s="159"/>
      <c r="BB45" s="157"/>
      <c r="BC45" s="158"/>
      <c r="BD45" s="158"/>
      <c r="BE45" s="158"/>
      <c r="BF45" s="158"/>
      <c r="BG45" s="158"/>
      <c r="BH45" s="158"/>
      <c r="BI45" s="159"/>
      <c r="BJ45" s="157"/>
      <c r="BK45" s="158"/>
      <c r="BL45" s="158"/>
      <c r="BM45" s="159"/>
      <c r="BN45" s="157"/>
      <c r="BO45" s="158"/>
      <c r="BP45" s="158"/>
      <c r="BQ45" s="158"/>
      <c r="BR45" s="158"/>
      <c r="BS45" s="159"/>
      <c r="BT45" s="157"/>
      <c r="BU45" s="158"/>
      <c r="BV45" s="158"/>
      <c r="BW45" s="158"/>
      <c r="BX45" s="159"/>
      <c r="BY45" s="157"/>
      <c r="BZ45" s="158"/>
      <c r="CA45" s="158"/>
      <c r="CB45" s="158"/>
      <c r="CC45" s="158"/>
      <c r="CD45" s="158"/>
      <c r="CE45" s="158"/>
      <c r="CF45" s="158"/>
      <c r="CG45" s="158"/>
      <c r="CH45" s="158"/>
      <c r="CI45" s="158"/>
      <c r="CJ45" s="159"/>
      <c r="CL45" s="36">
        <v>1</v>
      </c>
      <c r="CN45" s="157" t="e">
        <f>AVERAGE(BB45:BB49)*$CL45</f>
        <v>#DIV/0!</v>
      </c>
      <c r="CO45" s="158" t="e">
        <f t="shared" ref="CO45" si="588">AVERAGE(BC45:BC49)*$CL45</f>
        <v>#DIV/0!</v>
      </c>
      <c r="CP45" s="158" t="e">
        <f t="shared" ref="CP45" si="589">AVERAGE(BD45:BD49)*$CL45</f>
        <v>#DIV/0!</v>
      </c>
      <c r="CQ45" s="158" t="e">
        <f t="shared" ref="CQ45" si="590">AVERAGE(BE45:BE49)*$CL45</f>
        <v>#DIV/0!</v>
      </c>
      <c r="CR45" s="158" t="e">
        <f t="shared" ref="CR45" si="591">AVERAGE(BF45:BF49)*$CL45</f>
        <v>#DIV/0!</v>
      </c>
      <c r="CS45" s="158" t="e">
        <f t="shared" ref="CS45" si="592">AVERAGE(BG45:BG49)*$CL45</f>
        <v>#DIV/0!</v>
      </c>
      <c r="CT45" s="158" t="e">
        <f t="shared" ref="CT45" si="593">AVERAGE(BH45:BH49)*$CL45</f>
        <v>#DIV/0!</v>
      </c>
      <c r="CU45" s="159" t="e">
        <f t="shared" ref="CU45" si="594">AVERAGE(BI45:BI49)*$CL45</f>
        <v>#DIV/0!</v>
      </c>
      <c r="CV45" s="157" t="e">
        <f t="shared" ref="CV45" si="595">AVERAGE(BJ45:BJ49)*$CL45</f>
        <v>#DIV/0!</v>
      </c>
      <c r="CW45" s="158" t="e">
        <f t="shared" ref="CW45" si="596">AVERAGE(BK45:BK49)*$CL45</f>
        <v>#DIV/0!</v>
      </c>
      <c r="CX45" s="158" t="e">
        <f t="shared" ref="CX45" si="597">AVERAGE(BL45:BL49)*$CL45</f>
        <v>#DIV/0!</v>
      </c>
      <c r="CY45" s="159" t="e">
        <f t="shared" ref="CY45" si="598">AVERAGE(BM45:BM49)*$CL45</f>
        <v>#DIV/0!</v>
      </c>
      <c r="CZ45" s="157" t="e">
        <f t="shared" ref="CZ45" si="599">AVERAGE(BN45:BN49)*$CL45</f>
        <v>#DIV/0!</v>
      </c>
      <c r="DA45" s="158" t="e">
        <f t="shared" ref="DA45" si="600">AVERAGE(BO45:BO49)*$CL45</f>
        <v>#DIV/0!</v>
      </c>
      <c r="DB45" s="158" t="e">
        <f t="shared" ref="DB45" si="601">AVERAGE(BP45:BP49)*$CL45</f>
        <v>#DIV/0!</v>
      </c>
      <c r="DC45" s="158" t="e">
        <f t="shared" ref="DC45" si="602">AVERAGE(BQ45:BQ49)*$CL45</f>
        <v>#DIV/0!</v>
      </c>
      <c r="DD45" s="158" t="e">
        <f t="shared" ref="DD45" si="603">AVERAGE(BR45:BR49)*$CL45</f>
        <v>#DIV/0!</v>
      </c>
      <c r="DE45" s="159" t="e">
        <f t="shared" ref="DE45" si="604">AVERAGE(BS45:BS49)*$CL45</f>
        <v>#DIV/0!</v>
      </c>
      <c r="DF45" s="157" t="e">
        <f t="shared" ref="DF45" si="605">AVERAGE(BT45:BT49)*$CL45</f>
        <v>#DIV/0!</v>
      </c>
      <c r="DG45" s="158" t="e">
        <f t="shared" ref="DG45" si="606">AVERAGE(BU45:BU49)*$CL45</f>
        <v>#DIV/0!</v>
      </c>
      <c r="DH45" s="158" t="e">
        <f t="shared" ref="DH45" si="607">AVERAGE(BV45:BV49)*$CL45</f>
        <v>#DIV/0!</v>
      </c>
      <c r="DI45" s="158" t="e">
        <f t="shared" ref="DI45" si="608">AVERAGE(BW45:BW49)*$CL45</f>
        <v>#DIV/0!</v>
      </c>
      <c r="DJ45" s="159" t="e">
        <f t="shared" ref="DJ45" si="609">AVERAGE(BX45:BX49)*$CL45</f>
        <v>#DIV/0!</v>
      </c>
      <c r="DK45" s="157" t="e">
        <f t="shared" ref="DK45" si="610">AVERAGE(BY45:BY49)*$CL45</f>
        <v>#DIV/0!</v>
      </c>
      <c r="DL45" s="158" t="e">
        <f t="shared" ref="DL45" si="611">AVERAGE(BZ45:BZ49)*$CL45</f>
        <v>#DIV/0!</v>
      </c>
      <c r="DM45" s="158" t="e">
        <f t="shared" ref="DM45" si="612">AVERAGE(CA45:CA49)*$CL45</f>
        <v>#DIV/0!</v>
      </c>
      <c r="DN45" s="158" t="e">
        <f t="shared" ref="DN45" si="613">AVERAGE(CB45:CB49)*$CL45</f>
        <v>#DIV/0!</v>
      </c>
      <c r="DO45" s="158" t="e">
        <f t="shared" ref="DO45" si="614">AVERAGE(CC45:CC49)*$CL45</f>
        <v>#DIV/0!</v>
      </c>
      <c r="DP45" s="158" t="e">
        <f t="shared" ref="DP45" si="615">AVERAGE(CD45:CD49)*$CL45</f>
        <v>#DIV/0!</v>
      </c>
      <c r="DQ45" s="158" t="e">
        <f t="shared" ref="DQ45" si="616">AVERAGE(CE45:CE49)*$CL45</f>
        <v>#DIV/0!</v>
      </c>
      <c r="DR45" s="158" t="e">
        <f t="shared" ref="DR45" si="617">AVERAGE(CF45:CF49)*$CL45</f>
        <v>#DIV/0!</v>
      </c>
      <c r="DS45" s="158" t="e">
        <f t="shared" ref="DS45" si="618">AVERAGE(CG45:CG49)*$CL45</f>
        <v>#DIV/0!</v>
      </c>
      <c r="DT45" s="158" t="e">
        <f t="shared" ref="DT45" si="619">AVERAGE(CH45:CH49)*$CL45</f>
        <v>#DIV/0!</v>
      </c>
      <c r="DU45" s="158" t="e">
        <f t="shared" ref="DU45" si="620">AVERAGE(CI45:CI49)*$CL45</f>
        <v>#DIV/0!</v>
      </c>
      <c r="DV45" s="159" t="e">
        <f t="shared" ref="DV45" si="621">AVERAGE(CJ45:CJ49)*$CL45</f>
        <v>#DIV/0!</v>
      </c>
      <c r="DX45" s="186" t="e">
        <f t="shared" ref="DX45:DX51" si="622">P45/$E45</f>
        <v>#DIV/0!</v>
      </c>
      <c r="DY45" s="187" t="e">
        <f t="shared" ref="DY45:DY51" si="623">Q45/$E45</f>
        <v>#DIV/0!</v>
      </c>
      <c r="DZ45" s="187" t="e">
        <f t="shared" ref="DZ45:DZ51" si="624">R45/$E45</f>
        <v>#DIV/0!</v>
      </c>
      <c r="EA45" s="187" t="e">
        <f t="shared" ref="EA45:EA51" si="625">S45/$E45</f>
        <v>#DIV/0!</v>
      </c>
      <c r="EB45" s="187" t="e">
        <f t="shared" ref="EB45:EB51" si="626">T45/$E45</f>
        <v>#DIV/0!</v>
      </c>
      <c r="EC45" s="187"/>
      <c r="ED45" s="187"/>
      <c r="EE45" s="188"/>
      <c r="EF45" s="186"/>
      <c r="EG45" s="187"/>
      <c r="EH45" s="187"/>
      <c r="EI45" s="188"/>
      <c r="EJ45" s="186"/>
      <c r="EK45" s="187"/>
      <c r="EL45" s="187"/>
      <c r="EM45" s="187"/>
      <c r="EN45" s="187"/>
      <c r="EO45" s="188"/>
      <c r="EP45" s="186"/>
      <c r="EQ45" s="187"/>
      <c r="ER45" s="187"/>
      <c r="ES45" s="187"/>
      <c r="ET45" s="188"/>
      <c r="EU45" s="186"/>
      <c r="EV45" s="187"/>
      <c r="EW45" s="187"/>
      <c r="EX45" s="187"/>
      <c r="EY45" s="187"/>
      <c r="EZ45" s="187"/>
      <c r="FA45" s="187"/>
      <c r="FB45" s="187"/>
      <c r="FC45" s="187"/>
      <c r="FD45" s="187"/>
      <c r="FE45" s="187"/>
      <c r="FF45" s="188"/>
    </row>
    <row r="46" spans="2:162" x14ac:dyDescent="0.25">
      <c r="B46" s="127">
        <f t="shared" ref="B46:B51" si="627">B45+1</f>
        <v>45531</v>
      </c>
      <c r="C46" s="266"/>
      <c r="D46" s="53"/>
      <c r="E46" s="129"/>
      <c r="F46" s="25"/>
      <c r="G46" s="25"/>
      <c r="H46" s="150"/>
      <c r="I46" s="24"/>
      <c r="J46" s="151"/>
      <c r="K46" s="151"/>
      <c r="L46" s="152"/>
      <c r="M46" s="152"/>
      <c r="N46" s="153"/>
      <c r="O46" s="25"/>
      <c r="P46" s="95"/>
      <c r="Q46" s="41"/>
      <c r="R46" s="41"/>
      <c r="S46" s="41"/>
      <c r="T46" s="41"/>
      <c r="U46" s="41"/>
      <c r="V46" s="41"/>
      <c r="W46" s="42"/>
      <c r="X46" s="95"/>
      <c r="Y46" s="41"/>
      <c r="Z46" s="41"/>
      <c r="AA46" s="42"/>
      <c r="AB46" s="95"/>
      <c r="AC46" s="41"/>
      <c r="AD46" s="41"/>
      <c r="AE46" s="41"/>
      <c r="AF46" s="41"/>
      <c r="AG46" s="42"/>
      <c r="AH46" s="95"/>
      <c r="AI46" s="41"/>
      <c r="AJ46" s="41"/>
      <c r="AK46" s="41"/>
      <c r="AL46" s="42"/>
      <c r="AM46" s="95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2"/>
      <c r="BB46" s="95"/>
      <c r="BC46" s="41"/>
      <c r="BD46" s="41"/>
      <c r="BE46" s="41"/>
      <c r="BF46" s="41"/>
      <c r="BG46" s="41"/>
      <c r="BH46" s="41"/>
      <c r="BI46" s="42"/>
      <c r="BJ46" s="95"/>
      <c r="BK46" s="41"/>
      <c r="BL46" s="41"/>
      <c r="BM46" s="42"/>
      <c r="BN46" s="95"/>
      <c r="BO46" s="41"/>
      <c r="BP46" s="41"/>
      <c r="BQ46" s="41"/>
      <c r="BR46" s="41"/>
      <c r="BS46" s="42"/>
      <c r="BT46" s="95"/>
      <c r="BU46" s="41"/>
      <c r="BV46" s="41"/>
      <c r="BW46" s="41"/>
      <c r="BX46" s="42"/>
      <c r="BY46" s="95"/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2"/>
      <c r="CL46" s="36"/>
      <c r="CN46" s="95"/>
      <c r="CO46" s="41"/>
      <c r="CP46" s="41"/>
      <c r="CQ46" s="41"/>
      <c r="CR46" s="41"/>
      <c r="CS46" s="41"/>
      <c r="CT46" s="41"/>
      <c r="CU46" s="42"/>
      <c r="CV46" s="95"/>
      <c r="CW46" s="41"/>
      <c r="CX46" s="41"/>
      <c r="CY46" s="42"/>
      <c r="CZ46" s="95"/>
      <c r="DA46" s="41"/>
      <c r="DB46" s="41"/>
      <c r="DC46" s="41"/>
      <c r="DD46" s="41"/>
      <c r="DE46" s="42"/>
      <c r="DF46" s="95"/>
      <c r="DG46" s="41"/>
      <c r="DH46" s="41"/>
      <c r="DI46" s="41"/>
      <c r="DJ46" s="42"/>
      <c r="DK46" s="95"/>
      <c r="DL46" s="41"/>
      <c r="DM46" s="41"/>
      <c r="DN46" s="41"/>
      <c r="DO46" s="41"/>
      <c r="DP46" s="41"/>
      <c r="DQ46" s="41"/>
      <c r="DR46" s="41"/>
      <c r="DS46" s="41"/>
      <c r="DT46" s="41"/>
      <c r="DU46" s="41"/>
      <c r="DV46" s="42"/>
      <c r="DX46" s="138" t="e">
        <f t="shared" si="622"/>
        <v>#DIV/0!</v>
      </c>
      <c r="DY46" s="34" t="e">
        <f t="shared" si="623"/>
        <v>#DIV/0!</v>
      </c>
      <c r="DZ46" s="34" t="e">
        <f t="shared" si="624"/>
        <v>#DIV/0!</v>
      </c>
      <c r="EA46" s="34" t="e">
        <f t="shared" si="625"/>
        <v>#DIV/0!</v>
      </c>
      <c r="EB46" s="34" t="e">
        <f t="shared" si="626"/>
        <v>#DIV/0!</v>
      </c>
      <c r="EC46" s="34"/>
      <c r="ED46" s="34"/>
      <c r="EE46" s="139"/>
      <c r="EF46" s="138"/>
      <c r="EG46" s="34"/>
      <c r="EH46" s="34"/>
      <c r="EI46" s="139"/>
      <c r="EJ46" s="138"/>
      <c r="EK46" s="34"/>
      <c r="EL46" s="34"/>
      <c r="EM46" s="34"/>
      <c r="EN46" s="34"/>
      <c r="EO46" s="139"/>
      <c r="EP46" s="138"/>
      <c r="EQ46" s="34"/>
      <c r="ER46" s="34"/>
      <c r="ES46" s="34"/>
      <c r="ET46" s="139"/>
      <c r="EU46" s="138"/>
      <c r="EV46" s="34"/>
      <c r="EW46" s="34"/>
      <c r="EX46" s="34"/>
      <c r="EY46" s="34"/>
      <c r="EZ46" s="34"/>
      <c r="FA46" s="34"/>
      <c r="FB46" s="34"/>
      <c r="FC46" s="34"/>
      <c r="FD46" s="34"/>
      <c r="FE46" s="34"/>
      <c r="FF46" s="139"/>
    </row>
    <row r="47" spans="2:162" x14ac:dyDescent="0.25">
      <c r="B47" s="127">
        <f t="shared" si="627"/>
        <v>45532</v>
      </c>
      <c r="C47" s="266"/>
      <c r="D47" s="53"/>
      <c r="E47" s="129"/>
      <c r="F47" s="25"/>
      <c r="G47" s="25"/>
      <c r="H47" s="150"/>
      <c r="I47" s="24"/>
      <c r="J47" s="151"/>
      <c r="K47" s="151"/>
      <c r="L47" s="152"/>
      <c r="M47" s="152"/>
      <c r="N47" s="153"/>
      <c r="O47" s="25"/>
      <c r="P47" s="95"/>
      <c r="Q47" s="41"/>
      <c r="R47" s="41"/>
      <c r="S47" s="41"/>
      <c r="T47" s="41"/>
      <c r="U47" s="41"/>
      <c r="V47" s="41"/>
      <c r="W47" s="42"/>
      <c r="X47" s="95"/>
      <c r="Y47" s="41"/>
      <c r="Z47" s="41"/>
      <c r="AA47" s="42"/>
      <c r="AB47" s="95"/>
      <c r="AC47" s="41"/>
      <c r="AD47" s="41"/>
      <c r="AE47" s="41"/>
      <c r="AF47" s="41"/>
      <c r="AG47" s="42"/>
      <c r="AH47" s="95"/>
      <c r="AI47" s="41"/>
      <c r="AJ47" s="41"/>
      <c r="AK47" s="41"/>
      <c r="AL47" s="42"/>
      <c r="AM47" s="95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2"/>
      <c r="BB47" s="95"/>
      <c r="BC47" s="41"/>
      <c r="BD47" s="41"/>
      <c r="BE47" s="41"/>
      <c r="BF47" s="41"/>
      <c r="BG47" s="41"/>
      <c r="BH47" s="41"/>
      <c r="BI47" s="42"/>
      <c r="BJ47" s="95"/>
      <c r="BK47" s="41"/>
      <c r="BL47" s="41"/>
      <c r="BM47" s="42"/>
      <c r="BN47" s="95"/>
      <c r="BO47" s="41"/>
      <c r="BP47" s="41"/>
      <c r="BQ47" s="41"/>
      <c r="BR47" s="41"/>
      <c r="BS47" s="42"/>
      <c r="BT47" s="95"/>
      <c r="BU47" s="41"/>
      <c r="BV47" s="41"/>
      <c r="BW47" s="41"/>
      <c r="BX47" s="42"/>
      <c r="BY47" s="95"/>
      <c r="BZ47" s="41"/>
      <c r="CA47" s="41"/>
      <c r="CB47" s="41"/>
      <c r="CC47" s="41"/>
      <c r="CD47" s="41"/>
      <c r="CE47" s="41"/>
      <c r="CF47" s="41"/>
      <c r="CG47" s="41"/>
      <c r="CH47" s="41"/>
      <c r="CI47" s="41"/>
      <c r="CJ47" s="42"/>
      <c r="CL47" s="36"/>
      <c r="CN47" s="95"/>
      <c r="CO47" s="41"/>
      <c r="CP47" s="41"/>
      <c r="CQ47" s="41"/>
      <c r="CR47" s="41"/>
      <c r="CS47" s="41"/>
      <c r="CT47" s="41"/>
      <c r="CU47" s="42"/>
      <c r="CV47" s="95"/>
      <c r="CW47" s="41"/>
      <c r="CX47" s="41"/>
      <c r="CY47" s="42"/>
      <c r="CZ47" s="95"/>
      <c r="DA47" s="41"/>
      <c r="DB47" s="41"/>
      <c r="DC47" s="41"/>
      <c r="DD47" s="41"/>
      <c r="DE47" s="42"/>
      <c r="DF47" s="95"/>
      <c r="DG47" s="41"/>
      <c r="DH47" s="41"/>
      <c r="DI47" s="41"/>
      <c r="DJ47" s="42"/>
      <c r="DK47" s="95"/>
      <c r="DL47" s="41"/>
      <c r="DM47" s="41"/>
      <c r="DN47" s="41"/>
      <c r="DO47" s="41"/>
      <c r="DP47" s="41"/>
      <c r="DQ47" s="41"/>
      <c r="DR47" s="41"/>
      <c r="DS47" s="41"/>
      <c r="DT47" s="41"/>
      <c r="DU47" s="41"/>
      <c r="DV47" s="42"/>
      <c r="DX47" s="138" t="e">
        <f t="shared" si="622"/>
        <v>#DIV/0!</v>
      </c>
      <c r="DY47" s="34" t="e">
        <f t="shared" si="623"/>
        <v>#DIV/0!</v>
      </c>
      <c r="DZ47" s="34" t="e">
        <f t="shared" si="624"/>
        <v>#DIV/0!</v>
      </c>
      <c r="EA47" s="34" t="e">
        <f t="shared" si="625"/>
        <v>#DIV/0!</v>
      </c>
      <c r="EB47" s="34" t="e">
        <f t="shared" si="626"/>
        <v>#DIV/0!</v>
      </c>
      <c r="EC47" s="34"/>
      <c r="ED47" s="34"/>
      <c r="EE47" s="139"/>
      <c r="EF47" s="138"/>
      <c r="EG47" s="34"/>
      <c r="EH47" s="34"/>
      <c r="EI47" s="139"/>
      <c r="EJ47" s="138"/>
      <c r="EK47" s="34"/>
      <c r="EL47" s="34"/>
      <c r="EM47" s="34"/>
      <c r="EN47" s="34"/>
      <c r="EO47" s="139"/>
      <c r="EP47" s="138"/>
      <c r="EQ47" s="34"/>
      <c r="ER47" s="34"/>
      <c r="ES47" s="34"/>
      <c r="ET47" s="139"/>
      <c r="EU47" s="138"/>
      <c r="EV47" s="34"/>
      <c r="EW47" s="34"/>
      <c r="EX47" s="34"/>
      <c r="EY47" s="34"/>
      <c r="EZ47" s="34"/>
      <c r="FA47" s="34"/>
      <c r="FB47" s="34"/>
      <c r="FC47" s="34"/>
      <c r="FD47" s="34"/>
      <c r="FE47" s="34"/>
      <c r="FF47" s="139"/>
    </row>
    <row r="48" spans="2:162" x14ac:dyDescent="0.25">
      <c r="B48" s="127">
        <f t="shared" si="627"/>
        <v>45533</v>
      </c>
      <c r="C48" s="266"/>
      <c r="D48" s="53"/>
      <c r="E48" s="129"/>
      <c r="F48" s="25"/>
      <c r="G48" s="25"/>
      <c r="H48" s="150"/>
      <c r="I48" s="24"/>
      <c r="J48" s="151"/>
      <c r="K48" s="151"/>
      <c r="L48" s="152"/>
      <c r="M48" s="152"/>
      <c r="N48" s="153"/>
      <c r="O48" s="25"/>
      <c r="P48" s="95"/>
      <c r="Q48" s="41"/>
      <c r="R48" s="41"/>
      <c r="S48" s="41"/>
      <c r="T48" s="41"/>
      <c r="U48" s="41"/>
      <c r="V48" s="41"/>
      <c r="W48" s="42"/>
      <c r="X48" s="95"/>
      <c r="Y48" s="41"/>
      <c r="Z48" s="41"/>
      <c r="AA48" s="42"/>
      <c r="AB48" s="95"/>
      <c r="AC48" s="41"/>
      <c r="AD48" s="41"/>
      <c r="AE48" s="41"/>
      <c r="AF48" s="41"/>
      <c r="AG48" s="42"/>
      <c r="AH48" s="95"/>
      <c r="AI48" s="41"/>
      <c r="AJ48" s="41"/>
      <c r="AK48" s="41"/>
      <c r="AL48" s="42"/>
      <c r="AM48" s="95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2"/>
      <c r="BB48" s="95"/>
      <c r="BC48" s="41"/>
      <c r="BD48" s="41"/>
      <c r="BE48" s="41"/>
      <c r="BF48" s="41"/>
      <c r="BG48" s="41"/>
      <c r="BH48" s="41"/>
      <c r="BI48" s="42"/>
      <c r="BJ48" s="95"/>
      <c r="BK48" s="41"/>
      <c r="BL48" s="41"/>
      <c r="BM48" s="42"/>
      <c r="BN48" s="95"/>
      <c r="BO48" s="41"/>
      <c r="BP48" s="41"/>
      <c r="BQ48" s="41"/>
      <c r="BR48" s="41"/>
      <c r="BS48" s="42"/>
      <c r="BT48" s="95"/>
      <c r="BU48" s="41"/>
      <c r="BV48" s="41"/>
      <c r="BW48" s="41"/>
      <c r="BX48" s="42"/>
      <c r="BY48" s="95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2"/>
      <c r="CL48" s="36"/>
      <c r="CN48" s="95"/>
      <c r="CO48" s="41"/>
      <c r="CP48" s="41"/>
      <c r="CQ48" s="41"/>
      <c r="CR48" s="41"/>
      <c r="CS48" s="41"/>
      <c r="CT48" s="41"/>
      <c r="CU48" s="42"/>
      <c r="CV48" s="95"/>
      <c r="CW48" s="41"/>
      <c r="CX48" s="41"/>
      <c r="CY48" s="42"/>
      <c r="CZ48" s="95"/>
      <c r="DA48" s="41"/>
      <c r="DB48" s="41"/>
      <c r="DC48" s="41"/>
      <c r="DD48" s="41"/>
      <c r="DE48" s="42"/>
      <c r="DF48" s="95"/>
      <c r="DG48" s="41"/>
      <c r="DH48" s="41"/>
      <c r="DI48" s="41"/>
      <c r="DJ48" s="42"/>
      <c r="DK48" s="95"/>
      <c r="DL48" s="41"/>
      <c r="DM48" s="41"/>
      <c r="DN48" s="41"/>
      <c r="DO48" s="41"/>
      <c r="DP48" s="41"/>
      <c r="DQ48" s="41"/>
      <c r="DR48" s="41"/>
      <c r="DS48" s="41"/>
      <c r="DT48" s="41"/>
      <c r="DU48" s="41"/>
      <c r="DV48" s="42"/>
      <c r="DX48" s="138" t="e">
        <f t="shared" si="622"/>
        <v>#DIV/0!</v>
      </c>
      <c r="DY48" s="34" t="e">
        <f t="shared" si="623"/>
        <v>#DIV/0!</v>
      </c>
      <c r="DZ48" s="34" t="e">
        <f t="shared" si="624"/>
        <v>#DIV/0!</v>
      </c>
      <c r="EA48" s="34" t="e">
        <f t="shared" si="625"/>
        <v>#DIV/0!</v>
      </c>
      <c r="EB48" s="34" t="e">
        <f t="shared" si="626"/>
        <v>#DIV/0!</v>
      </c>
      <c r="EC48" s="34"/>
      <c r="ED48" s="34"/>
      <c r="EE48" s="139"/>
      <c r="EF48" s="138"/>
      <c r="EG48" s="34"/>
      <c r="EH48" s="34"/>
      <c r="EI48" s="139"/>
      <c r="EJ48" s="138"/>
      <c r="EK48" s="34"/>
      <c r="EL48" s="34"/>
      <c r="EM48" s="34"/>
      <c r="EN48" s="34"/>
      <c r="EO48" s="139"/>
      <c r="EP48" s="138"/>
      <c r="EQ48" s="34"/>
      <c r="ER48" s="34"/>
      <c r="ES48" s="34"/>
      <c r="ET48" s="139"/>
      <c r="EU48" s="138"/>
      <c r="EV48" s="34"/>
      <c r="EW48" s="34"/>
      <c r="EX48" s="34"/>
      <c r="EY48" s="34"/>
      <c r="EZ48" s="34"/>
      <c r="FA48" s="34"/>
      <c r="FB48" s="34"/>
      <c r="FC48" s="34"/>
      <c r="FD48" s="34"/>
      <c r="FE48" s="34"/>
      <c r="FF48" s="139"/>
    </row>
    <row r="49" spans="2:162" x14ac:dyDescent="0.25">
      <c r="B49" s="127">
        <f t="shared" si="627"/>
        <v>45534</v>
      </c>
      <c r="C49" s="266"/>
      <c r="D49" s="53"/>
      <c r="E49" s="129"/>
      <c r="F49" s="25"/>
      <c r="G49" s="25"/>
      <c r="H49" s="150"/>
      <c r="I49" s="24"/>
      <c r="J49" s="151"/>
      <c r="K49" s="151"/>
      <c r="L49" s="152">
        <v>14.3</v>
      </c>
      <c r="M49" s="152" t="e">
        <f t="shared" ref="M49" si="628">H49/I49*K49*L49*1.5</f>
        <v>#DIV/0!</v>
      </c>
      <c r="N49" s="153" t="e">
        <f t="shared" ref="N49" si="629">H49/I49*J49*L49*N$4</f>
        <v>#DIV/0!</v>
      </c>
      <c r="O49" s="25"/>
      <c r="P49" s="95"/>
      <c r="Q49" s="41"/>
      <c r="R49" s="41"/>
      <c r="S49" s="41"/>
      <c r="T49" s="41"/>
      <c r="U49" s="41"/>
      <c r="V49" s="41"/>
      <c r="W49" s="42"/>
      <c r="X49" s="95"/>
      <c r="Y49" s="41"/>
      <c r="Z49" s="41"/>
      <c r="AA49" s="42"/>
      <c r="AB49" s="95"/>
      <c r="AC49" s="41"/>
      <c r="AD49" s="41"/>
      <c r="AE49" s="41"/>
      <c r="AF49" s="41"/>
      <c r="AG49" s="42"/>
      <c r="AH49" s="95"/>
      <c r="AI49" s="41"/>
      <c r="AJ49" s="41"/>
      <c r="AK49" s="41"/>
      <c r="AL49" s="42"/>
      <c r="AM49" s="95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2"/>
      <c r="BB49" s="95" t="e">
        <f t="shared" ref="BB49" si="630">$N49*DX49</f>
        <v>#DIV/0!</v>
      </c>
      <c r="BC49" s="41" t="e">
        <f t="shared" ref="BC49" si="631">$N49*DY49</f>
        <v>#DIV/0!</v>
      </c>
      <c r="BD49" s="41" t="e">
        <f t="shared" ref="BD49" si="632">$N49*DZ49</f>
        <v>#DIV/0!</v>
      </c>
      <c r="BE49" s="41" t="e">
        <f t="shared" ref="BE49" si="633">$N49*EA49</f>
        <v>#DIV/0!</v>
      </c>
      <c r="BF49" s="41" t="e">
        <f t="shared" ref="BF49" si="634">$N49*EB49</f>
        <v>#DIV/0!</v>
      </c>
      <c r="BG49" s="41" t="e">
        <f t="shared" ref="BG49" si="635">$N49*EC49</f>
        <v>#DIV/0!</v>
      </c>
      <c r="BH49" s="41" t="e">
        <f t="shared" ref="BH49" si="636">$N49*ED49</f>
        <v>#DIV/0!</v>
      </c>
      <c r="BI49" s="42" t="e">
        <f t="shared" ref="BI49" si="637">$N49*EE49</f>
        <v>#DIV/0!</v>
      </c>
      <c r="BJ49" s="95" t="e">
        <f t="shared" ref="BJ49" si="638">$N49*EF49</f>
        <v>#DIV/0!</v>
      </c>
      <c r="BK49" s="41" t="e">
        <f t="shared" ref="BK49" si="639">$N49*EG49</f>
        <v>#DIV/0!</v>
      </c>
      <c r="BL49" s="41" t="e">
        <f t="shared" ref="BL49" si="640">$N49*EH49</f>
        <v>#DIV/0!</v>
      </c>
      <c r="BM49" s="42" t="e">
        <f t="shared" ref="BM49" si="641">$N49*EI49</f>
        <v>#DIV/0!</v>
      </c>
      <c r="BN49" s="95" t="e">
        <f t="shared" ref="BN49" si="642">$N49*EJ49</f>
        <v>#DIV/0!</v>
      </c>
      <c r="BO49" s="41" t="e">
        <f t="shared" ref="BO49" si="643">$N49*EK49</f>
        <v>#DIV/0!</v>
      </c>
      <c r="BP49" s="41" t="e">
        <f t="shared" ref="BP49" si="644">$N49*EL49</f>
        <v>#DIV/0!</v>
      </c>
      <c r="BQ49" s="41" t="e">
        <f t="shared" ref="BQ49" si="645">$N49*EM49</f>
        <v>#DIV/0!</v>
      </c>
      <c r="BR49" s="41" t="e">
        <f t="shared" ref="BR49" si="646">$N49*EN49</f>
        <v>#DIV/0!</v>
      </c>
      <c r="BS49" s="42" t="e">
        <f t="shared" ref="BS49" si="647">$N49*EO49</f>
        <v>#DIV/0!</v>
      </c>
      <c r="BT49" s="95" t="e">
        <f t="shared" ref="BT49" si="648">$N49*EP49</f>
        <v>#DIV/0!</v>
      </c>
      <c r="BU49" s="41" t="e">
        <f t="shared" ref="BU49" si="649">$N49*EQ49</f>
        <v>#DIV/0!</v>
      </c>
      <c r="BV49" s="41" t="e">
        <f t="shared" ref="BV49" si="650">$N49*ER49</f>
        <v>#DIV/0!</v>
      </c>
      <c r="BW49" s="41" t="e">
        <f t="shared" ref="BW49" si="651">$N49*ES49</f>
        <v>#DIV/0!</v>
      </c>
      <c r="BX49" s="42" t="e">
        <f t="shared" ref="BX49" si="652">$N49*ET49</f>
        <v>#DIV/0!</v>
      </c>
      <c r="BY49" s="95" t="e">
        <f t="shared" ref="BY49" si="653">$N49*EU49</f>
        <v>#DIV/0!</v>
      </c>
      <c r="BZ49" s="41" t="e">
        <f t="shared" ref="BZ49" si="654">$N49*EV49</f>
        <v>#DIV/0!</v>
      </c>
      <c r="CA49" s="41" t="e">
        <f t="shared" ref="CA49" si="655">$N49*EW49</f>
        <v>#DIV/0!</v>
      </c>
      <c r="CB49" s="41" t="e">
        <f t="shared" ref="CB49" si="656">$N49*EX49</f>
        <v>#DIV/0!</v>
      </c>
      <c r="CC49" s="41" t="e">
        <f t="shared" ref="CC49" si="657">$N49*EY49</f>
        <v>#DIV/0!</v>
      </c>
      <c r="CD49" s="41" t="e">
        <f t="shared" ref="CD49" si="658">$N49*EZ49</f>
        <v>#DIV/0!</v>
      </c>
      <c r="CE49" s="41" t="e">
        <f t="shared" ref="CE49" si="659">$N49*FA49</f>
        <v>#DIV/0!</v>
      </c>
      <c r="CF49" s="41" t="e">
        <f t="shared" ref="CF49" si="660">$N49*FB49</f>
        <v>#DIV/0!</v>
      </c>
      <c r="CG49" s="41" t="e">
        <f t="shared" ref="CG49" si="661">$N49*FC49</f>
        <v>#DIV/0!</v>
      </c>
      <c r="CH49" s="41" t="e">
        <f t="shared" ref="CH49" si="662">$N49*FD49</f>
        <v>#DIV/0!</v>
      </c>
      <c r="CI49" s="41" t="e">
        <f t="shared" ref="CI49" si="663">$N49*FE49</f>
        <v>#DIV/0!</v>
      </c>
      <c r="CJ49" s="42" t="e">
        <f t="shared" ref="CJ49" si="664">$N49*FF49</f>
        <v>#DIV/0!</v>
      </c>
      <c r="CL49" s="36"/>
      <c r="CN49" s="95"/>
      <c r="CO49" s="41"/>
      <c r="CP49" s="41"/>
      <c r="CQ49" s="41"/>
      <c r="CR49" s="41"/>
      <c r="CS49" s="41"/>
      <c r="CT49" s="41"/>
      <c r="CU49" s="42"/>
      <c r="CV49" s="95"/>
      <c r="CW49" s="41"/>
      <c r="CX49" s="41"/>
      <c r="CY49" s="42"/>
      <c r="CZ49" s="95"/>
      <c r="DA49" s="41"/>
      <c r="DB49" s="41"/>
      <c r="DC49" s="41"/>
      <c r="DD49" s="41"/>
      <c r="DE49" s="42"/>
      <c r="DF49" s="95"/>
      <c r="DG49" s="41"/>
      <c r="DH49" s="41"/>
      <c r="DI49" s="41"/>
      <c r="DJ49" s="42"/>
      <c r="DK49" s="95"/>
      <c r="DL49" s="41"/>
      <c r="DM49" s="41"/>
      <c r="DN49" s="41"/>
      <c r="DO49" s="41"/>
      <c r="DP49" s="41"/>
      <c r="DQ49" s="41"/>
      <c r="DR49" s="41"/>
      <c r="DS49" s="41"/>
      <c r="DT49" s="41"/>
      <c r="DU49" s="41"/>
      <c r="DV49" s="42"/>
      <c r="DX49" s="138" t="e">
        <f t="shared" si="622"/>
        <v>#DIV/0!</v>
      </c>
      <c r="DY49" s="34" t="e">
        <f t="shared" si="623"/>
        <v>#DIV/0!</v>
      </c>
      <c r="DZ49" s="34" t="e">
        <f t="shared" si="624"/>
        <v>#DIV/0!</v>
      </c>
      <c r="EA49" s="34" t="e">
        <f t="shared" si="625"/>
        <v>#DIV/0!</v>
      </c>
      <c r="EB49" s="34" t="e">
        <f t="shared" si="626"/>
        <v>#DIV/0!</v>
      </c>
      <c r="EC49" s="34" t="e">
        <f t="shared" ref="EC49:EC51" si="665">U49/$E49</f>
        <v>#DIV/0!</v>
      </c>
      <c r="ED49" s="34" t="e">
        <f t="shared" ref="ED49:ED51" si="666">V49/$E49</f>
        <v>#DIV/0!</v>
      </c>
      <c r="EE49" s="139" t="e">
        <f t="shared" ref="EE49:EE51" si="667">W49/$E49</f>
        <v>#DIV/0!</v>
      </c>
      <c r="EF49" s="138" t="e">
        <f t="shared" ref="EF49:EF51" si="668">X49/$E49</f>
        <v>#DIV/0!</v>
      </c>
      <c r="EG49" s="34" t="e">
        <f t="shared" ref="EG49:EG51" si="669">Y49/$E49</f>
        <v>#DIV/0!</v>
      </c>
      <c r="EH49" s="34" t="e">
        <f t="shared" ref="EH49:EH51" si="670">Z49/$E49</f>
        <v>#DIV/0!</v>
      </c>
      <c r="EI49" s="139" t="e">
        <f t="shared" ref="EI49:EI51" si="671">AA49/$E49</f>
        <v>#DIV/0!</v>
      </c>
      <c r="EJ49" s="138" t="e">
        <f t="shared" ref="EJ49:EJ51" si="672">AB49/$E49</f>
        <v>#DIV/0!</v>
      </c>
      <c r="EK49" s="34" t="e">
        <f t="shared" ref="EK49:EK51" si="673">AC49/$E49</f>
        <v>#DIV/0!</v>
      </c>
      <c r="EL49" s="34" t="e">
        <f t="shared" ref="EL49:EL51" si="674">AD49/$E49</f>
        <v>#DIV/0!</v>
      </c>
      <c r="EM49" s="34" t="e">
        <f t="shared" ref="EM49:EM51" si="675">AE49/$E49</f>
        <v>#DIV/0!</v>
      </c>
      <c r="EN49" s="34" t="e">
        <f t="shared" ref="EN49:EN51" si="676">AF49/$E49</f>
        <v>#DIV/0!</v>
      </c>
      <c r="EO49" s="139" t="e">
        <f t="shared" ref="EO49:EO51" si="677">AG49/$E49</f>
        <v>#DIV/0!</v>
      </c>
      <c r="EP49" s="138" t="e">
        <f t="shared" ref="EP49:EP51" si="678">AH49/$E49</f>
        <v>#DIV/0!</v>
      </c>
      <c r="EQ49" s="34" t="e">
        <f t="shared" ref="EQ49:EQ51" si="679">AI49/$E49</f>
        <v>#DIV/0!</v>
      </c>
      <c r="ER49" s="34" t="e">
        <f t="shared" ref="ER49:ER51" si="680">AJ49/$E49</f>
        <v>#DIV/0!</v>
      </c>
      <c r="ES49" s="34" t="e">
        <f t="shared" ref="ES49:ES51" si="681">AK49/$E49</f>
        <v>#DIV/0!</v>
      </c>
      <c r="ET49" s="139" t="e">
        <f t="shared" ref="ET49:ET51" si="682">AL49/$E49</f>
        <v>#DIV/0!</v>
      </c>
      <c r="EU49" s="138" t="e">
        <f t="shared" ref="EU49:EU51" si="683">AM49/$E49</f>
        <v>#DIV/0!</v>
      </c>
      <c r="EV49" s="34" t="e">
        <f t="shared" ref="EV49:EV51" si="684">AN49/$E49</f>
        <v>#DIV/0!</v>
      </c>
      <c r="EW49" s="34" t="e">
        <f t="shared" ref="EW49:EW51" si="685">AO49/$E49</f>
        <v>#DIV/0!</v>
      </c>
      <c r="EX49" s="34" t="e">
        <f t="shared" ref="EX49:EX51" si="686">AP49/$E49</f>
        <v>#DIV/0!</v>
      </c>
      <c r="EY49" s="34" t="e">
        <f t="shared" ref="EY49:EY51" si="687">AQ49/$E49</f>
        <v>#DIV/0!</v>
      </c>
      <c r="EZ49" s="34" t="e">
        <f t="shared" ref="EZ49:EZ51" si="688">AR49/$E49</f>
        <v>#DIV/0!</v>
      </c>
      <c r="FA49" s="34" t="e">
        <f t="shared" ref="FA49:FA51" si="689">AS49/$E49</f>
        <v>#DIV/0!</v>
      </c>
      <c r="FB49" s="34" t="e">
        <f t="shared" ref="FB49:FB51" si="690">AT49/$E49</f>
        <v>#DIV/0!</v>
      </c>
      <c r="FC49" s="34" t="e">
        <f t="shared" ref="FC49:FC51" si="691">AU49/$E49</f>
        <v>#DIV/0!</v>
      </c>
      <c r="FD49" s="34" t="e">
        <f t="shared" ref="FD49:FD51" si="692">AV49/$E49</f>
        <v>#DIV/0!</v>
      </c>
      <c r="FE49" s="34" t="e">
        <f t="shared" ref="FE49:FE51" si="693">AY49/$E49</f>
        <v>#DIV/0!</v>
      </c>
      <c r="FF49" s="139" t="e">
        <f t="shared" ref="FF49:FF51" si="694">AZ49/$E49</f>
        <v>#DIV/0!</v>
      </c>
    </row>
    <row r="50" spans="2:162" x14ac:dyDescent="0.25">
      <c r="B50" s="127">
        <f t="shared" si="627"/>
        <v>45535</v>
      </c>
      <c r="C50" s="266"/>
      <c r="D50" s="53"/>
      <c r="E50" s="129"/>
      <c r="F50" s="25"/>
      <c r="G50" s="25"/>
      <c r="H50" s="150"/>
      <c r="I50" s="24"/>
      <c r="J50" s="151"/>
      <c r="K50" s="151"/>
      <c r="L50" s="152"/>
      <c r="M50" s="152"/>
      <c r="N50" s="153"/>
      <c r="O50" s="25"/>
      <c r="P50" s="95"/>
      <c r="Q50" s="41"/>
      <c r="R50" s="41"/>
      <c r="S50" s="41"/>
      <c r="T50" s="41"/>
      <c r="U50" s="41"/>
      <c r="V50" s="41"/>
      <c r="W50" s="42"/>
      <c r="X50" s="95"/>
      <c r="Y50" s="41"/>
      <c r="Z50" s="41"/>
      <c r="AA50" s="42"/>
      <c r="AB50" s="95"/>
      <c r="AC50" s="41"/>
      <c r="AD50" s="41"/>
      <c r="AE50" s="41"/>
      <c r="AF50" s="41"/>
      <c r="AG50" s="42"/>
      <c r="AH50" s="95"/>
      <c r="AI50" s="41"/>
      <c r="AJ50" s="41"/>
      <c r="AK50" s="41"/>
      <c r="AL50" s="42"/>
      <c r="AM50" s="95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2"/>
      <c r="BB50" s="95"/>
      <c r="BC50" s="41"/>
      <c r="BD50" s="41"/>
      <c r="BE50" s="41"/>
      <c r="BF50" s="41"/>
      <c r="BG50" s="41"/>
      <c r="BH50" s="41"/>
      <c r="BI50" s="42"/>
      <c r="BJ50" s="95"/>
      <c r="BK50" s="41"/>
      <c r="BL50" s="41"/>
      <c r="BM50" s="42"/>
      <c r="BN50" s="95"/>
      <c r="BO50" s="41"/>
      <c r="BP50" s="41"/>
      <c r="BQ50" s="41"/>
      <c r="BR50" s="41"/>
      <c r="BS50" s="42"/>
      <c r="BT50" s="95"/>
      <c r="BU50" s="41"/>
      <c r="BV50" s="41"/>
      <c r="BW50" s="41"/>
      <c r="BX50" s="42"/>
      <c r="BY50" s="95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2"/>
      <c r="CL50" s="36">
        <v>2</v>
      </c>
      <c r="CN50" s="95" t="e">
        <f t="shared" ref="CN50" si="695">AVERAGE(BB50:BB51)*$CL50</f>
        <v>#DIV/0!</v>
      </c>
      <c r="CO50" s="41" t="e">
        <f t="shared" ref="CO50" si="696">AVERAGE(BC50:BC51)*$CL50</f>
        <v>#DIV/0!</v>
      </c>
      <c r="CP50" s="41" t="e">
        <f t="shared" ref="CP50" si="697">AVERAGE(BD50:BD51)*$CL50</f>
        <v>#DIV/0!</v>
      </c>
      <c r="CQ50" s="41" t="e">
        <f t="shared" ref="CQ50" si="698">AVERAGE(BE50:BE51)*$CL50</f>
        <v>#DIV/0!</v>
      </c>
      <c r="CR50" s="41" t="e">
        <f t="shared" ref="CR50" si="699">AVERAGE(BF50:BF51)*$CL50</f>
        <v>#DIV/0!</v>
      </c>
      <c r="CS50" s="41" t="e">
        <f t="shared" ref="CS50" si="700">AVERAGE(BG50:BG51)*$CL50</f>
        <v>#DIV/0!</v>
      </c>
      <c r="CT50" s="41" t="e">
        <f t="shared" ref="CT50" si="701">AVERAGE(BH50:BH51)*$CL50</f>
        <v>#DIV/0!</v>
      </c>
      <c r="CU50" s="42" t="e">
        <f t="shared" ref="CU50" si="702">AVERAGE(BI50:BI51)*$CL50</f>
        <v>#DIV/0!</v>
      </c>
      <c r="CV50" s="95" t="e">
        <f t="shared" ref="CV50" si="703">AVERAGE(BJ50:BJ51)*$CL50</f>
        <v>#DIV/0!</v>
      </c>
      <c r="CW50" s="41" t="e">
        <f t="shared" ref="CW50" si="704">AVERAGE(BK50:BK51)*$CL50</f>
        <v>#DIV/0!</v>
      </c>
      <c r="CX50" s="41" t="e">
        <f t="shared" ref="CX50" si="705">AVERAGE(BL50:BL51)*$CL50</f>
        <v>#DIV/0!</v>
      </c>
      <c r="CY50" s="42" t="e">
        <f t="shared" ref="CY50" si="706">AVERAGE(BM50:BM51)*$CL50</f>
        <v>#DIV/0!</v>
      </c>
      <c r="CZ50" s="95" t="e">
        <f t="shared" ref="CZ50" si="707">AVERAGE(BN50:BN51)*$CL50</f>
        <v>#DIV/0!</v>
      </c>
      <c r="DA50" s="41" t="e">
        <f t="shared" ref="DA50" si="708">AVERAGE(BO50:BO51)*$CL50</f>
        <v>#DIV/0!</v>
      </c>
      <c r="DB50" s="41" t="e">
        <f t="shared" ref="DB50" si="709">AVERAGE(BP50:BP51)*$CL50</f>
        <v>#DIV/0!</v>
      </c>
      <c r="DC50" s="41" t="e">
        <f t="shared" ref="DC50" si="710">AVERAGE(BQ50:BQ51)*$CL50</f>
        <v>#DIV/0!</v>
      </c>
      <c r="DD50" s="41" t="e">
        <f t="shared" ref="DD50" si="711">AVERAGE(BR50:BR51)*$CL50</f>
        <v>#DIV/0!</v>
      </c>
      <c r="DE50" s="42" t="e">
        <f t="shared" ref="DE50" si="712">AVERAGE(BS50:BS51)*$CL50</f>
        <v>#DIV/0!</v>
      </c>
      <c r="DF50" s="95" t="e">
        <f t="shared" ref="DF50" si="713">AVERAGE(BT50:BT51)*$CL50</f>
        <v>#DIV/0!</v>
      </c>
      <c r="DG50" s="41" t="e">
        <f t="shared" ref="DG50" si="714">AVERAGE(BU50:BU51)*$CL50</f>
        <v>#DIV/0!</v>
      </c>
      <c r="DH50" s="41" t="e">
        <f t="shared" ref="DH50" si="715">AVERAGE(BV50:BV51)*$CL50</f>
        <v>#DIV/0!</v>
      </c>
      <c r="DI50" s="41" t="e">
        <f t="shared" ref="DI50" si="716">AVERAGE(BW50:BW51)*$CL50</f>
        <v>#DIV/0!</v>
      </c>
      <c r="DJ50" s="42" t="e">
        <f t="shared" ref="DJ50" si="717">AVERAGE(BX50:BX51)*$CL50</f>
        <v>#DIV/0!</v>
      </c>
      <c r="DK50" s="95" t="e">
        <f t="shared" ref="DK50" si="718">AVERAGE(BY50:BY51)*$CL50</f>
        <v>#DIV/0!</v>
      </c>
      <c r="DL50" s="41" t="e">
        <f t="shared" ref="DL50" si="719">AVERAGE(BZ50:BZ51)*$CL50</f>
        <v>#DIV/0!</v>
      </c>
      <c r="DM50" s="41" t="e">
        <f t="shared" ref="DM50" si="720">AVERAGE(CA50:CA51)*$CL50</f>
        <v>#DIV/0!</v>
      </c>
      <c r="DN50" s="41" t="e">
        <f t="shared" ref="DN50" si="721">AVERAGE(CB50:CB51)*$CL50</f>
        <v>#DIV/0!</v>
      </c>
      <c r="DO50" s="41" t="e">
        <f t="shared" ref="DO50" si="722">AVERAGE(CC50:CC51)*$CL50</f>
        <v>#DIV/0!</v>
      </c>
      <c r="DP50" s="41" t="e">
        <f t="shared" ref="DP50" si="723">AVERAGE(CD50:CD51)*$CL50</f>
        <v>#DIV/0!</v>
      </c>
      <c r="DQ50" s="41" t="e">
        <f t="shared" ref="DQ50" si="724">AVERAGE(CE50:CE51)*$CL50</f>
        <v>#DIV/0!</v>
      </c>
      <c r="DR50" s="41" t="e">
        <f t="shared" ref="DR50" si="725">AVERAGE(CF50:CF51)*$CL50</f>
        <v>#DIV/0!</v>
      </c>
      <c r="DS50" s="41" t="e">
        <f t="shared" ref="DS50" si="726">AVERAGE(CG50:CG51)*$CL50</f>
        <v>#DIV/0!</v>
      </c>
      <c r="DT50" s="41" t="e">
        <f t="shared" ref="DT50" si="727">AVERAGE(CH50:CH51)*$CL50</f>
        <v>#DIV/0!</v>
      </c>
      <c r="DU50" s="41" t="e">
        <f t="shared" ref="DU50" si="728">AVERAGE(CI50:CI51)*$CL50</f>
        <v>#DIV/0!</v>
      </c>
      <c r="DV50" s="42" t="e">
        <f t="shared" ref="DV50" si="729">AVERAGE(CJ50:CJ51)*$CL50</f>
        <v>#DIV/0!</v>
      </c>
      <c r="DX50" s="138" t="e">
        <f t="shared" si="622"/>
        <v>#DIV/0!</v>
      </c>
      <c r="DY50" s="34" t="e">
        <f t="shared" si="623"/>
        <v>#DIV/0!</v>
      </c>
      <c r="DZ50" s="34" t="e">
        <f t="shared" si="624"/>
        <v>#DIV/0!</v>
      </c>
      <c r="EA50" s="34" t="e">
        <f t="shared" si="625"/>
        <v>#DIV/0!</v>
      </c>
      <c r="EB50" s="34" t="e">
        <f t="shared" si="626"/>
        <v>#DIV/0!</v>
      </c>
      <c r="EC50" s="34"/>
      <c r="ED50" s="34"/>
      <c r="EE50" s="139"/>
      <c r="EF50" s="138"/>
      <c r="EG50" s="34"/>
      <c r="EH50" s="34"/>
      <c r="EI50" s="139"/>
      <c r="EJ50" s="138"/>
      <c r="EK50" s="34"/>
      <c r="EL50" s="34"/>
      <c r="EM50" s="34"/>
      <c r="EN50" s="34"/>
      <c r="EO50" s="139"/>
      <c r="EP50" s="138"/>
      <c r="EQ50" s="34"/>
      <c r="ER50" s="34"/>
      <c r="ES50" s="34"/>
      <c r="ET50" s="139"/>
      <c r="EU50" s="138"/>
      <c r="EV50" s="34"/>
      <c r="EW50" s="34"/>
      <c r="EX50" s="34"/>
      <c r="EY50" s="34"/>
      <c r="EZ50" s="34"/>
      <c r="FA50" s="34"/>
      <c r="FB50" s="34"/>
      <c r="FC50" s="34"/>
      <c r="FD50" s="34"/>
      <c r="FE50" s="34"/>
      <c r="FF50" s="139"/>
    </row>
    <row r="51" spans="2:162" ht="16.5" thickBot="1" x14ac:dyDescent="0.3">
      <c r="B51" s="127">
        <f t="shared" si="627"/>
        <v>45536</v>
      </c>
      <c r="C51" s="267"/>
      <c r="D51" s="100"/>
      <c r="E51" s="131"/>
      <c r="F51" s="25"/>
      <c r="G51" s="25"/>
      <c r="H51" s="171"/>
      <c r="I51" s="172"/>
      <c r="J51" s="173"/>
      <c r="K51" s="173"/>
      <c r="L51" s="174">
        <v>14.3</v>
      </c>
      <c r="M51" s="174" t="e">
        <f t="shared" ref="M51" si="730">H51/I51*K51*L51*1.5</f>
        <v>#DIV/0!</v>
      </c>
      <c r="N51" s="175" t="e">
        <f t="shared" ref="N51" si="731">H51/I51*J51*L51*N$4</f>
        <v>#DIV/0!</v>
      </c>
      <c r="O51" s="25"/>
      <c r="P51" s="96"/>
      <c r="Q51" s="76"/>
      <c r="R51" s="76"/>
      <c r="S51" s="76"/>
      <c r="T51" s="76"/>
      <c r="U51" s="76"/>
      <c r="V51" s="76"/>
      <c r="W51" s="77"/>
      <c r="X51" s="96"/>
      <c r="Y51" s="76"/>
      <c r="Z51" s="76"/>
      <c r="AA51" s="77"/>
      <c r="AB51" s="96"/>
      <c r="AC51" s="76"/>
      <c r="AD51" s="76"/>
      <c r="AE51" s="76"/>
      <c r="AF51" s="76"/>
      <c r="AG51" s="77"/>
      <c r="AH51" s="96"/>
      <c r="AI51" s="76"/>
      <c r="AJ51" s="76"/>
      <c r="AK51" s="76"/>
      <c r="AL51" s="77"/>
      <c r="AM51" s="9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7"/>
      <c r="BB51" s="96" t="e">
        <f t="shared" ref="BB51" si="732">$N51*DX51</f>
        <v>#DIV/0!</v>
      </c>
      <c r="BC51" s="76" t="e">
        <f t="shared" ref="BC51" si="733">$N51*DY51</f>
        <v>#DIV/0!</v>
      </c>
      <c r="BD51" s="76" t="e">
        <f t="shared" ref="BD51" si="734">$N51*DZ51</f>
        <v>#DIV/0!</v>
      </c>
      <c r="BE51" s="76" t="e">
        <f t="shared" ref="BE51" si="735">$N51*EA51</f>
        <v>#DIV/0!</v>
      </c>
      <c r="BF51" s="76" t="e">
        <f t="shared" ref="BF51" si="736">$N51*EB51</f>
        <v>#DIV/0!</v>
      </c>
      <c r="BG51" s="76" t="e">
        <f t="shared" ref="BG51" si="737">$N51*EC51</f>
        <v>#DIV/0!</v>
      </c>
      <c r="BH51" s="76" t="e">
        <f t="shared" ref="BH51" si="738">$N51*ED51</f>
        <v>#DIV/0!</v>
      </c>
      <c r="BI51" s="77" t="e">
        <f t="shared" ref="BI51" si="739">$N51*EE51</f>
        <v>#DIV/0!</v>
      </c>
      <c r="BJ51" s="96" t="e">
        <f t="shared" ref="BJ51" si="740">$N51*EF51</f>
        <v>#DIV/0!</v>
      </c>
      <c r="BK51" s="76" t="e">
        <f t="shared" ref="BK51" si="741">$N51*EG51</f>
        <v>#DIV/0!</v>
      </c>
      <c r="BL51" s="76" t="e">
        <f t="shared" ref="BL51" si="742">$N51*EH51</f>
        <v>#DIV/0!</v>
      </c>
      <c r="BM51" s="77" t="e">
        <f t="shared" ref="BM51" si="743">$N51*EI51</f>
        <v>#DIV/0!</v>
      </c>
      <c r="BN51" s="96" t="e">
        <f t="shared" ref="BN51" si="744">$N51*EJ51</f>
        <v>#DIV/0!</v>
      </c>
      <c r="BO51" s="76" t="e">
        <f t="shared" ref="BO51" si="745">$N51*EK51</f>
        <v>#DIV/0!</v>
      </c>
      <c r="BP51" s="76" t="e">
        <f t="shared" ref="BP51" si="746">$N51*EL51</f>
        <v>#DIV/0!</v>
      </c>
      <c r="BQ51" s="76" t="e">
        <f t="shared" ref="BQ51" si="747">$N51*EM51</f>
        <v>#DIV/0!</v>
      </c>
      <c r="BR51" s="76" t="e">
        <f t="shared" ref="BR51" si="748">$N51*EN51</f>
        <v>#DIV/0!</v>
      </c>
      <c r="BS51" s="77" t="e">
        <f t="shared" ref="BS51" si="749">$N51*EO51</f>
        <v>#DIV/0!</v>
      </c>
      <c r="BT51" s="96" t="e">
        <f t="shared" ref="BT51" si="750">$N51*EP51</f>
        <v>#DIV/0!</v>
      </c>
      <c r="BU51" s="76" t="e">
        <f t="shared" ref="BU51" si="751">$N51*EQ51</f>
        <v>#DIV/0!</v>
      </c>
      <c r="BV51" s="76" t="e">
        <f t="shared" ref="BV51" si="752">$N51*ER51</f>
        <v>#DIV/0!</v>
      </c>
      <c r="BW51" s="76" t="e">
        <f t="shared" ref="BW51" si="753">$N51*ES51</f>
        <v>#DIV/0!</v>
      </c>
      <c r="BX51" s="77" t="e">
        <f t="shared" ref="BX51" si="754">$N51*ET51</f>
        <v>#DIV/0!</v>
      </c>
      <c r="BY51" s="96" t="e">
        <f t="shared" ref="BY51" si="755">$N51*EU51</f>
        <v>#DIV/0!</v>
      </c>
      <c r="BZ51" s="76" t="e">
        <f t="shared" ref="BZ51" si="756">$N51*EV51</f>
        <v>#DIV/0!</v>
      </c>
      <c r="CA51" s="76" t="e">
        <f t="shared" ref="CA51" si="757">$N51*EW51</f>
        <v>#DIV/0!</v>
      </c>
      <c r="CB51" s="76" t="e">
        <f t="shared" ref="CB51" si="758">$N51*EX51</f>
        <v>#DIV/0!</v>
      </c>
      <c r="CC51" s="76" t="e">
        <f t="shared" ref="CC51" si="759">$N51*EY51</f>
        <v>#DIV/0!</v>
      </c>
      <c r="CD51" s="76" t="e">
        <f t="shared" ref="CD51" si="760">$N51*EZ51</f>
        <v>#DIV/0!</v>
      </c>
      <c r="CE51" s="76" t="e">
        <f t="shared" ref="CE51" si="761">$N51*FA51</f>
        <v>#DIV/0!</v>
      </c>
      <c r="CF51" s="76" t="e">
        <f t="shared" ref="CF51" si="762">$N51*FB51</f>
        <v>#DIV/0!</v>
      </c>
      <c r="CG51" s="76" t="e">
        <f t="shared" ref="CG51" si="763">$N51*FC51</f>
        <v>#DIV/0!</v>
      </c>
      <c r="CH51" s="76" t="e">
        <f t="shared" ref="CH51" si="764">$N51*FD51</f>
        <v>#DIV/0!</v>
      </c>
      <c r="CI51" s="76" t="e">
        <f t="shared" ref="CI51" si="765">$N51*FE51</f>
        <v>#DIV/0!</v>
      </c>
      <c r="CJ51" s="77" t="e">
        <f t="shared" ref="CJ51" si="766">$N51*FF51</f>
        <v>#DIV/0!</v>
      </c>
      <c r="CN51" s="96"/>
      <c r="CO51" s="76"/>
      <c r="CP51" s="76"/>
      <c r="CQ51" s="76"/>
      <c r="CR51" s="76"/>
      <c r="CS51" s="76"/>
      <c r="CT51" s="76"/>
      <c r="CU51" s="77"/>
      <c r="CV51" s="96"/>
      <c r="CW51" s="76"/>
      <c r="CX51" s="76"/>
      <c r="CY51" s="77"/>
      <c r="CZ51" s="96"/>
      <c r="DA51" s="76"/>
      <c r="DB51" s="76"/>
      <c r="DC51" s="76"/>
      <c r="DD51" s="76"/>
      <c r="DE51" s="77"/>
      <c r="DF51" s="96"/>
      <c r="DG51" s="76"/>
      <c r="DH51" s="76"/>
      <c r="DI51" s="76"/>
      <c r="DJ51" s="77"/>
      <c r="DK51" s="96"/>
      <c r="DL51" s="76"/>
      <c r="DM51" s="76"/>
      <c r="DN51" s="76"/>
      <c r="DO51" s="76"/>
      <c r="DP51" s="76"/>
      <c r="DQ51" s="76"/>
      <c r="DR51" s="76"/>
      <c r="DS51" s="76"/>
      <c r="DT51" s="76"/>
      <c r="DU51" s="76"/>
      <c r="DV51" s="77"/>
      <c r="DX51" s="140" t="e">
        <f t="shared" si="622"/>
        <v>#DIV/0!</v>
      </c>
      <c r="DY51" s="141" t="e">
        <f t="shared" si="623"/>
        <v>#DIV/0!</v>
      </c>
      <c r="DZ51" s="141" t="e">
        <f t="shared" si="624"/>
        <v>#DIV/0!</v>
      </c>
      <c r="EA51" s="141" t="e">
        <f t="shared" si="625"/>
        <v>#DIV/0!</v>
      </c>
      <c r="EB51" s="141" t="e">
        <f t="shared" si="626"/>
        <v>#DIV/0!</v>
      </c>
      <c r="EC51" s="141" t="e">
        <f t="shared" si="665"/>
        <v>#DIV/0!</v>
      </c>
      <c r="ED51" s="141" t="e">
        <f t="shared" si="666"/>
        <v>#DIV/0!</v>
      </c>
      <c r="EE51" s="142" t="e">
        <f t="shared" si="667"/>
        <v>#DIV/0!</v>
      </c>
      <c r="EF51" s="140" t="e">
        <f t="shared" si="668"/>
        <v>#DIV/0!</v>
      </c>
      <c r="EG51" s="141" t="e">
        <f t="shared" si="669"/>
        <v>#DIV/0!</v>
      </c>
      <c r="EH51" s="141" t="e">
        <f t="shared" si="670"/>
        <v>#DIV/0!</v>
      </c>
      <c r="EI51" s="142" t="e">
        <f t="shared" si="671"/>
        <v>#DIV/0!</v>
      </c>
      <c r="EJ51" s="140" t="e">
        <f t="shared" si="672"/>
        <v>#DIV/0!</v>
      </c>
      <c r="EK51" s="141" t="e">
        <f t="shared" si="673"/>
        <v>#DIV/0!</v>
      </c>
      <c r="EL51" s="141" t="e">
        <f t="shared" si="674"/>
        <v>#DIV/0!</v>
      </c>
      <c r="EM51" s="141" t="e">
        <f t="shared" si="675"/>
        <v>#DIV/0!</v>
      </c>
      <c r="EN51" s="141" t="e">
        <f t="shared" si="676"/>
        <v>#DIV/0!</v>
      </c>
      <c r="EO51" s="142" t="e">
        <f t="shared" si="677"/>
        <v>#DIV/0!</v>
      </c>
      <c r="EP51" s="140" t="e">
        <f t="shared" si="678"/>
        <v>#DIV/0!</v>
      </c>
      <c r="EQ51" s="141" t="e">
        <f t="shared" si="679"/>
        <v>#DIV/0!</v>
      </c>
      <c r="ER51" s="141" t="e">
        <f t="shared" si="680"/>
        <v>#DIV/0!</v>
      </c>
      <c r="ES51" s="141" t="e">
        <f t="shared" si="681"/>
        <v>#DIV/0!</v>
      </c>
      <c r="ET51" s="142" t="e">
        <f t="shared" si="682"/>
        <v>#DIV/0!</v>
      </c>
      <c r="EU51" s="140" t="e">
        <f t="shared" si="683"/>
        <v>#DIV/0!</v>
      </c>
      <c r="EV51" s="141" t="e">
        <f t="shared" si="684"/>
        <v>#DIV/0!</v>
      </c>
      <c r="EW51" s="141" t="e">
        <f t="shared" si="685"/>
        <v>#DIV/0!</v>
      </c>
      <c r="EX51" s="141" t="e">
        <f t="shared" si="686"/>
        <v>#DIV/0!</v>
      </c>
      <c r="EY51" s="141" t="e">
        <f t="shared" si="687"/>
        <v>#DIV/0!</v>
      </c>
      <c r="EZ51" s="141" t="e">
        <f t="shared" si="688"/>
        <v>#DIV/0!</v>
      </c>
      <c r="FA51" s="141" t="e">
        <f t="shared" si="689"/>
        <v>#DIV/0!</v>
      </c>
      <c r="FB51" s="141" t="e">
        <f t="shared" si="690"/>
        <v>#DIV/0!</v>
      </c>
      <c r="FC51" s="141" t="e">
        <f t="shared" si="691"/>
        <v>#DIV/0!</v>
      </c>
      <c r="FD51" s="141" t="e">
        <f t="shared" si="692"/>
        <v>#DIV/0!</v>
      </c>
      <c r="FE51" s="141" t="e">
        <f t="shared" si="693"/>
        <v>#DIV/0!</v>
      </c>
      <c r="FF51" s="142" t="e">
        <f t="shared" si="694"/>
        <v>#DIV/0!</v>
      </c>
    </row>
    <row r="52" spans="2:162" ht="17.25" thickTop="1" thickBot="1" x14ac:dyDescent="0.3">
      <c r="B52" s="178"/>
      <c r="C52" s="268"/>
      <c r="D52" s="101">
        <f t="shared" ref="D52:E52" si="767">SUM(D45:D51)</f>
        <v>0</v>
      </c>
      <c r="E52" s="134">
        <f t="shared" si="767"/>
        <v>0</v>
      </c>
      <c r="F52" s="146"/>
      <c r="G52" s="146"/>
      <c r="H52" s="43"/>
      <c r="I52" s="39"/>
      <c r="J52" s="39"/>
      <c r="K52" s="39"/>
      <c r="L52" s="184"/>
      <c r="M52" s="185"/>
      <c r="N52" s="305" t="e">
        <f>AVERAGE(N45:N49)*1+AVERAGE(N50:N51)*2</f>
        <v>#DIV/0!</v>
      </c>
      <c r="O52" s="146"/>
      <c r="P52" s="68">
        <f t="shared" ref="P52:AZ52" si="768">SUM(P45:P51)</f>
        <v>0</v>
      </c>
      <c r="Q52" s="65">
        <f t="shared" si="768"/>
        <v>0</v>
      </c>
      <c r="R52" s="65">
        <f t="shared" si="768"/>
        <v>0</v>
      </c>
      <c r="S52" s="65">
        <f t="shared" si="768"/>
        <v>0</v>
      </c>
      <c r="T52" s="65">
        <f t="shared" si="768"/>
        <v>0</v>
      </c>
      <c r="U52" s="65">
        <f t="shared" si="768"/>
        <v>0</v>
      </c>
      <c r="V52" s="65">
        <f t="shared" si="768"/>
        <v>0</v>
      </c>
      <c r="W52" s="66">
        <f t="shared" si="768"/>
        <v>0</v>
      </c>
      <c r="X52" s="68">
        <f t="shared" si="768"/>
        <v>0</v>
      </c>
      <c r="Y52" s="65">
        <f t="shared" si="768"/>
        <v>0</v>
      </c>
      <c r="Z52" s="65">
        <f t="shared" si="768"/>
        <v>0</v>
      </c>
      <c r="AA52" s="66">
        <f t="shared" si="768"/>
        <v>0</v>
      </c>
      <c r="AB52" s="68">
        <f t="shared" si="768"/>
        <v>0</v>
      </c>
      <c r="AC52" s="65">
        <f t="shared" si="768"/>
        <v>0</v>
      </c>
      <c r="AD52" s="65">
        <f t="shared" si="768"/>
        <v>0</v>
      </c>
      <c r="AE52" s="65">
        <f t="shared" si="768"/>
        <v>0</v>
      </c>
      <c r="AF52" s="65">
        <f t="shared" si="768"/>
        <v>0</v>
      </c>
      <c r="AG52" s="66">
        <f t="shared" si="768"/>
        <v>0</v>
      </c>
      <c r="AH52" s="68">
        <f t="shared" si="768"/>
        <v>0</v>
      </c>
      <c r="AI52" s="65">
        <f t="shared" si="768"/>
        <v>0</v>
      </c>
      <c r="AJ52" s="65">
        <f t="shared" si="768"/>
        <v>0</v>
      </c>
      <c r="AK52" s="65">
        <f t="shared" si="768"/>
        <v>0</v>
      </c>
      <c r="AL52" s="66">
        <f t="shared" si="768"/>
        <v>0</v>
      </c>
      <c r="AM52" s="68">
        <f t="shared" si="768"/>
        <v>0</v>
      </c>
      <c r="AN52" s="65">
        <f t="shared" si="768"/>
        <v>0</v>
      </c>
      <c r="AO52" s="65">
        <f t="shared" si="768"/>
        <v>0</v>
      </c>
      <c r="AP52" s="65">
        <f t="shared" si="768"/>
        <v>0</v>
      </c>
      <c r="AQ52" s="65">
        <f t="shared" si="768"/>
        <v>0</v>
      </c>
      <c r="AR52" s="65">
        <f t="shared" si="768"/>
        <v>0</v>
      </c>
      <c r="AS52" s="65">
        <f t="shared" si="768"/>
        <v>0</v>
      </c>
      <c r="AT52" s="65">
        <f t="shared" si="768"/>
        <v>0</v>
      </c>
      <c r="AU52" s="65">
        <f t="shared" si="768"/>
        <v>0</v>
      </c>
      <c r="AV52" s="65">
        <f t="shared" si="768"/>
        <v>0</v>
      </c>
      <c r="AW52" s="65">
        <f t="shared" si="768"/>
        <v>0</v>
      </c>
      <c r="AX52" s="65">
        <f t="shared" si="768"/>
        <v>0</v>
      </c>
      <c r="AY52" s="65">
        <f t="shared" si="768"/>
        <v>0</v>
      </c>
      <c r="AZ52" s="66">
        <f t="shared" si="768"/>
        <v>0</v>
      </c>
      <c r="BB52" s="68" t="e">
        <f t="shared" ref="BB52:CJ52" si="769">SUM(BB45:BB51)</f>
        <v>#DIV/0!</v>
      </c>
      <c r="BC52" s="65" t="e">
        <f t="shared" si="769"/>
        <v>#DIV/0!</v>
      </c>
      <c r="BD52" s="65" t="e">
        <f t="shared" si="769"/>
        <v>#DIV/0!</v>
      </c>
      <c r="BE52" s="65" t="e">
        <f t="shared" si="769"/>
        <v>#DIV/0!</v>
      </c>
      <c r="BF52" s="65" t="e">
        <f t="shared" si="769"/>
        <v>#DIV/0!</v>
      </c>
      <c r="BG52" s="65" t="e">
        <f t="shared" si="769"/>
        <v>#DIV/0!</v>
      </c>
      <c r="BH52" s="65" t="e">
        <f t="shared" si="769"/>
        <v>#DIV/0!</v>
      </c>
      <c r="BI52" s="66" t="e">
        <f t="shared" si="769"/>
        <v>#DIV/0!</v>
      </c>
      <c r="BJ52" s="68" t="e">
        <f t="shared" si="769"/>
        <v>#DIV/0!</v>
      </c>
      <c r="BK52" s="65" t="e">
        <f t="shared" si="769"/>
        <v>#DIV/0!</v>
      </c>
      <c r="BL52" s="65" t="e">
        <f t="shared" si="769"/>
        <v>#DIV/0!</v>
      </c>
      <c r="BM52" s="66" t="e">
        <f t="shared" si="769"/>
        <v>#DIV/0!</v>
      </c>
      <c r="BN52" s="68" t="e">
        <f t="shared" si="769"/>
        <v>#DIV/0!</v>
      </c>
      <c r="BO52" s="65" t="e">
        <f t="shared" si="769"/>
        <v>#DIV/0!</v>
      </c>
      <c r="BP52" s="65" t="e">
        <f t="shared" si="769"/>
        <v>#DIV/0!</v>
      </c>
      <c r="BQ52" s="65" t="e">
        <f t="shared" si="769"/>
        <v>#DIV/0!</v>
      </c>
      <c r="BR52" s="65" t="e">
        <f t="shared" si="769"/>
        <v>#DIV/0!</v>
      </c>
      <c r="BS52" s="66" t="e">
        <f t="shared" si="769"/>
        <v>#DIV/0!</v>
      </c>
      <c r="BT52" s="68" t="e">
        <f t="shared" si="769"/>
        <v>#DIV/0!</v>
      </c>
      <c r="BU52" s="65" t="e">
        <f t="shared" si="769"/>
        <v>#DIV/0!</v>
      </c>
      <c r="BV52" s="65" t="e">
        <f t="shared" si="769"/>
        <v>#DIV/0!</v>
      </c>
      <c r="BW52" s="65" t="e">
        <f t="shared" si="769"/>
        <v>#DIV/0!</v>
      </c>
      <c r="BX52" s="66" t="e">
        <f t="shared" si="769"/>
        <v>#DIV/0!</v>
      </c>
      <c r="BY52" s="68" t="e">
        <f t="shared" si="769"/>
        <v>#DIV/0!</v>
      </c>
      <c r="BZ52" s="65" t="e">
        <f t="shared" si="769"/>
        <v>#DIV/0!</v>
      </c>
      <c r="CA52" s="65" t="e">
        <f t="shared" si="769"/>
        <v>#DIV/0!</v>
      </c>
      <c r="CB52" s="65" t="e">
        <f t="shared" si="769"/>
        <v>#DIV/0!</v>
      </c>
      <c r="CC52" s="65" t="e">
        <f t="shared" si="769"/>
        <v>#DIV/0!</v>
      </c>
      <c r="CD52" s="65" t="e">
        <f t="shared" si="769"/>
        <v>#DIV/0!</v>
      </c>
      <c r="CE52" s="65" t="e">
        <f t="shared" si="769"/>
        <v>#DIV/0!</v>
      </c>
      <c r="CF52" s="65" t="e">
        <f t="shared" si="769"/>
        <v>#DIV/0!</v>
      </c>
      <c r="CG52" s="65" t="e">
        <f t="shared" si="769"/>
        <v>#DIV/0!</v>
      </c>
      <c r="CH52" s="65" t="e">
        <f t="shared" si="769"/>
        <v>#DIV/0!</v>
      </c>
      <c r="CI52" s="65" t="e">
        <f t="shared" si="769"/>
        <v>#DIV/0!</v>
      </c>
      <c r="CJ52" s="66" t="e">
        <f t="shared" si="769"/>
        <v>#DIV/0!</v>
      </c>
      <c r="CN52" s="68" t="e">
        <f t="shared" ref="CN52:DV52" si="770">SUM(CN45:CN51)</f>
        <v>#DIV/0!</v>
      </c>
      <c r="CO52" s="65" t="e">
        <f t="shared" si="770"/>
        <v>#DIV/0!</v>
      </c>
      <c r="CP52" s="65" t="e">
        <f t="shared" si="770"/>
        <v>#DIV/0!</v>
      </c>
      <c r="CQ52" s="65" t="e">
        <f t="shared" si="770"/>
        <v>#DIV/0!</v>
      </c>
      <c r="CR52" s="65" t="e">
        <f t="shared" si="770"/>
        <v>#DIV/0!</v>
      </c>
      <c r="CS52" s="65" t="e">
        <f t="shared" si="770"/>
        <v>#DIV/0!</v>
      </c>
      <c r="CT52" s="65" t="e">
        <f t="shared" si="770"/>
        <v>#DIV/0!</v>
      </c>
      <c r="CU52" s="66" t="e">
        <f t="shared" si="770"/>
        <v>#DIV/0!</v>
      </c>
      <c r="CV52" s="68" t="e">
        <f t="shared" si="770"/>
        <v>#DIV/0!</v>
      </c>
      <c r="CW52" s="65" t="e">
        <f t="shared" si="770"/>
        <v>#DIV/0!</v>
      </c>
      <c r="CX52" s="65" t="e">
        <f t="shared" si="770"/>
        <v>#DIV/0!</v>
      </c>
      <c r="CY52" s="66" t="e">
        <f t="shared" si="770"/>
        <v>#DIV/0!</v>
      </c>
      <c r="CZ52" s="68" t="e">
        <f t="shared" si="770"/>
        <v>#DIV/0!</v>
      </c>
      <c r="DA52" s="65" t="e">
        <f t="shared" si="770"/>
        <v>#DIV/0!</v>
      </c>
      <c r="DB52" s="65" t="e">
        <f t="shared" si="770"/>
        <v>#DIV/0!</v>
      </c>
      <c r="DC52" s="65" t="e">
        <f t="shared" si="770"/>
        <v>#DIV/0!</v>
      </c>
      <c r="DD52" s="65" t="e">
        <f t="shared" si="770"/>
        <v>#DIV/0!</v>
      </c>
      <c r="DE52" s="66" t="e">
        <f t="shared" si="770"/>
        <v>#DIV/0!</v>
      </c>
      <c r="DF52" s="68" t="e">
        <f t="shared" si="770"/>
        <v>#DIV/0!</v>
      </c>
      <c r="DG52" s="65" t="e">
        <f t="shared" si="770"/>
        <v>#DIV/0!</v>
      </c>
      <c r="DH52" s="65" t="e">
        <f t="shared" si="770"/>
        <v>#DIV/0!</v>
      </c>
      <c r="DI52" s="65" t="e">
        <f t="shared" si="770"/>
        <v>#DIV/0!</v>
      </c>
      <c r="DJ52" s="66" t="e">
        <f t="shared" si="770"/>
        <v>#DIV/0!</v>
      </c>
      <c r="DK52" s="68" t="e">
        <f t="shared" si="770"/>
        <v>#DIV/0!</v>
      </c>
      <c r="DL52" s="65" t="e">
        <f t="shared" si="770"/>
        <v>#DIV/0!</v>
      </c>
      <c r="DM52" s="65" t="e">
        <f t="shared" si="770"/>
        <v>#DIV/0!</v>
      </c>
      <c r="DN52" s="65" t="e">
        <f t="shared" si="770"/>
        <v>#DIV/0!</v>
      </c>
      <c r="DO52" s="65" t="e">
        <f t="shared" si="770"/>
        <v>#DIV/0!</v>
      </c>
      <c r="DP52" s="65" t="e">
        <f t="shared" si="770"/>
        <v>#DIV/0!</v>
      </c>
      <c r="DQ52" s="65" t="e">
        <f t="shared" si="770"/>
        <v>#DIV/0!</v>
      </c>
      <c r="DR52" s="65" t="e">
        <f t="shared" si="770"/>
        <v>#DIV/0!</v>
      </c>
      <c r="DS52" s="65" t="e">
        <f t="shared" si="770"/>
        <v>#DIV/0!</v>
      </c>
      <c r="DT52" s="65" t="e">
        <f t="shared" si="770"/>
        <v>#DIV/0!</v>
      </c>
      <c r="DU52" s="65" t="e">
        <f t="shared" si="770"/>
        <v>#DIV/0!</v>
      </c>
      <c r="DV52" s="66" t="e">
        <f t="shared" si="770"/>
        <v>#DIV/0!</v>
      </c>
      <c r="DX52" s="143" t="e">
        <f t="shared" ref="DX52:FF52" si="771">AVERAGE(DX45:DX51)</f>
        <v>#DIV/0!</v>
      </c>
      <c r="DY52" s="144" t="e">
        <f t="shared" si="771"/>
        <v>#DIV/0!</v>
      </c>
      <c r="DZ52" s="144" t="e">
        <f t="shared" si="771"/>
        <v>#DIV/0!</v>
      </c>
      <c r="EA52" s="144" t="e">
        <f t="shared" si="771"/>
        <v>#DIV/0!</v>
      </c>
      <c r="EB52" s="144" t="e">
        <f t="shared" si="771"/>
        <v>#DIV/0!</v>
      </c>
      <c r="EC52" s="144" t="e">
        <f t="shared" si="771"/>
        <v>#DIV/0!</v>
      </c>
      <c r="ED52" s="144" t="e">
        <f t="shared" si="771"/>
        <v>#DIV/0!</v>
      </c>
      <c r="EE52" s="145" t="e">
        <f t="shared" si="771"/>
        <v>#DIV/0!</v>
      </c>
      <c r="EF52" s="143" t="e">
        <f t="shared" si="771"/>
        <v>#DIV/0!</v>
      </c>
      <c r="EG52" s="144" t="e">
        <f t="shared" si="771"/>
        <v>#DIV/0!</v>
      </c>
      <c r="EH52" s="144" t="e">
        <f t="shared" si="771"/>
        <v>#DIV/0!</v>
      </c>
      <c r="EI52" s="145" t="e">
        <f t="shared" si="771"/>
        <v>#DIV/0!</v>
      </c>
      <c r="EJ52" s="143" t="e">
        <f t="shared" si="771"/>
        <v>#DIV/0!</v>
      </c>
      <c r="EK52" s="144" t="e">
        <f t="shared" si="771"/>
        <v>#DIV/0!</v>
      </c>
      <c r="EL52" s="144" t="e">
        <f t="shared" si="771"/>
        <v>#DIV/0!</v>
      </c>
      <c r="EM52" s="144" t="e">
        <f t="shared" si="771"/>
        <v>#DIV/0!</v>
      </c>
      <c r="EN52" s="144" t="e">
        <f t="shared" si="771"/>
        <v>#DIV/0!</v>
      </c>
      <c r="EO52" s="144" t="e">
        <f t="shared" si="771"/>
        <v>#DIV/0!</v>
      </c>
      <c r="EP52" s="143" t="e">
        <f t="shared" si="771"/>
        <v>#DIV/0!</v>
      </c>
      <c r="EQ52" s="144" t="e">
        <f t="shared" si="771"/>
        <v>#DIV/0!</v>
      </c>
      <c r="ER52" s="144" t="e">
        <f t="shared" si="771"/>
        <v>#DIV/0!</v>
      </c>
      <c r="ES52" s="144" t="e">
        <f t="shared" si="771"/>
        <v>#DIV/0!</v>
      </c>
      <c r="ET52" s="145" t="e">
        <f t="shared" si="771"/>
        <v>#DIV/0!</v>
      </c>
      <c r="EU52" s="143" t="e">
        <f t="shared" si="771"/>
        <v>#DIV/0!</v>
      </c>
      <c r="EV52" s="144" t="e">
        <f t="shared" si="771"/>
        <v>#DIV/0!</v>
      </c>
      <c r="EW52" s="144" t="e">
        <f t="shared" si="771"/>
        <v>#DIV/0!</v>
      </c>
      <c r="EX52" s="144" t="e">
        <f t="shared" si="771"/>
        <v>#DIV/0!</v>
      </c>
      <c r="EY52" s="144" t="e">
        <f t="shared" si="771"/>
        <v>#DIV/0!</v>
      </c>
      <c r="EZ52" s="144" t="e">
        <f t="shared" si="771"/>
        <v>#DIV/0!</v>
      </c>
      <c r="FA52" s="144" t="e">
        <f t="shared" si="771"/>
        <v>#DIV/0!</v>
      </c>
      <c r="FB52" s="144" t="e">
        <f t="shared" si="771"/>
        <v>#DIV/0!</v>
      </c>
      <c r="FC52" s="144" t="e">
        <f t="shared" si="771"/>
        <v>#DIV/0!</v>
      </c>
      <c r="FD52" s="144" t="e">
        <f t="shared" si="771"/>
        <v>#DIV/0!</v>
      </c>
      <c r="FE52" s="144" t="e">
        <f t="shared" si="771"/>
        <v>#DIV/0!</v>
      </c>
      <c r="FF52" s="145" t="e">
        <f t="shared" si="771"/>
        <v>#DIV/0!</v>
      </c>
    </row>
    <row r="53" spans="2:162" ht="16.5" thickBot="1" x14ac:dyDescent="0.3">
      <c r="L53" s="253" t="s">
        <v>145</v>
      </c>
    </row>
    <row r="54" spans="2:162" x14ac:dyDescent="0.25">
      <c r="B54" s="176">
        <f>B45+7</f>
        <v>45537</v>
      </c>
      <c r="C54" s="265"/>
      <c r="D54" s="103"/>
      <c r="E54" s="156"/>
      <c r="F54" s="25"/>
      <c r="G54" s="25"/>
      <c r="H54" s="179"/>
      <c r="I54" s="180"/>
      <c r="J54" s="181"/>
      <c r="K54" s="181"/>
      <c r="L54" s="182"/>
      <c r="M54" s="182"/>
      <c r="N54" s="183"/>
      <c r="O54" s="25"/>
      <c r="P54" s="157"/>
      <c r="Q54" s="158"/>
      <c r="R54" s="158"/>
      <c r="S54" s="158"/>
      <c r="T54" s="158"/>
      <c r="U54" s="158"/>
      <c r="V54" s="158"/>
      <c r="W54" s="159"/>
      <c r="X54" s="157"/>
      <c r="Y54" s="158"/>
      <c r="Z54" s="158"/>
      <c r="AA54" s="159"/>
      <c r="AB54" s="157"/>
      <c r="AC54" s="158"/>
      <c r="AD54" s="158"/>
      <c r="AE54" s="158"/>
      <c r="AF54" s="158"/>
      <c r="AG54" s="159"/>
      <c r="AH54" s="157"/>
      <c r="AI54" s="158"/>
      <c r="AJ54" s="158"/>
      <c r="AK54" s="158"/>
      <c r="AL54" s="159"/>
      <c r="AM54" s="157"/>
      <c r="AN54" s="158"/>
      <c r="AO54" s="158"/>
      <c r="AP54" s="158"/>
      <c r="AQ54" s="158"/>
      <c r="AR54" s="158"/>
      <c r="AS54" s="158"/>
      <c r="AT54" s="158"/>
      <c r="AU54" s="158"/>
      <c r="AV54" s="158"/>
      <c r="AW54" s="158"/>
      <c r="AX54" s="158"/>
      <c r="AY54" s="158"/>
      <c r="AZ54" s="159"/>
      <c r="BB54" s="157"/>
      <c r="BC54" s="158"/>
      <c r="BD54" s="158"/>
      <c r="BE54" s="158"/>
      <c r="BF54" s="158"/>
      <c r="BG54" s="158"/>
      <c r="BH54" s="158"/>
      <c r="BI54" s="159"/>
      <c r="BJ54" s="157"/>
      <c r="BK54" s="158"/>
      <c r="BL54" s="158"/>
      <c r="BM54" s="159"/>
      <c r="BN54" s="157"/>
      <c r="BO54" s="158"/>
      <c r="BP54" s="158"/>
      <c r="BQ54" s="158"/>
      <c r="BR54" s="158"/>
      <c r="BS54" s="159"/>
      <c r="BT54" s="157"/>
      <c r="BU54" s="158"/>
      <c r="BV54" s="158"/>
      <c r="BW54" s="158"/>
      <c r="BX54" s="159"/>
      <c r="BY54" s="157"/>
      <c r="BZ54" s="158"/>
      <c r="CA54" s="158"/>
      <c r="CB54" s="158"/>
      <c r="CC54" s="158"/>
      <c r="CD54" s="158"/>
      <c r="CE54" s="158"/>
      <c r="CF54" s="158"/>
      <c r="CG54" s="158"/>
      <c r="CH54" s="158"/>
      <c r="CI54" s="158"/>
      <c r="CJ54" s="159"/>
      <c r="CL54" s="36">
        <v>5</v>
      </c>
      <c r="CN54" s="157">
        <f>AVERAGE(BB54:BB58)*$CL54</f>
        <v>0</v>
      </c>
      <c r="CO54" s="158">
        <f t="shared" ref="CO54" si="772">AVERAGE(BC54:BC58)*$CL54</f>
        <v>0</v>
      </c>
      <c r="CP54" s="158">
        <f t="shared" ref="CP54" si="773">AVERAGE(BD54:BD58)*$CL54</f>
        <v>0</v>
      </c>
      <c r="CQ54" s="158">
        <f t="shared" ref="CQ54" si="774">AVERAGE(BE54:BE58)*$CL54</f>
        <v>0</v>
      </c>
      <c r="CR54" s="158">
        <f t="shared" ref="CR54" si="775">AVERAGE(BF54:BF58)*$CL54</f>
        <v>0</v>
      </c>
      <c r="CS54" s="158">
        <f t="shared" ref="CS54" si="776">AVERAGE(BG54:BG58)*$CL54</f>
        <v>0</v>
      </c>
      <c r="CT54" s="158">
        <f t="shared" ref="CT54" si="777">AVERAGE(BH54:BH58)*$CL54</f>
        <v>0</v>
      </c>
      <c r="CU54" s="159">
        <f t="shared" ref="CU54" si="778">AVERAGE(BI54:BI58)*$CL54</f>
        <v>0</v>
      </c>
      <c r="CV54" s="157">
        <f t="shared" ref="CV54" si="779">AVERAGE(BJ54:BJ58)*$CL54</f>
        <v>0</v>
      </c>
      <c r="CW54" s="158">
        <f t="shared" ref="CW54" si="780">AVERAGE(BK54:BK58)*$CL54</f>
        <v>0</v>
      </c>
      <c r="CX54" s="158">
        <f t="shared" ref="CX54" si="781">AVERAGE(BL54:BL58)*$CL54</f>
        <v>0</v>
      </c>
      <c r="CY54" s="159">
        <f t="shared" ref="CY54" si="782">AVERAGE(BM54:BM58)*$CL54</f>
        <v>0</v>
      </c>
      <c r="CZ54" s="157">
        <f t="shared" ref="CZ54" si="783">AVERAGE(BN54:BN58)*$CL54</f>
        <v>0</v>
      </c>
      <c r="DA54" s="158">
        <f t="shared" ref="DA54" si="784">AVERAGE(BO54:BO58)*$CL54</f>
        <v>0</v>
      </c>
      <c r="DB54" s="158">
        <f t="shared" ref="DB54" si="785">AVERAGE(BP54:BP58)*$CL54</f>
        <v>0</v>
      </c>
      <c r="DC54" s="158">
        <f t="shared" ref="DC54" si="786">AVERAGE(BQ54:BQ58)*$CL54</f>
        <v>0</v>
      </c>
      <c r="DD54" s="158">
        <f t="shared" ref="DD54" si="787">AVERAGE(BR54:BR58)*$CL54</f>
        <v>0</v>
      </c>
      <c r="DE54" s="159">
        <f t="shared" ref="DE54" si="788">AVERAGE(BS54:BS58)*$CL54</f>
        <v>0</v>
      </c>
      <c r="DF54" s="157">
        <f t="shared" ref="DF54" si="789">AVERAGE(BT54:BT58)*$CL54</f>
        <v>0</v>
      </c>
      <c r="DG54" s="158">
        <f t="shared" ref="DG54" si="790">AVERAGE(BU54:BU58)*$CL54</f>
        <v>0</v>
      </c>
      <c r="DH54" s="158">
        <f t="shared" ref="DH54" si="791">AVERAGE(BV54:BV58)*$CL54</f>
        <v>0</v>
      </c>
      <c r="DI54" s="158">
        <f t="shared" ref="DI54" si="792">AVERAGE(BW54:BW58)*$CL54</f>
        <v>0</v>
      </c>
      <c r="DJ54" s="159">
        <f t="shared" ref="DJ54" si="793">AVERAGE(BX54:BX58)*$CL54</f>
        <v>0</v>
      </c>
      <c r="DK54" s="157">
        <f t="shared" ref="DK54" si="794">AVERAGE(BY54:BY58)*$CL54</f>
        <v>0</v>
      </c>
      <c r="DL54" s="158">
        <f t="shared" ref="DL54" si="795">AVERAGE(BZ54:BZ58)*$CL54</f>
        <v>0</v>
      </c>
      <c r="DM54" s="158">
        <f t="shared" ref="DM54" si="796">AVERAGE(CA54:CA58)*$CL54</f>
        <v>0</v>
      </c>
      <c r="DN54" s="158">
        <f t="shared" ref="DN54" si="797">AVERAGE(CB54:CB58)*$CL54</f>
        <v>0</v>
      </c>
      <c r="DO54" s="158">
        <f t="shared" ref="DO54" si="798">AVERAGE(CC54:CC58)*$CL54</f>
        <v>0</v>
      </c>
      <c r="DP54" s="158">
        <f t="shared" ref="DP54" si="799">AVERAGE(CD54:CD58)*$CL54</f>
        <v>0</v>
      </c>
      <c r="DQ54" s="158">
        <f t="shared" ref="DQ54" si="800">AVERAGE(CE54:CE58)*$CL54</f>
        <v>0</v>
      </c>
      <c r="DR54" s="158">
        <f t="shared" ref="DR54" si="801">AVERAGE(CF54:CF58)*$CL54</f>
        <v>0</v>
      </c>
      <c r="DS54" s="158">
        <f t="shared" ref="DS54" si="802">AVERAGE(CG54:CG58)*$CL54</f>
        <v>0</v>
      </c>
      <c r="DT54" s="158">
        <f t="shared" ref="DT54" si="803">AVERAGE(CH54:CH58)*$CL54</f>
        <v>0</v>
      </c>
      <c r="DU54" s="158">
        <f t="shared" ref="DU54" si="804">AVERAGE(CI54:CI58)*$CL54</f>
        <v>0</v>
      </c>
      <c r="DV54" s="159">
        <f t="shared" ref="DV54" si="805">AVERAGE(CJ54:CJ58)*$CL54</f>
        <v>0</v>
      </c>
      <c r="DX54" s="186"/>
      <c r="DY54" s="187"/>
      <c r="DZ54" s="187"/>
      <c r="EA54" s="187"/>
      <c r="EB54" s="187"/>
      <c r="EC54" s="187"/>
      <c r="ED54" s="187"/>
      <c r="EE54" s="188"/>
      <c r="EF54" s="186"/>
      <c r="EG54" s="187"/>
      <c r="EH54" s="187"/>
      <c r="EI54" s="188"/>
      <c r="EJ54" s="186"/>
      <c r="EK54" s="187"/>
      <c r="EL54" s="187"/>
      <c r="EM54" s="187"/>
      <c r="EN54" s="187"/>
      <c r="EO54" s="188"/>
      <c r="EP54" s="186"/>
      <c r="EQ54" s="187"/>
      <c r="ER54" s="187"/>
      <c r="ES54" s="187"/>
      <c r="ET54" s="188"/>
      <c r="EU54" s="186"/>
      <c r="EV54" s="187"/>
      <c r="EW54" s="187"/>
      <c r="EX54" s="187"/>
      <c r="EY54" s="187"/>
      <c r="EZ54" s="187"/>
      <c r="FA54" s="187"/>
      <c r="FB54" s="187"/>
      <c r="FC54" s="187"/>
      <c r="FD54" s="187"/>
      <c r="FE54" s="187"/>
      <c r="FF54" s="188"/>
    </row>
    <row r="55" spans="2:162" x14ac:dyDescent="0.25">
      <c r="B55" s="127">
        <f t="shared" ref="B55:B60" si="806">B54+1</f>
        <v>45538</v>
      </c>
      <c r="C55" s="266"/>
      <c r="D55" s="53">
        <v>3</v>
      </c>
      <c r="E55" s="129">
        <v>0.46</v>
      </c>
      <c r="F55" s="25"/>
      <c r="G55" s="25"/>
      <c r="H55" s="150">
        <v>3</v>
      </c>
      <c r="I55" s="24">
        <v>2</v>
      </c>
      <c r="J55" s="151">
        <v>0.5</v>
      </c>
      <c r="K55" s="151"/>
      <c r="L55" s="152">
        <v>14.2</v>
      </c>
      <c r="M55" s="152">
        <f t="shared" ref="M55" si="807">H55/I55*K55*L55*1.5</f>
        <v>0</v>
      </c>
      <c r="N55" s="153">
        <f t="shared" ref="N55" si="808">H55/I55*J55*L55*N$4</f>
        <v>11.715</v>
      </c>
      <c r="O55" s="25"/>
      <c r="P55" s="95"/>
      <c r="Q55" s="41"/>
      <c r="R55" s="41"/>
      <c r="S55" s="41"/>
      <c r="T55" s="41"/>
      <c r="U55" s="41"/>
      <c r="V55" s="41"/>
      <c r="W55" s="42"/>
      <c r="X55" s="95"/>
      <c r="Y55" s="41"/>
      <c r="Z55" s="41"/>
      <c r="AA55" s="42"/>
      <c r="AB55" s="95"/>
      <c r="AC55" s="41"/>
      <c r="AD55" s="41"/>
      <c r="AE55" s="41"/>
      <c r="AF55" s="41"/>
      <c r="AG55" s="42"/>
      <c r="AH55" s="95"/>
      <c r="AI55" s="41"/>
      <c r="AJ55" s="41"/>
      <c r="AK55" s="41"/>
      <c r="AL55" s="42"/>
      <c r="AM55" s="95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2"/>
      <c r="BB55" s="95">
        <f t="shared" ref="BB55" si="809">$N55*DX55</f>
        <v>0</v>
      </c>
      <c r="BC55" s="41">
        <f t="shared" ref="BC55" si="810">$N55*DY55</f>
        <v>0</v>
      </c>
      <c r="BD55" s="41">
        <f t="shared" ref="BD55" si="811">$N55*DZ55</f>
        <v>0</v>
      </c>
      <c r="BE55" s="41">
        <f t="shared" ref="BE55" si="812">$N55*EA55</f>
        <v>0</v>
      </c>
      <c r="BF55" s="41">
        <f t="shared" ref="BF55" si="813">$N55*EB55</f>
        <v>0</v>
      </c>
      <c r="BG55" s="41">
        <f t="shared" ref="BG55" si="814">$N55*EC55</f>
        <v>0</v>
      </c>
      <c r="BH55" s="41">
        <f t="shared" ref="BH55" si="815">$N55*ED55</f>
        <v>0</v>
      </c>
      <c r="BI55" s="42">
        <f t="shared" ref="BI55" si="816">$N55*EE55</f>
        <v>0</v>
      </c>
      <c r="BJ55" s="95">
        <f t="shared" ref="BJ55" si="817">$N55*EF55</f>
        <v>0</v>
      </c>
      <c r="BK55" s="41">
        <f t="shared" ref="BK55" si="818">$N55*EG55</f>
        <v>0</v>
      </c>
      <c r="BL55" s="41">
        <f t="shared" ref="BL55" si="819">$N55*EH55</f>
        <v>0</v>
      </c>
      <c r="BM55" s="42">
        <f t="shared" ref="BM55" si="820">$N55*EI55</f>
        <v>0</v>
      </c>
      <c r="BN55" s="95">
        <f t="shared" ref="BN55" si="821">$N55*EJ55</f>
        <v>0</v>
      </c>
      <c r="BO55" s="41">
        <f t="shared" ref="BO55" si="822">$N55*EK55</f>
        <v>0</v>
      </c>
      <c r="BP55" s="41">
        <f t="shared" ref="BP55" si="823">$N55*EL55</f>
        <v>0</v>
      </c>
      <c r="BQ55" s="41">
        <f t="shared" ref="BQ55" si="824">$N55*EM55</f>
        <v>0</v>
      </c>
      <c r="BR55" s="41">
        <f t="shared" ref="BR55" si="825">$N55*EN55</f>
        <v>0</v>
      </c>
      <c r="BS55" s="42">
        <f t="shared" ref="BS55" si="826">$N55*EO55</f>
        <v>0</v>
      </c>
      <c r="BT55" s="95">
        <f t="shared" ref="BT55" si="827">$N55*EP55</f>
        <v>0</v>
      </c>
      <c r="BU55" s="41">
        <f t="shared" ref="BU55" si="828">$N55*EQ55</f>
        <v>0</v>
      </c>
      <c r="BV55" s="41">
        <f t="shared" ref="BV55" si="829">$N55*ER55</f>
        <v>0</v>
      </c>
      <c r="BW55" s="41">
        <f t="shared" ref="BW55" si="830">$N55*ES55</f>
        <v>0</v>
      </c>
      <c r="BX55" s="42">
        <f t="shared" ref="BX55" si="831">$N55*ET55</f>
        <v>0</v>
      </c>
      <c r="BY55" s="95">
        <f t="shared" ref="BY55" si="832">$N55*EU55</f>
        <v>0</v>
      </c>
      <c r="BZ55" s="41">
        <f t="shared" ref="BZ55" si="833">$N55*EV55</f>
        <v>0</v>
      </c>
      <c r="CA55" s="41">
        <f t="shared" ref="CA55" si="834">$N55*EW55</f>
        <v>0</v>
      </c>
      <c r="CB55" s="41">
        <f t="shared" ref="CB55" si="835">$N55*EX55</f>
        <v>0</v>
      </c>
      <c r="CC55" s="41">
        <f t="shared" ref="CC55" si="836">$N55*EY55</f>
        <v>0</v>
      </c>
      <c r="CD55" s="41">
        <f t="shared" ref="CD55" si="837">$N55*EZ55</f>
        <v>0</v>
      </c>
      <c r="CE55" s="41">
        <f t="shared" ref="CE55" si="838">$N55*FA55</f>
        <v>0</v>
      </c>
      <c r="CF55" s="41">
        <f t="shared" ref="CF55" si="839">$N55*FB55</f>
        <v>0</v>
      </c>
      <c r="CG55" s="41">
        <f t="shared" ref="CG55" si="840">$N55*FC55</f>
        <v>0</v>
      </c>
      <c r="CH55" s="41">
        <f t="shared" ref="CH55" si="841">$N55*FD55</f>
        <v>0</v>
      </c>
      <c r="CI55" s="41">
        <f t="shared" ref="CI55" si="842">$N55*FE55</f>
        <v>0</v>
      </c>
      <c r="CJ55" s="42">
        <f t="shared" ref="CJ55" si="843">$N55*FF55</f>
        <v>0</v>
      </c>
      <c r="CL55" s="36"/>
      <c r="CN55" s="95"/>
      <c r="CO55" s="41"/>
      <c r="CP55" s="41"/>
      <c r="CQ55" s="41"/>
      <c r="CR55" s="41"/>
      <c r="CS55" s="41"/>
      <c r="CT55" s="41"/>
      <c r="CU55" s="42"/>
      <c r="CV55" s="95"/>
      <c r="CW55" s="41"/>
      <c r="CX55" s="41"/>
      <c r="CY55" s="42"/>
      <c r="CZ55" s="95"/>
      <c r="DA55" s="41"/>
      <c r="DB55" s="41"/>
      <c r="DC55" s="41"/>
      <c r="DD55" s="41"/>
      <c r="DE55" s="42"/>
      <c r="DF55" s="95"/>
      <c r="DG55" s="41"/>
      <c r="DH55" s="41"/>
      <c r="DI55" s="41"/>
      <c r="DJ55" s="42"/>
      <c r="DK55" s="95"/>
      <c r="DL55" s="41"/>
      <c r="DM55" s="41"/>
      <c r="DN55" s="41"/>
      <c r="DO55" s="41"/>
      <c r="DP55" s="41"/>
      <c r="DQ55" s="41"/>
      <c r="DR55" s="41"/>
      <c r="DS55" s="41"/>
      <c r="DT55" s="41"/>
      <c r="DU55" s="41"/>
      <c r="DV55" s="42"/>
      <c r="DX55" s="138"/>
      <c r="DY55" s="34"/>
      <c r="DZ55" s="34"/>
      <c r="EA55" s="34"/>
      <c r="EB55" s="34"/>
      <c r="EC55" s="34"/>
      <c r="ED55" s="34"/>
      <c r="EE55" s="139"/>
      <c r="EF55" s="138"/>
      <c r="EG55" s="34"/>
      <c r="EH55" s="34"/>
      <c r="EI55" s="139"/>
      <c r="EJ55" s="138"/>
      <c r="EK55" s="34"/>
      <c r="EL55" s="34"/>
      <c r="EM55" s="34"/>
      <c r="EN55" s="34"/>
      <c r="EO55" s="139"/>
      <c r="EP55" s="138"/>
      <c r="EQ55" s="34"/>
      <c r="ER55" s="34"/>
      <c r="ES55" s="34"/>
      <c r="ET55" s="139"/>
      <c r="EU55" s="138"/>
      <c r="EV55" s="34"/>
      <c r="EW55" s="34"/>
      <c r="EX55" s="34"/>
      <c r="EY55" s="34"/>
      <c r="EZ55" s="34"/>
      <c r="FA55" s="34"/>
      <c r="FB55" s="34"/>
      <c r="FC55" s="34"/>
      <c r="FD55" s="34"/>
      <c r="FE55" s="34"/>
      <c r="FF55" s="139"/>
    </row>
    <row r="56" spans="2:162" x14ac:dyDescent="0.25">
      <c r="B56" s="127">
        <f t="shared" si="806"/>
        <v>45539</v>
      </c>
      <c r="C56" s="266"/>
      <c r="D56" s="53">
        <v>0</v>
      </c>
      <c r="E56" s="129">
        <v>0</v>
      </c>
      <c r="F56" s="25"/>
      <c r="G56" s="25"/>
      <c r="H56" s="150">
        <v>0</v>
      </c>
      <c r="I56" s="24">
        <v>2</v>
      </c>
      <c r="J56" s="151"/>
      <c r="K56" s="151"/>
      <c r="L56" s="152"/>
      <c r="M56" s="152">
        <f t="shared" ref="M56:M60" si="844">H56/I56*K56*L56*1.5</f>
        <v>0</v>
      </c>
      <c r="N56" s="153">
        <f t="shared" ref="N56:N60" si="845">H56/I56*J56*L56*N$4</f>
        <v>0</v>
      </c>
      <c r="O56" s="25"/>
      <c r="P56" s="95"/>
      <c r="Q56" s="41"/>
      <c r="R56" s="41"/>
      <c r="S56" s="41"/>
      <c r="T56" s="41"/>
      <c r="U56" s="41"/>
      <c r="V56" s="41"/>
      <c r="W56" s="42"/>
      <c r="X56" s="95"/>
      <c r="Y56" s="41"/>
      <c r="Z56" s="41"/>
      <c r="AA56" s="42"/>
      <c r="AB56" s="95"/>
      <c r="AC56" s="41"/>
      <c r="AD56" s="41"/>
      <c r="AE56" s="41"/>
      <c r="AF56" s="41"/>
      <c r="AG56" s="42"/>
      <c r="AH56" s="95"/>
      <c r="AI56" s="41"/>
      <c r="AJ56" s="41"/>
      <c r="AK56" s="41"/>
      <c r="AL56" s="42"/>
      <c r="AM56" s="95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2"/>
      <c r="BB56" s="95"/>
      <c r="BC56" s="41"/>
      <c r="BD56" s="41"/>
      <c r="BE56" s="41"/>
      <c r="BF56" s="41"/>
      <c r="BG56" s="41"/>
      <c r="BH56" s="41"/>
      <c r="BI56" s="42"/>
      <c r="BJ56" s="95"/>
      <c r="BK56" s="41"/>
      <c r="BL56" s="41"/>
      <c r="BM56" s="42"/>
      <c r="BN56" s="95"/>
      <c r="BO56" s="41"/>
      <c r="BP56" s="41"/>
      <c r="BQ56" s="41"/>
      <c r="BR56" s="41"/>
      <c r="BS56" s="42"/>
      <c r="BT56" s="95"/>
      <c r="BU56" s="41"/>
      <c r="BV56" s="41"/>
      <c r="BW56" s="41"/>
      <c r="BX56" s="42"/>
      <c r="BY56" s="95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2"/>
      <c r="CL56" s="36"/>
      <c r="CN56" s="95"/>
      <c r="CO56" s="41"/>
      <c r="CP56" s="41"/>
      <c r="CQ56" s="41"/>
      <c r="CR56" s="41"/>
      <c r="CS56" s="41"/>
      <c r="CT56" s="41"/>
      <c r="CU56" s="42"/>
      <c r="CV56" s="95"/>
      <c r="CW56" s="41"/>
      <c r="CX56" s="41"/>
      <c r="CY56" s="42"/>
      <c r="CZ56" s="95"/>
      <c r="DA56" s="41"/>
      <c r="DB56" s="41"/>
      <c r="DC56" s="41"/>
      <c r="DD56" s="41"/>
      <c r="DE56" s="42"/>
      <c r="DF56" s="95"/>
      <c r="DG56" s="41"/>
      <c r="DH56" s="41"/>
      <c r="DI56" s="41"/>
      <c r="DJ56" s="42"/>
      <c r="DK56" s="95"/>
      <c r="DL56" s="41"/>
      <c r="DM56" s="41"/>
      <c r="DN56" s="41"/>
      <c r="DO56" s="41"/>
      <c r="DP56" s="41"/>
      <c r="DQ56" s="41"/>
      <c r="DR56" s="41"/>
      <c r="DS56" s="41"/>
      <c r="DT56" s="41"/>
      <c r="DU56" s="41"/>
      <c r="DV56" s="42"/>
      <c r="DX56" s="138"/>
      <c r="DY56" s="34"/>
      <c r="DZ56" s="34"/>
      <c r="EA56" s="34"/>
      <c r="EB56" s="34"/>
      <c r="EC56" s="34"/>
      <c r="ED56" s="34"/>
      <c r="EE56" s="139"/>
      <c r="EF56" s="138"/>
      <c r="EG56" s="34"/>
      <c r="EH56" s="34"/>
      <c r="EI56" s="139"/>
      <c r="EJ56" s="138"/>
      <c r="EK56" s="34"/>
      <c r="EL56" s="34"/>
      <c r="EM56" s="34"/>
      <c r="EN56" s="34"/>
      <c r="EO56" s="139"/>
      <c r="EP56" s="138"/>
      <c r="EQ56" s="34"/>
      <c r="ER56" s="34"/>
      <c r="ES56" s="34"/>
      <c r="ET56" s="139"/>
      <c r="EU56" s="138"/>
      <c r="EV56" s="34"/>
      <c r="EW56" s="34"/>
      <c r="EX56" s="34"/>
      <c r="EY56" s="34"/>
      <c r="EZ56" s="34"/>
      <c r="FA56" s="34"/>
      <c r="FB56" s="34"/>
      <c r="FC56" s="34"/>
      <c r="FD56" s="34"/>
      <c r="FE56" s="34"/>
      <c r="FF56" s="139"/>
    </row>
    <row r="57" spans="2:162" x14ac:dyDescent="0.25">
      <c r="B57" s="127">
        <f t="shared" si="806"/>
        <v>45540</v>
      </c>
      <c r="C57" s="266"/>
      <c r="D57" s="53"/>
      <c r="E57" s="129"/>
      <c r="F57" s="25"/>
      <c r="G57" s="25"/>
      <c r="H57" s="150"/>
      <c r="I57" s="24"/>
      <c r="J57" s="151"/>
      <c r="K57" s="151"/>
      <c r="L57" s="152"/>
      <c r="M57" s="152"/>
      <c r="N57" s="153"/>
      <c r="O57" s="25"/>
      <c r="P57" s="95"/>
      <c r="Q57" s="41"/>
      <c r="R57" s="41"/>
      <c r="S57" s="41"/>
      <c r="T57" s="41"/>
      <c r="U57" s="41"/>
      <c r="V57" s="41"/>
      <c r="W57" s="42"/>
      <c r="X57" s="95"/>
      <c r="Y57" s="41"/>
      <c r="Z57" s="41"/>
      <c r="AA57" s="42"/>
      <c r="AB57" s="95"/>
      <c r="AC57" s="41"/>
      <c r="AD57" s="41"/>
      <c r="AE57" s="41"/>
      <c r="AF57" s="41"/>
      <c r="AG57" s="42"/>
      <c r="AH57" s="95"/>
      <c r="AI57" s="41"/>
      <c r="AJ57" s="41"/>
      <c r="AK57" s="41"/>
      <c r="AL57" s="42"/>
      <c r="AM57" s="95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2"/>
      <c r="BB57" s="95"/>
      <c r="BC57" s="41"/>
      <c r="BD57" s="41"/>
      <c r="BE57" s="41"/>
      <c r="BF57" s="41"/>
      <c r="BG57" s="41"/>
      <c r="BH57" s="41"/>
      <c r="BI57" s="42"/>
      <c r="BJ57" s="95"/>
      <c r="BK57" s="41"/>
      <c r="BL57" s="41"/>
      <c r="BM57" s="42"/>
      <c r="BN57" s="95"/>
      <c r="BO57" s="41"/>
      <c r="BP57" s="41"/>
      <c r="BQ57" s="41"/>
      <c r="BR57" s="41"/>
      <c r="BS57" s="42"/>
      <c r="BT57" s="95"/>
      <c r="BU57" s="41"/>
      <c r="BV57" s="41"/>
      <c r="BW57" s="41"/>
      <c r="BX57" s="42"/>
      <c r="BY57" s="95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2"/>
      <c r="CL57" s="36"/>
      <c r="CN57" s="95"/>
      <c r="CO57" s="41"/>
      <c r="CP57" s="41"/>
      <c r="CQ57" s="41"/>
      <c r="CR57" s="41"/>
      <c r="CS57" s="41"/>
      <c r="CT57" s="41"/>
      <c r="CU57" s="42"/>
      <c r="CV57" s="95"/>
      <c r="CW57" s="41"/>
      <c r="CX57" s="41"/>
      <c r="CY57" s="42"/>
      <c r="CZ57" s="95"/>
      <c r="DA57" s="41"/>
      <c r="DB57" s="41"/>
      <c r="DC57" s="41"/>
      <c r="DD57" s="41"/>
      <c r="DE57" s="42"/>
      <c r="DF57" s="95"/>
      <c r="DG57" s="41"/>
      <c r="DH57" s="41"/>
      <c r="DI57" s="41"/>
      <c r="DJ57" s="42"/>
      <c r="DK57" s="95"/>
      <c r="DL57" s="41"/>
      <c r="DM57" s="41"/>
      <c r="DN57" s="41"/>
      <c r="DO57" s="41"/>
      <c r="DP57" s="41"/>
      <c r="DQ57" s="41"/>
      <c r="DR57" s="41"/>
      <c r="DS57" s="41"/>
      <c r="DT57" s="41"/>
      <c r="DU57" s="41"/>
      <c r="DV57" s="42"/>
      <c r="DX57" s="138"/>
      <c r="DY57" s="34"/>
      <c r="DZ57" s="34"/>
      <c r="EA57" s="34"/>
      <c r="EB57" s="34"/>
      <c r="EC57" s="34"/>
      <c r="ED57" s="34"/>
      <c r="EE57" s="139"/>
      <c r="EF57" s="138"/>
      <c r="EG57" s="34"/>
      <c r="EH57" s="34"/>
      <c r="EI57" s="139"/>
      <c r="EJ57" s="138"/>
      <c r="EK57" s="34"/>
      <c r="EL57" s="34"/>
      <c r="EM57" s="34"/>
      <c r="EN57" s="34"/>
      <c r="EO57" s="139"/>
      <c r="EP57" s="138"/>
      <c r="EQ57" s="34"/>
      <c r="ER57" s="34"/>
      <c r="ES57" s="34"/>
      <c r="ET57" s="139"/>
      <c r="EU57" s="138"/>
      <c r="EV57" s="34"/>
      <c r="EW57" s="34"/>
      <c r="EX57" s="34"/>
      <c r="EY57" s="34"/>
      <c r="EZ57" s="34"/>
      <c r="FA57" s="34"/>
      <c r="FB57" s="34"/>
      <c r="FC57" s="34"/>
      <c r="FD57" s="34"/>
      <c r="FE57" s="34"/>
      <c r="FF57" s="139"/>
    </row>
    <row r="58" spans="2:162" x14ac:dyDescent="0.25">
      <c r="B58" s="127">
        <f t="shared" si="806"/>
        <v>45541</v>
      </c>
      <c r="C58" s="266"/>
      <c r="D58" s="53">
        <v>5</v>
      </c>
      <c r="E58" s="129">
        <v>2</v>
      </c>
      <c r="F58" s="25"/>
      <c r="G58" s="25"/>
      <c r="H58" s="150">
        <v>5</v>
      </c>
      <c r="I58" s="24">
        <v>2</v>
      </c>
      <c r="J58" s="151">
        <v>0.33</v>
      </c>
      <c r="K58" s="151"/>
      <c r="L58" s="152">
        <v>14.1</v>
      </c>
      <c r="M58" s="152">
        <f t="shared" si="844"/>
        <v>0</v>
      </c>
      <c r="N58" s="153">
        <f t="shared" si="845"/>
        <v>12.795750000000002</v>
      </c>
      <c r="O58" s="25"/>
      <c r="P58" s="95"/>
      <c r="Q58" s="41"/>
      <c r="R58" s="41"/>
      <c r="S58" s="41"/>
      <c r="T58" s="41"/>
      <c r="U58" s="41"/>
      <c r="V58" s="41"/>
      <c r="W58" s="42"/>
      <c r="X58" s="95"/>
      <c r="Y58" s="41"/>
      <c r="Z58" s="41"/>
      <c r="AA58" s="42"/>
      <c r="AB58" s="95"/>
      <c r="AC58" s="41"/>
      <c r="AD58" s="41"/>
      <c r="AE58" s="41"/>
      <c r="AF58" s="41"/>
      <c r="AG58" s="42"/>
      <c r="AH58" s="95"/>
      <c r="AI58" s="41"/>
      <c r="AJ58" s="41"/>
      <c r="AK58" s="41"/>
      <c r="AL58" s="42"/>
      <c r="AM58" s="95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2"/>
      <c r="BB58" s="95">
        <f t="shared" ref="BB58:BB60" si="846">$N58*DX58</f>
        <v>0</v>
      </c>
      <c r="BC58" s="41">
        <f t="shared" ref="BC58:BC60" si="847">$N58*DY58</f>
        <v>0</v>
      </c>
      <c r="BD58" s="41">
        <f t="shared" ref="BD58:BD60" si="848">$N58*DZ58</f>
        <v>0</v>
      </c>
      <c r="BE58" s="41">
        <f t="shared" ref="BE58:BE60" si="849">$N58*EA58</f>
        <v>0</v>
      </c>
      <c r="BF58" s="41">
        <f t="shared" ref="BF58:BF60" si="850">$N58*EB58</f>
        <v>0</v>
      </c>
      <c r="BG58" s="41">
        <f t="shared" ref="BG58:BG60" si="851">$N58*EC58</f>
        <v>0</v>
      </c>
      <c r="BH58" s="41">
        <f t="shared" ref="BH58:BH60" si="852">$N58*ED58</f>
        <v>0</v>
      </c>
      <c r="BI58" s="42">
        <f t="shared" ref="BI58:BI60" si="853">$N58*EE58</f>
        <v>0</v>
      </c>
      <c r="BJ58" s="95">
        <f t="shared" ref="BJ58:BJ60" si="854">$N58*EF58</f>
        <v>0</v>
      </c>
      <c r="BK58" s="41">
        <f t="shared" ref="BK58:BK60" si="855">$N58*EG58</f>
        <v>0</v>
      </c>
      <c r="BL58" s="41">
        <f t="shared" ref="BL58:BL60" si="856">$N58*EH58</f>
        <v>0</v>
      </c>
      <c r="BM58" s="42">
        <f t="shared" ref="BM58:BM60" si="857">$N58*EI58</f>
        <v>0</v>
      </c>
      <c r="BN58" s="95">
        <f t="shared" ref="BN58:BN60" si="858">$N58*EJ58</f>
        <v>0</v>
      </c>
      <c r="BO58" s="41">
        <f t="shared" ref="BO58:BO60" si="859">$N58*EK58</f>
        <v>0</v>
      </c>
      <c r="BP58" s="41">
        <f t="shared" ref="BP58:BP60" si="860">$N58*EL58</f>
        <v>0</v>
      </c>
      <c r="BQ58" s="41">
        <f t="shared" ref="BQ58:BQ60" si="861">$N58*EM58</f>
        <v>0</v>
      </c>
      <c r="BR58" s="41">
        <f t="shared" ref="BR58:BR60" si="862">$N58*EN58</f>
        <v>0</v>
      </c>
      <c r="BS58" s="42">
        <f t="shared" ref="BS58:BS60" si="863">$N58*EO58</f>
        <v>0</v>
      </c>
      <c r="BT58" s="95">
        <f t="shared" ref="BT58:BT60" si="864">$N58*EP58</f>
        <v>0</v>
      </c>
      <c r="BU58" s="41">
        <f t="shared" ref="BU58:BU60" si="865">$N58*EQ58</f>
        <v>0</v>
      </c>
      <c r="BV58" s="41">
        <f t="shared" ref="BV58:BV60" si="866">$N58*ER58</f>
        <v>0</v>
      </c>
      <c r="BW58" s="41">
        <f t="shared" ref="BW58:BW60" si="867">$N58*ES58</f>
        <v>0</v>
      </c>
      <c r="BX58" s="42">
        <f t="shared" ref="BX58:BX60" si="868">$N58*ET58</f>
        <v>0</v>
      </c>
      <c r="BY58" s="95">
        <f t="shared" ref="BY58:BY60" si="869">$N58*EU58</f>
        <v>0</v>
      </c>
      <c r="BZ58" s="41">
        <f t="shared" ref="BZ58:BZ60" si="870">$N58*EV58</f>
        <v>0</v>
      </c>
      <c r="CA58" s="41">
        <f t="shared" ref="CA58:CA60" si="871">$N58*EW58</f>
        <v>0</v>
      </c>
      <c r="CB58" s="41">
        <f t="shared" ref="CB58:CB60" si="872">$N58*EX58</f>
        <v>0</v>
      </c>
      <c r="CC58" s="41">
        <f t="shared" ref="CC58:CC60" si="873">$N58*EY58</f>
        <v>0</v>
      </c>
      <c r="CD58" s="41">
        <f t="shared" ref="CD58:CD60" si="874">$N58*EZ58</f>
        <v>0</v>
      </c>
      <c r="CE58" s="41">
        <f t="shared" ref="CE58:CE60" si="875">$N58*FA58</f>
        <v>0</v>
      </c>
      <c r="CF58" s="41">
        <f t="shared" ref="CF58:CF60" si="876">$N58*FB58</f>
        <v>0</v>
      </c>
      <c r="CG58" s="41">
        <f t="shared" ref="CG58:CG60" si="877">$N58*FC58</f>
        <v>0</v>
      </c>
      <c r="CH58" s="41">
        <f t="shared" ref="CH58:CH60" si="878">$N58*FD58</f>
        <v>0</v>
      </c>
      <c r="CI58" s="41">
        <f t="shared" ref="CI58:CI60" si="879">$N58*FE58</f>
        <v>0</v>
      </c>
      <c r="CJ58" s="42">
        <f t="shared" ref="CJ58:CJ60" si="880">$N58*FF58</f>
        <v>0</v>
      </c>
      <c r="CL58" s="36"/>
      <c r="CN58" s="95"/>
      <c r="CO58" s="41"/>
      <c r="CP58" s="41"/>
      <c r="CQ58" s="41"/>
      <c r="CR58" s="41"/>
      <c r="CS58" s="41"/>
      <c r="CT58" s="41"/>
      <c r="CU58" s="42"/>
      <c r="CV58" s="95"/>
      <c r="CW58" s="41"/>
      <c r="CX58" s="41"/>
      <c r="CY58" s="42"/>
      <c r="CZ58" s="95"/>
      <c r="DA58" s="41"/>
      <c r="DB58" s="41"/>
      <c r="DC58" s="41"/>
      <c r="DD58" s="41"/>
      <c r="DE58" s="42"/>
      <c r="DF58" s="95"/>
      <c r="DG58" s="41"/>
      <c r="DH58" s="41"/>
      <c r="DI58" s="41"/>
      <c r="DJ58" s="42"/>
      <c r="DK58" s="95"/>
      <c r="DL58" s="41"/>
      <c r="DM58" s="41"/>
      <c r="DN58" s="41"/>
      <c r="DO58" s="41"/>
      <c r="DP58" s="41"/>
      <c r="DQ58" s="41"/>
      <c r="DR58" s="41"/>
      <c r="DS58" s="41"/>
      <c r="DT58" s="41"/>
      <c r="DU58" s="41"/>
      <c r="DV58" s="42"/>
      <c r="DX58" s="138">
        <f t="shared" ref="DX58:DX60" si="881">P58/$E58</f>
        <v>0</v>
      </c>
      <c r="DY58" s="34">
        <f t="shared" ref="DY58:DY60" si="882">Q58/$E58</f>
        <v>0</v>
      </c>
      <c r="DZ58" s="34">
        <f t="shared" ref="DZ58:DZ60" si="883">R58/$E58</f>
        <v>0</v>
      </c>
      <c r="EA58" s="34">
        <f t="shared" ref="EA58:EA60" si="884">S58/$E58</f>
        <v>0</v>
      </c>
      <c r="EB58" s="34">
        <f t="shared" ref="EB58:EB60" si="885">T58/$E58</f>
        <v>0</v>
      </c>
      <c r="EC58" s="34">
        <f t="shared" ref="EC58:EC60" si="886">U58/$E58</f>
        <v>0</v>
      </c>
      <c r="ED58" s="34">
        <f t="shared" ref="ED58:ED60" si="887">V58/$E58</f>
        <v>0</v>
      </c>
      <c r="EE58" s="139">
        <f t="shared" ref="EE58:EE60" si="888">W58/$E58</f>
        <v>0</v>
      </c>
      <c r="EF58" s="138">
        <f t="shared" ref="EF58:EF60" si="889">X58/$E58</f>
        <v>0</v>
      </c>
      <c r="EG58" s="34">
        <f t="shared" ref="EG58:EG60" si="890">Y58/$E58</f>
        <v>0</v>
      </c>
      <c r="EH58" s="34">
        <f t="shared" ref="EH58:EH60" si="891">Z58/$E58</f>
        <v>0</v>
      </c>
      <c r="EI58" s="139">
        <f t="shared" ref="EI58:EI60" si="892">AA58/$E58</f>
        <v>0</v>
      </c>
      <c r="EJ58" s="138">
        <f t="shared" ref="EJ58:EJ60" si="893">AB58/$E58</f>
        <v>0</v>
      </c>
      <c r="EK58" s="34">
        <f t="shared" ref="EK58:EK60" si="894">AC58/$E58</f>
        <v>0</v>
      </c>
      <c r="EL58" s="34">
        <f t="shared" ref="EL58:EL60" si="895">AD58/$E58</f>
        <v>0</v>
      </c>
      <c r="EM58" s="34">
        <f t="shared" ref="EM58:EM60" si="896">AE58/$E58</f>
        <v>0</v>
      </c>
      <c r="EN58" s="34">
        <f t="shared" ref="EN58:EN60" si="897">AF58/$E58</f>
        <v>0</v>
      </c>
      <c r="EO58" s="139">
        <f t="shared" ref="EO58:EO60" si="898">AG58/$E58</f>
        <v>0</v>
      </c>
      <c r="EP58" s="138">
        <f t="shared" ref="EP58:EP60" si="899">AH58/$E58</f>
        <v>0</v>
      </c>
      <c r="EQ58" s="34">
        <f t="shared" ref="EQ58:EQ60" si="900">AI58/$E58</f>
        <v>0</v>
      </c>
      <c r="ER58" s="34">
        <f t="shared" ref="ER58:ER60" si="901">AJ58/$E58</f>
        <v>0</v>
      </c>
      <c r="ES58" s="34">
        <f t="shared" ref="ES58:ES60" si="902">AK58/$E58</f>
        <v>0</v>
      </c>
      <c r="ET58" s="139">
        <f t="shared" ref="ET58:ET60" si="903">AL58/$E58</f>
        <v>0</v>
      </c>
      <c r="EU58" s="138">
        <f t="shared" ref="EU58:EU60" si="904">AM58/$E58</f>
        <v>0</v>
      </c>
      <c r="EV58" s="34">
        <f t="shared" ref="EV58:EV60" si="905">AN58/$E58</f>
        <v>0</v>
      </c>
      <c r="EW58" s="34">
        <f t="shared" ref="EW58:EW60" si="906">AO58/$E58</f>
        <v>0</v>
      </c>
      <c r="EX58" s="34">
        <f t="shared" ref="EX58:EX60" si="907">AP58/$E58</f>
        <v>0</v>
      </c>
      <c r="EY58" s="34">
        <f t="shared" ref="EY58:EY60" si="908">AQ58/$E58</f>
        <v>0</v>
      </c>
      <c r="EZ58" s="34">
        <f t="shared" ref="EZ58:EZ60" si="909">AR58/$E58</f>
        <v>0</v>
      </c>
      <c r="FA58" s="34">
        <f t="shared" ref="FA58:FA60" si="910">AS58/$E58</f>
        <v>0</v>
      </c>
      <c r="FB58" s="34">
        <f t="shared" ref="FB58:FB60" si="911">AT58/$E58</f>
        <v>0</v>
      </c>
      <c r="FC58" s="34">
        <f t="shared" ref="FC58:FC60" si="912">AU58/$E58</f>
        <v>0</v>
      </c>
      <c r="FD58" s="34">
        <f t="shared" ref="FD58:FD60" si="913">AV58/$E58</f>
        <v>0</v>
      </c>
      <c r="FE58" s="34">
        <f t="shared" ref="FE58:FE60" si="914">AY58/$E58</f>
        <v>0</v>
      </c>
      <c r="FF58" s="139">
        <f t="shared" ref="FF58:FF60" si="915">AZ58/$E58</f>
        <v>0</v>
      </c>
    </row>
    <row r="59" spans="2:162" x14ac:dyDescent="0.25">
      <c r="B59" s="127">
        <f t="shared" si="806"/>
        <v>45542</v>
      </c>
      <c r="C59" s="266"/>
      <c r="D59" s="53">
        <v>12</v>
      </c>
      <c r="E59" s="129">
        <v>8.6300000000000008</v>
      </c>
      <c r="F59" s="25"/>
      <c r="G59" s="25"/>
      <c r="H59" s="150">
        <v>12</v>
      </c>
      <c r="I59" s="24">
        <v>2</v>
      </c>
      <c r="J59" s="151">
        <f>3/8</f>
        <v>0.375</v>
      </c>
      <c r="K59" s="151"/>
      <c r="L59" s="152">
        <v>14</v>
      </c>
      <c r="M59" s="152">
        <f t="shared" si="844"/>
        <v>0</v>
      </c>
      <c r="N59" s="153">
        <f t="shared" si="845"/>
        <v>34.650000000000006</v>
      </c>
      <c r="O59" s="25"/>
      <c r="P59" s="95"/>
      <c r="Q59" s="41"/>
      <c r="R59" s="41"/>
      <c r="S59" s="41"/>
      <c r="T59" s="41"/>
      <c r="U59" s="41"/>
      <c r="V59" s="41"/>
      <c r="W59" s="42"/>
      <c r="X59" s="95"/>
      <c r="Y59" s="41"/>
      <c r="Z59" s="41"/>
      <c r="AA59" s="42"/>
      <c r="AB59" s="95"/>
      <c r="AC59" s="41"/>
      <c r="AD59" s="41"/>
      <c r="AE59" s="41"/>
      <c r="AF59" s="41"/>
      <c r="AG59" s="42"/>
      <c r="AH59" s="95"/>
      <c r="AI59" s="41"/>
      <c r="AJ59" s="41"/>
      <c r="AK59" s="41"/>
      <c r="AL59" s="42"/>
      <c r="AM59" s="95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2"/>
      <c r="BB59" s="95">
        <f t="shared" si="846"/>
        <v>0</v>
      </c>
      <c r="BC59" s="41">
        <f t="shared" si="847"/>
        <v>0</v>
      </c>
      <c r="BD59" s="41">
        <f t="shared" si="848"/>
        <v>0</v>
      </c>
      <c r="BE59" s="41">
        <f t="shared" si="849"/>
        <v>0</v>
      </c>
      <c r="BF59" s="41">
        <f t="shared" si="850"/>
        <v>0</v>
      </c>
      <c r="BG59" s="41">
        <f t="shared" si="851"/>
        <v>0</v>
      </c>
      <c r="BH59" s="41">
        <f t="shared" si="852"/>
        <v>0</v>
      </c>
      <c r="BI59" s="42">
        <f t="shared" si="853"/>
        <v>0</v>
      </c>
      <c r="BJ59" s="95">
        <f t="shared" si="854"/>
        <v>0</v>
      </c>
      <c r="BK59" s="41">
        <f t="shared" si="855"/>
        <v>0</v>
      </c>
      <c r="BL59" s="41">
        <f t="shared" si="856"/>
        <v>0</v>
      </c>
      <c r="BM59" s="42">
        <f t="shared" si="857"/>
        <v>0</v>
      </c>
      <c r="BN59" s="95">
        <f t="shared" si="858"/>
        <v>0</v>
      </c>
      <c r="BO59" s="41">
        <f t="shared" si="859"/>
        <v>0</v>
      </c>
      <c r="BP59" s="41">
        <f t="shared" si="860"/>
        <v>0</v>
      </c>
      <c r="BQ59" s="41">
        <f t="shared" si="861"/>
        <v>0</v>
      </c>
      <c r="BR59" s="41">
        <f t="shared" si="862"/>
        <v>0</v>
      </c>
      <c r="BS59" s="42">
        <f t="shared" si="863"/>
        <v>0</v>
      </c>
      <c r="BT59" s="95">
        <f t="shared" si="864"/>
        <v>0</v>
      </c>
      <c r="BU59" s="41">
        <f t="shared" si="865"/>
        <v>0</v>
      </c>
      <c r="BV59" s="41">
        <f t="shared" si="866"/>
        <v>0</v>
      </c>
      <c r="BW59" s="41">
        <f t="shared" si="867"/>
        <v>0</v>
      </c>
      <c r="BX59" s="42">
        <f t="shared" si="868"/>
        <v>0</v>
      </c>
      <c r="BY59" s="95">
        <f t="shared" si="869"/>
        <v>0</v>
      </c>
      <c r="BZ59" s="41">
        <f t="shared" si="870"/>
        <v>0</v>
      </c>
      <c r="CA59" s="41">
        <f t="shared" si="871"/>
        <v>0</v>
      </c>
      <c r="CB59" s="41">
        <f t="shared" si="872"/>
        <v>0</v>
      </c>
      <c r="CC59" s="41">
        <f t="shared" si="873"/>
        <v>0</v>
      </c>
      <c r="CD59" s="41">
        <f t="shared" si="874"/>
        <v>0</v>
      </c>
      <c r="CE59" s="41">
        <f t="shared" si="875"/>
        <v>0</v>
      </c>
      <c r="CF59" s="41">
        <f t="shared" si="876"/>
        <v>0</v>
      </c>
      <c r="CG59" s="41">
        <f t="shared" si="877"/>
        <v>0</v>
      </c>
      <c r="CH59" s="41">
        <f t="shared" si="878"/>
        <v>0</v>
      </c>
      <c r="CI59" s="41">
        <f t="shared" si="879"/>
        <v>0</v>
      </c>
      <c r="CJ59" s="42">
        <f t="shared" si="880"/>
        <v>0</v>
      </c>
      <c r="CL59" s="36">
        <v>2</v>
      </c>
      <c r="CN59" s="95">
        <f t="shared" ref="CN59" si="916">AVERAGE(BB59:BB60)*$CL59</f>
        <v>0</v>
      </c>
      <c r="CO59" s="41">
        <f t="shared" ref="CO59" si="917">AVERAGE(BC59:BC60)*$CL59</f>
        <v>0</v>
      </c>
      <c r="CP59" s="41">
        <f t="shared" ref="CP59" si="918">AVERAGE(BD59:BD60)*$CL59</f>
        <v>0</v>
      </c>
      <c r="CQ59" s="41">
        <f t="shared" ref="CQ59" si="919">AVERAGE(BE59:BE60)*$CL59</f>
        <v>0</v>
      </c>
      <c r="CR59" s="41">
        <f t="shared" ref="CR59" si="920">AVERAGE(BF59:BF60)*$CL59</f>
        <v>5.4734704239654741</v>
      </c>
      <c r="CS59" s="41">
        <f t="shared" ref="CS59" si="921">AVERAGE(BG59:BG60)*$CL59</f>
        <v>0</v>
      </c>
      <c r="CT59" s="41">
        <f t="shared" ref="CT59" si="922">AVERAGE(BH59:BH60)*$CL59</f>
        <v>5.4734704239654741</v>
      </c>
      <c r="CU59" s="42">
        <f t="shared" ref="CU59" si="923">AVERAGE(BI59:BI60)*$CL59</f>
        <v>0</v>
      </c>
      <c r="CV59" s="95">
        <f t="shared" ref="CV59" si="924">AVERAGE(BJ59:BJ60)*$CL59</f>
        <v>0</v>
      </c>
      <c r="CW59" s="41">
        <f t="shared" ref="CW59" si="925">AVERAGE(BK59:BK60)*$CL59</f>
        <v>0</v>
      </c>
      <c r="CX59" s="41">
        <f t="shared" ref="CX59" si="926">AVERAGE(BL59:BL60)*$CL59</f>
        <v>0</v>
      </c>
      <c r="CY59" s="42">
        <f t="shared" ref="CY59" si="927">AVERAGE(BM59:BM60)*$CL59</f>
        <v>0</v>
      </c>
      <c r="CZ59" s="95">
        <f t="shared" ref="CZ59" si="928">AVERAGE(BN59:BN60)*$CL59</f>
        <v>0</v>
      </c>
      <c r="DA59" s="41">
        <f t="shared" ref="DA59" si="929">AVERAGE(BO59:BO60)*$CL59</f>
        <v>0</v>
      </c>
      <c r="DB59" s="41">
        <f t="shared" ref="DB59" si="930">AVERAGE(BP59:BP60)*$CL59</f>
        <v>0</v>
      </c>
      <c r="DC59" s="41">
        <f t="shared" ref="DC59" si="931">AVERAGE(BQ59:BQ60)*$CL59</f>
        <v>0</v>
      </c>
      <c r="DD59" s="41">
        <f t="shared" ref="DD59" si="932">AVERAGE(BR59:BR60)*$CL59</f>
        <v>0</v>
      </c>
      <c r="DE59" s="42">
        <f t="shared" ref="DE59" si="933">AVERAGE(BS59:BS60)*$CL59</f>
        <v>0</v>
      </c>
      <c r="DF59" s="95">
        <f t="shared" ref="DF59" si="934">AVERAGE(BT59:BT60)*$CL59</f>
        <v>0</v>
      </c>
      <c r="DG59" s="41">
        <f t="shared" ref="DG59" si="935">AVERAGE(BU59:BU60)*$CL59</f>
        <v>0</v>
      </c>
      <c r="DH59" s="41">
        <f t="shared" ref="DH59" si="936">AVERAGE(BV59:BV60)*$CL59</f>
        <v>0</v>
      </c>
      <c r="DI59" s="41">
        <f t="shared" ref="DI59" si="937">AVERAGE(BW59:BW60)*$CL59</f>
        <v>0</v>
      </c>
      <c r="DJ59" s="42">
        <f t="shared" ref="DJ59" si="938">AVERAGE(BX59:BX60)*$CL59</f>
        <v>0</v>
      </c>
      <c r="DK59" s="95">
        <f t="shared" ref="DK59" si="939">AVERAGE(BY59:BY60)*$CL59</f>
        <v>0</v>
      </c>
      <c r="DL59" s="41">
        <f t="shared" ref="DL59" si="940">AVERAGE(BZ59:BZ60)*$CL59</f>
        <v>0</v>
      </c>
      <c r="DM59" s="41">
        <f t="shared" ref="DM59" si="941">AVERAGE(CA59:CA60)*$CL59</f>
        <v>0</v>
      </c>
      <c r="DN59" s="41">
        <f t="shared" ref="DN59" si="942">AVERAGE(CB59:CB60)*$CL59</f>
        <v>0</v>
      </c>
      <c r="DO59" s="41">
        <f t="shared" ref="DO59" si="943">AVERAGE(CC59:CC60)*$CL59</f>
        <v>0</v>
      </c>
      <c r="DP59" s="41">
        <f t="shared" ref="DP59" si="944">AVERAGE(CD59:CD60)*$CL59</f>
        <v>0</v>
      </c>
      <c r="DQ59" s="41">
        <f t="shared" ref="DQ59" si="945">AVERAGE(CE59:CE60)*$CL59</f>
        <v>0</v>
      </c>
      <c r="DR59" s="41">
        <f t="shared" ref="DR59" si="946">AVERAGE(CF59:CF60)*$CL59</f>
        <v>0</v>
      </c>
      <c r="DS59" s="41">
        <f t="shared" ref="DS59" si="947">AVERAGE(CG59:CG60)*$CL59</f>
        <v>0</v>
      </c>
      <c r="DT59" s="41">
        <f t="shared" ref="DT59" si="948">AVERAGE(CH59:CH60)*$CL59</f>
        <v>0</v>
      </c>
      <c r="DU59" s="41">
        <f t="shared" ref="DU59" si="949">AVERAGE(CI59:CI60)*$CL59</f>
        <v>0</v>
      </c>
      <c r="DV59" s="42">
        <f t="shared" ref="DV59" si="950">AVERAGE(CJ59:CJ60)*$CL59</f>
        <v>0</v>
      </c>
      <c r="DX59" s="138">
        <f t="shared" si="881"/>
        <v>0</v>
      </c>
      <c r="DY59" s="34">
        <f t="shared" si="882"/>
        <v>0</v>
      </c>
      <c r="DZ59" s="34">
        <f t="shared" si="883"/>
        <v>0</v>
      </c>
      <c r="EA59" s="34">
        <f t="shared" si="884"/>
        <v>0</v>
      </c>
      <c r="EB59" s="34">
        <f t="shared" si="885"/>
        <v>0</v>
      </c>
      <c r="EC59" s="34">
        <f t="shared" si="886"/>
        <v>0</v>
      </c>
      <c r="ED59" s="34">
        <f t="shared" si="887"/>
        <v>0</v>
      </c>
      <c r="EE59" s="139">
        <f t="shared" si="888"/>
        <v>0</v>
      </c>
      <c r="EF59" s="138">
        <f t="shared" si="889"/>
        <v>0</v>
      </c>
      <c r="EG59" s="34">
        <f t="shared" si="890"/>
        <v>0</v>
      </c>
      <c r="EH59" s="34">
        <f t="shared" si="891"/>
        <v>0</v>
      </c>
      <c r="EI59" s="139">
        <f t="shared" si="892"/>
        <v>0</v>
      </c>
      <c r="EJ59" s="138">
        <f t="shared" si="893"/>
        <v>0</v>
      </c>
      <c r="EK59" s="34">
        <f t="shared" si="894"/>
        <v>0</v>
      </c>
      <c r="EL59" s="34">
        <f t="shared" si="895"/>
        <v>0</v>
      </c>
      <c r="EM59" s="34">
        <f t="shared" si="896"/>
        <v>0</v>
      </c>
      <c r="EN59" s="34">
        <f t="shared" si="897"/>
        <v>0</v>
      </c>
      <c r="EO59" s="139">
        <f t="shared" si="898"/>
        <v>0</v>
      </c>
      <c r="EP59" s="138">
        <f t="shared" si="899"/>
        <v>0</v>
      </c>
      <c r="EQ59" s="34">
        <f t="shared" si="900"/>
        <v>0</v>
      </c>
      <c r="ER59" s="34">
        <f t="shared" si="901"/>
        <v>0</v>
      </c>
      <c r="ES59" s="34">
        <f t="shared" si="902"/>
        <v>0</v>
      </c>
      <c r="ET59" s="139">
        <f t="shared" si="903"/>
        <v>0</v>
      </c>
      <c r="EU59" s="138">
        <f t="shared" si="904"/>
        <v>0</v>
      </c>
      <c r="EV59" s="34">
        <f t="shared" si="905"/>
        <v>0</v>
      </c>
      <c r="EW59" s="34">
        <f t="shared" si="906"/>
        <v>0</v>
      </c>
      <c r="EX59" s="34">
        <f t="shared" si="907"/>
        <v>0</v>
      </c>
      <c r="EY59" s="34">
        <f t="shared" si="908"/>
        <v>0</v>
      </c>
      <c r="EZ59" s="34">
        <f t="shared" si="909"/>
        <v>0</v>
      </c>
      <c r="FA59" s="34">
        <f t="shared" si="910"/>
        <v>0</v>
      </c>
      <c r="FB59" s="34">
        <f t="shared" si="911"/>
        <v>0</v>
      </c>
      <c r="FC59" s="34">
        <f t="shared" si="912"/>
        <v>0</v>
      </c>
      <c r="FD59" s="34">
        <f t="shared" si="913"/>
        <v>0</v>
      </c>
      <c r="FE59" s="34">
        <f t="shared" si="914"/>
        <v>0</v>
      </c>
      <c r="FF59" s="139">
        <f t="shared" si="915"/>
        <v>0</v>
      </c>
    </row>
    <row r="60" spans="2:162" ht="16.5" thickBot="1" x14ac:dyDescent="0.3">
      <c r="B60" s="127">
        <f t="shared" si="806"/>
        <v>45543</v>
      </c>
      <c r="C60" s="267"/>
      <c r="D60" s="100">
        <v>21</v>
      </c>
      <c r="E60" s="131">
        <v>18.18</v>
      </c>
      <c r="F60" s="25"/>
      <c r="G60" s="25"/>
      <c r="H60" s="171">
        <v>21</v>
      </c>
      <c r="I60" s="172">
        <v>2</v>
      </c>
      <c r="J60" s="173">
        <f>8/13</f>
        <v>0.61538461538461542</v>
      </c>
      <c r="K60" s="173"/>
      <c r="L60" s="174">
        <v>14</v>
      </c>
      <c r="M60" s="174">
        <f t="shared" si="844"/>
        <v>0</v>
      </c>
      <c r="N60" s="175">
        <f t="shared" si="845"/>
        <v>99.507692307692324</v>
      </c>
      <c r="O60" s="25"/>
      <c r="P60" s="96"/>
      <c r="Q60" s="76"/>
      <c r="R60" s="76"/>
      <c r="S60" s="76"/>
      <c r="T60" s="76">
        <v>1</v>
      </c>
      <c r="U60" s="76"/>
      <c r="V60" s="76">
        <v>1</v>
      </c>
      <c r="W60" s="77"/>
      <c r="X60" s="96"/>
      <c r="Y60" s="76"/>
      <c r="Z60" s="76"/>
      <c r="AA60" s="77"/>
      <c r="AB60" s="96"/>
      <c r="AC60" s="76"/>
      <c r="AD60" s="76"/>
      <c r="AE60" s="76"/>
      <c r="AF60" s="76"/>
      <c r="AG60" s="77"/>
      <c r="AH60" s="96"/>
      <c r="AI60" s="76"/>
      <c r="AJ60" s="76"/>
      <c r="AK60" s="76"/>
      <c r="AL60" s="77"/>
      <c r="AM60" s="9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7"/>
      <c r="BB60" s="96">
        <f t="shared" si="846"/>
        <v>0</v>
      </c>
      <c r="BC60" s="76">
        <f t="shared" si="847"/>
        <v>0</v>
      </c>
      <c r="BD60" s="76">
        <f t="shared" si="848"/>
        <v>0</v>
      </c>
      <c r="BE60" s="76">
        <f t="shared" si="849"/>
        <v>0</v>
      </c>
      <c r="BF60" s="76">
        <f t="shared" si="850"/>
        <v>5.4734704239654741</v>
      </c>
      <c r="BG60" s="76">
        <f t="shared" si="851"/>
        <v>0</v>
      </c>
      <c r="BH60" s="76">
        <f t="shared" si="852"/>
        <v>5.4734704239654741</v>
      </c>
      <c r="BI60" s="77">
        <f t="shared" si="853"/>
        <v>0</v>
      </c>
      <c r="BJ60" s="96">
        <f t="shared" si="854"/>
        <v>0</v>
      </c>
      <c r="BK60" s="76">
        <f t="shared" si="855"/>
        <v>0</v>
      </c>
      <c r="BL60" s="76">
        <f t="shared" si="856"/>
        <v>0</v>
      </c>
      <c r="BM60" s="77">
        <f t="shared" si="857"/>
        <v>0</v>
      </c>
      <c r="BN60" s="96">
        <f t="shared" si="858"/>
        <v>0</v>
      </c>
      <c r="BO60" s="76">
        <f t="shared" si="859"/>
        <v>0</v>
      </c>
      <c r="BP60" s="76">
        <f t="shared" si="860"/>
        <v>0</v>
      </c>
      <c r="BQ60" s="76">
        <f t="shared" si="861"/>
        <v>0</v>
      </c>
      <c r="BR60" s="76">
        <f t="shared" si="862"/>
        <v>0</v>
      </c>
      <c r="BS60" s="77">
        <f t="shared" si="863"/>
        <v>0</v>
      </c>
      <c r="BT60" s="96">
        <f t="shared" si="864"/>
        <v>0</v>
      </c>
      <c r="BU60" s="76">
        <f t="shared" si="865"/>
        <v>0</v>
      </c>
      <c r="BV60" s="76">
        <f t="shared" si="866"/>
        <v>0</v>
      </c>
      <c r="BW60" s="76">
        <f t="shared" si="867"/>
        <v>0</v>
      </c>
      <c r="BX60" s="77">
        <f t="shared" si="868"/>
        <v>0</v>
      </c>
      <c r="BY60" s="96">
        <f t="shared" si="869"/>
        <v>0</v>
      </c>
      <c r="BZ60" s="76">
        <f t="shared" si="870"/>
        <v>0</v>
      </c>
      <c r="CA60" s="76">
        <f t="shared" si="871"/>
        <v>0</v>
      </c>
      <c r="CB60" s="76">
        <f t="shared" si="872"/>
        <v>0</v>
      </c>
      <c r="CC60" s="76">
        <f t="shared" si="873"/>
        <v>0</v>
      </c>
      <c r="CD60" s="76">
        <f t="shared" si="874"/>
        <v>0</v>
      </c>
      <c r="CE60" s="76">
        <f t="shared" si="875"/>
        <v>0</v>
      </c>
      <c r="CF60" s="76">
        <f t="shared" si="876"/>
        <v>0</v>
      </c>
      <c r="CG60" s="76">
        <f t="shared" si="877"/>
        <v>0</v>
      </c>
      <c r="CH60" s="76">
        <f t="shared" si="878"/>
        <v>0</v>
      </c>
      <c r="CI60" s="76">
        <f t="shared" si="879"/>
        <v>0</v>
      </c>
      <c r="CJ60" s="77">
        <f t="shared" si="880"/>
        <v>0</v>
      </c>
      <c r="CN60" s="96"/>
      <c r="CO60" s="76"/>
      <c r="CP60" s="76"/>
      <c r="CQ60" s="76"/>
      <c r="CR60" s="76"/>
      <c r="CS60" s="76"/>
      <c r="CT60" s="76"/>
      <c r="CU60" s="77"/>
      <c r="CV60" s="96"/>
      <c r="CW60" s="76"/>
      <c r="CX60" s="76"/>
      <c r="CY60" s="77"/>
      <c r="CZ60" s="96"/>
      <c r="DA60" s="76"/>
      <c r="DB60" s="76"/>
      <c r="DC60" s="76"/>
      <c r="DD60" s="76"/>
      <c r="DE60" s="77"/>
      <c r="DF60" s="96"/>
      <c r="DG60" s="76"/>
      <c r="DH60" s="76"/>
      <c r="DI60" s="76"/>
      <c r="DJ60" s="77"/>
      <c r="DK60" s="96"/>
      <c r="DL60" s="76"/>
      <c r="DM60" s="76"/>
      <c r="DN60" s="76"/>
      <c r="DO60" s="76"/>
      <c r="DP60" s="76"/>
      <c r="DQ60" s="76"/>
      <c r="DR60" s="76"/>
      <c r="DS60" s="76"/>
      <c r="DT60" s="76"/>
      <c r="DU60" s="76"/>
      <c r="DV60" s="77"/>
      <c r="DX60" s="140">
        <f t="shared" si="881"/>
        <v>0</v>
      </c>
      <c r="DY60" s="141">
        <f t="shared" si="882"/>
        <v>0</v>
      </c>
      <c r="DZ60" s="141">
        <f t="shared" si="883"/>
        <v>0</v>
      </c>
      <c r="EA60" s="141">
        <f t="shared" si="884"/>
        <v>0</v>
      </c>
      <c r="EB60" s="141">
        <f t="shared" si="885"/>
        <v>5.5005500550055007E-2</v>
      </c>
      <c r="EC60" s="141">
        <f t="shared" si="886"/>
        <v>0</v>
      </c>
      <c r="ED60" s="141">
        <f t="shared" si="887"/>
        <v>5.5005500550055007E-2</v>
      </c>
      <c r="EE60" s="142">
        <f t="shared" si="888"/>
        <v>0</v>
      </c>
      <c r="EF60" s="140">
        <f t="shared" si="889"/>
        <v>0</v>
      </c>
      <c r="EG60" s="141">
        <f t="shared" si="890"/>
        <v>0</v>
      </c>
      <c r="EH60" s="141">
        <f t="shared" si="891"/>
        <v>0</v>
      </c>
      <c r="EI60" s="142">
        <f t="shared" si="892"/>
        <v>0</v>
      </c>
      <c r="EJ60" s="140">
        <f t="shared" si="893"/>
        <v>0</v>
      </c>
      <c r="EK60" s="141">
        <f t="shared" si="894"/>
        <v>0</v>
      </c>
      <c r="EL60" s="141">
        <f t="shared" si="895"/>
        <v>0</v>
      </c>
      <c r="EM60" s="141">
        <f t="shared" si="896"/>
        <v>0</v>
      </c>
      <c r="EN60" s="141">
        <f t="shared" si="897"/>
        <v>0</v>
      </c>
      <c r="EO60" s="142">
        <f t="shared" si="898"/>
        <v>0</v>
      </c>
      <c r="EP60" s="140">
        <f t="shared" si="899"/>
        <v>0</v>
      </c>
      <c r="EQ60" s="141">
        <f t="shared" si="900"/>
        <v>0</v>
      </c>
      <c r="ER60" s="141">
        <f t="shared" si="901"/>
        <v>0</v>
      </c>
      <c r="ES60" s="141">
        <f t="shared" si="902"/>
        <v>0</v>
      </c>
      <c r="ET60" s="142">
        <f t="shared" si="903"/>
        <v>0</v>
      </c>
      <c r="EU60" s="140">
        <f t="shared" si="904"/>
        <v>0</v>
      </c>
      <c r="EV60" s="141">
        <f t="shared" si="905"/>
        <v>0</v>
      </c>
      <c r="EW60" s="141">
        <f t="shared" si="906"/>
        <v>0</v>
      </c>
      <c r="EX60" s="141">
        <f t="shared" si="907"/>
        <v>0</v>
      </c>
      <c r="EY60" s="141">
        <f t="shared" si="908"/>
        <v>0</v>
      </c>
      <c r="EZ60" s="141">
        <f t="shared" si="909"/>
        <v>0</v>
      </c>
      <c r="FA60" s="141">
        <f t="shared" si="910"/>
        <v>0</v>
      </c>
      <c r="FB60" s="141">
        <f t="shared" si="911"/>
        <v>0</v>
      </c>
      <c r="FC60" s="141">
        <f t="shared" si="912"/>
        <v>0</v>
      </c>
      <c r="FD60" s="141">
        <f t="shared" si="913"/>
        <v>0</v>
      </c>
      <c r="FE60" s="141">
        <f t="shared" si="914"/>
        <v>0</v>
      </c>
      <c r="FF60" s="142">
        <f t="shared" si="915"/>
        <v>0</v>
      </c>
    </row>
    <row r="61" spans="2:162" ht="17.25" thickTop="1" thickBot="1" x14ac:dyDescent="0.3">
      <c r="B61" s="178"/>
      <c r="C61" s="268"/>
      <c r="D61" s="101">
        <f t="shared" ref="D61:E61" si="951">SUM(D54:D60)</f>
        <v>41</v>
      </c>
      <c r="E61" s="134">
        <f t="shared" si="951"/>
        <v>29.27</v>
      </c>
      <c r="F61" s="146"/>
      <c r="G61" s="146"/>
      <c r="H61" s="43"/>
      <c r="I61" s="39"/>
      <c r="J61" s="39"/>
      <c r="K61" s="39"/>
      <c r="L61" s="184"/>
      <c r="M61" s="185"/>
      <c r="N61" s="170">
        <f>AVERAGE(N54:N58)*5+AVERAGE(N59:N60)*2</f>
        <v>175.00894230769234</v>
      </c>
      <c r="O61" s="146"/>
      <c r="P61" s="68">
        <f t="shared" ref="P61:AZ61" si="952">SUM(P54:P60)</f>
        <v>0</v>
      </c>
      <c r="Q61" s="65">
        <f t="shared" si="952"/>
        <v>0</v>
      </c>
      <c r="R61" s="65">
        <f t="shared" si="952"/>
        <v>0</v>
      </c>
      <c r="S61" s="65">
        <f t="shared" si="952"/>
        <v>0</v>
      </c>
      <c r="T61" s="65">
        <f t="shared" si="952"/>
        <v>1</v>
      </c>
      <c r="U61" s="65">
        <f t="shared" si="952"/>
        <v>0</v>
      </c>
      <c r="V61" s="65">
        <f t="shared" si="952"/>
        <v>1</v>
      </c>
      <c r="W61" s="66">
        <f t="shared" si="952"/>
        <v>0</v>
      </c>
      <c r="X61" s="68">
        <f t="shared" si="952"/>
        <v>0</v>
      </c>
      <c r="Y61" s="65">
        <f t="shared" si="952"/>
        <v>0</v>
      </c>
      <c r="Z61" s="65">
        <f t="shared" si="952"/>
        <v>0</v>
      </c>
      <c r="AA61" s="66">
        <f t="shared" si="952"/>
        <v>0</v>
      </c>
      <c r="AB61" s="68">
        <f t="shared" si="952"/>
        <v>0</v>
      </c>
      <c r="AC61" s="65">
        <f t="shared" si="952"/>
        <v>0</v>
      </c>
      <c r="AD61" s="65">
        <f t="shared" si="952"/>
        <v>0</v>
      </c>
      <c r="AE61" s="65">
        <f t="shared" si="952"/>
        <v>0</v>
      </c>
      <c r="AF61" s="65">
        <f t="shared" si="952"/>
        <v>0</v>
      </c>
      <c r="AG61" s="66">
        <f t="shared" si="952"/>
        <v>0</v>
      </c>
      <c r="AH61" s="68">
        <f t="shared" si="952"/>
        <v>0</v>
      </c>
      <c r="AI61" s="65">
        <f t="shared" si="952"/>
        <v>0</v>
      </c>
      <c r="AJ61" s="65">
        <f t="shared" si="952"/>
        <v>0</v>
      </c>
      <c r="AK61" s="65">
        <f t="shared" si="952"/>
        <v>0</v>
      </c>
      <c r="AL61" s="66">
        <f t="shared" si="952"/>
        <v>0</v>
      </c>
      <c r="AM61" s="68">
        <f t="shared" si="952"/>
        <v>0</v>
      </c>
      <c r="AN61" s="65">
        <f t="shared" si="952"/>
        <v>0</v>
      </c>
      <c r="AO61" s="65">
        <f t="shared" si="952"/>
        <v>0</v>
      </c>
      <c r="AP61" s="65">
        <f t="shared" si="952"/>
        <v>0</v>
      </c>
      <c r="AQ61" s="65">
        <f t="shared" si="952"/>
        <v>0</v>
      </c>
      <c r="AR61" s="65">
        <f t="shared" si="952"/>
        <v>0</v>
      </c>
      <c r="AS61" s="65">
        <f t="shared" si="952"/>
        <v>0</v>
      </c>
      <c r="AT61" s="65">
        <f t="shared" si="952"/>
        <v>0</v>
      </c>
      <c r="AU61" s="65">
        <f t="shared" si="952"/>
        <v>0</v>
      </c>
      <c r="AV61" s="65">
        <f t="shared" si="952"/>
        <v>0</v>
      </c>
      <c r="AW61" s="65">
        <f t="shared" si="952"/>
        <v>0</v>
      </c>
      <c r="AX61" s="65">
        <f t="shared" si="952"/>
        <v>0</v>
      </c>
      <c r="AY61" s="65">
        <f t="shared" si="952"/>
        <v>0</v>
      </c>
      <c r="AZ61" s="66">
        <f t="shared" si="952"/>
        <v>0</v>
      </c>
      <c r="BB61" s="68">
        <f t="shared" ref="BB61:CJ61" si="953">SUM(BB54:BB60)</f>
        <v>0</v>
      </c>
      <c r="BC61" s="65">
        <f t="shared" si="953"/>
        <v>0</v>
      </c>
      <c r="BD61" s="65">
        <f t="shared" si="953"/>
        <v>0</v>
      </c>
      <c r="BE61" s="65">
        <f t="shared" si="953"/>
        <v>0</v>
      </c>
      <c r="BF61" s="65">
        <f t="shared" si="953"/>
        <v>5.4734704239654741</v>
      </c>
      <c r="BG61" s="65">
        <f t="shared" si="953"/>
        <v>0</v>
      </c>
      <c r="BH61" s="65">
        <f t="shared" si="953"/>
        <v>5.4734704239654741</v>
      </c>
      <c r="BI61" s="66">
        <f t="shared" si="953"/>
        <v>0</v>
      </c>
      <c r="BJ61" s="68">
        <f t="shared" si="953"/>
        <v>0</v>
      </c>
      <c r="BK61" s="65">
        <f t="shared" si="953"/>
        <v>0</v>
      </c>
      <c r="BL61" s="65">
        <f t="shared" si="953"/>
        <v>0</v>
      </c>
      <c r="BM61" s="66">
        <f t="shared" si="953"/>
        <v>0</v>
      </c>
      <c r="BN61" s="68">
        <f t="shared" si="953"/>
        <v>0</v>
      </c>
      <c r="BO61" s="65">
        <f t="shared" si="953"/>
        <v>0</v>
      </c>
      <c r="BP61" s="65">
        <f t="shared" si="953"/>
        <v>0</v>
      </c>
      <c r="BQ61" s="65">
        <f t="shared" si="953"/>
        <v>0</v>
      </c>
      <c r="BR61" s="65">
        <f t="shared" si="953"/>
        <v>0</v>
      </c>
      <c r="BS61" s="66">
        <f t="shared" si="953"/>
        <v>0</v>
      </c>
      <c r="BT61" s="68">
        <f t="shared" si="953"/>
        <v>0</v>
      </c>
      <c r="BU61" s="65">
        <f t="shared" si="953"/>
        <v>0</v>
      </c>
      <c r="BV61" s="65">
        <f t="shared" si="953"/>
        <v>0</v>
      </c>
      <c r="BW61" s="65">
        <f t="shared" si="953"/>
        <v>0</v>
      </c>
      <c r="BX61" s="66">
        <f t="shared" si="953"/>
        <v>0</v>
      </c>
      <c r="BY61" s="68">
        <f t="shared" si="953"/>
        <v>0</v>
      </c>
      <c r="BZ61" s="65">
        <f t="shared" si="953"/>
        <v>0</v>
      </c>
      <c r="CA61" s="65">
        <f t="shared" si="953"/>
        <v>0</v>
      </c>
      <c r="CB61" s="65">
        <f t="shared" si="953"/>
        <v>0</v>
      </c>
      <c r="CC61" s="65">
        <f t="shared" si="953"/>
        <v>0</v>
      </c>
      <c r="CD61" s="65">
        <f t="shared" si="953"/>
        <v>0</v>
      </c>
      <c r="CE61" s="65">
        <f t="shared" si="953"/>
        <v>0</v>
      </c>
      <c r="CF61" s="65">
        <f t="shared" si="953"/>
        <v>0</v>
      </c>
      <c r="CG61" s="65">
        <f t="shared" si="953"/>
        <v>0</v>
      </c>
      <c r="CH61" s="65">
        <f t="shared" si="953"/>
        <v>0</v>
      </c>
      <c r="CI61" s="65">
        <f t="shared" si="953"/>
        <v>0</v>
      </c>
      <c r="CJ61" s="66">
        <f t="shared" si="953"/>
        <v>0</v>
      </c>
      <c r="CN61" s="68">
        <f t="shared" ref="CN61:DV61" si="954">SUM(CN54:CN60)</f>
        <v>0</v>
      </c>
      <c r="CO61" s="65">
        <f t="shared" si="954"/>
        <v>0</v>
      </c>
      <c r="CP61" s="65">
        <f t="shared" si="954"/>
        <v>0</v>
      </c>
      <c r="CQ61" s="65">
        <f t="shared" si="954"/>
        <v>0</v>
      </c>
      <c r="CR61" s="65">
        <f t="shared" si="954"/>
        <v>5.4734704239654741</v>
      </c>
      <c r="CS61" s="65">
        <f t="shared" si="954"/>
        <v>0</v>
      </c>
      <c r="CT61" s="65">
        <f t="shared" si="954"/>
        <v>5.4734704239654741</v>
      </c>
      <c r="CU61" s="66">
        <f t="shared" si="954"/>
        <v>0</v>
      </c>
      <c r="CV61" s="68">
        <f t="shared" si="954"/>
        <v>0</v>
      </c>
      <c r="CW61" s="65">
        <f t="shared" si="954"/>
        <v>0</v>
      </c>
      <c r="CX61" s="65">
        <f t="shared" si="954"/>
        <v>0</v>
      </c>
      <c r="CY61" s="66">
        <f t="shared" si="954"/>
        <v>0</v>
      </c>
      <c r="CZ61" s="68">
        <f t="shared" si="954"/>
        <v>0</v>
      </c>
      <c r="DA61" s="65">
        <f t="shared" si="954"/>
        <v>0</v>
      </c>
      <c r="DB61" s="65">
        <f t="shared" si="954"/>
        <v>0</v>
      </c>
      <c r="DC61" s="65">
        <f t="shared" si="954"/>
        <v>0</v>
      </c>
      <c r="DD61" s="65">
        <f t="shared" si="954"/>
        <v>0</v>
      </c>
      <c r="DE61" s="66">
        <f t="shared" si="954"/>
        <v>0</v>
      </c>
      <c r="DF61" s="68">
        <f t="shared" si="954"/>
        <v>0</v>
      </c>
      <c r="DG61" s="65">
        <f t="shared" si="954"/>
        <v>0</v>
      </c>
      <c r="DH61" s="65">
        <f t="shared" si="954"/>
        <v>0</v>
      </c>
      <c r="DI61" s="65">
        <f t="shared" si="954"/>
        <v>0</v>
      </c>
      <c r="DJ61" s="66">
        <f t="shared" si="954"/>
        <v>0</v>
      </c>
      <c r="DK61" s="68">
        <f t="shared" si="954"/>
        <v>0</v>
      </c>
      <c r="DL61" s="65">
        <f t="shared" si="954"/>
        <v>0</v>
      </c>
      <c r="DM61" s="65">
        <f t="shared" si="954"/>
        <v>0</v>
      </c>
      <c r="DN61" s="65">
        <f t="shared" si="954"/>
        <v>0</v>
      </c>
      <c r="DO61" s="65">
        <f t="shared" si="954"/>
        <v>0</v>
      </c>
      <c r="DP61" s="65">
        <f t="shared" si="954"/>
        <v>0</v>
      </c>
      <c r="DQ61" s="65">
        <f t="shared" si="954"/>
        <v>0</v>
      </c>
      <c r="DR61" s="65">
        <f t="shared" si="954"/>
        <v>0</v>
      </c>
      <c r="DS61" s="65">
        <f t="shared" si="954"/>
        <v>0</v>
      </c>
      <c r="DT61" s="65">
        <f t="shared" si="954"/>
        <v>0</v>
      </c>
      <c r="DU61" s="65">
        <f t="shared" si="954"/>
        <v>0</v>
      </c>
      <c r="DV61" s="66">
        <f t="shared" si="954"/>
        <v>0</v>
      </c>
      <c r="DX61" s="143">
        <f t="shared" ref="DX61:FF61" si="955">AVERAGE(DX54:DX60)</f>
        <v>0</v>
      </c>
      <c r="DY61" s="144">
        <f t="shared" si="955"/>
        <v>0</v>
      </c>
      <c r="DZ61" s="144">
        <f t="shared" si="955"/>
        <v>0</v>
      </c>
      <c r="EA61" s="144">
        <f t="shared" si="955"/>
        <v>0</v>
      </c>
      <c r="EB61" s="144">
        <f t="shared" si="955"/>
        <v>1.8335166850018337E-2</v>
      </c>
      <c r="EC61" s="144">
        <f t="shared" si="955"/>
        <v>0</v>
      </c>
      <c r="ED61" s="144">
        <f t="shared" si="955"/>
        <v>1.8335166850018337E-2</v>
      </c>
      <c r="EE61" s="145">
        <f t="shared" si="955"/>
        <v>0</v>
      </c>
      <c r="EF61" s="143">
        <f t="shared" si="955"/>
        <v>0</v>
      </c>
      <c r="EG61" s="144">
        <f t="shared" si="955"/>
        <v>0</v>
      </c>
      <c r="EH61" s="144">
        <f t="shared" si="955"/>
        <v>0</v>
      </c>
      <c r="EI61" s="145">
        <f t="shared" si="955"/>
        <v>0</v>
      </c>
      <c r="EJ61" s="143">
        <f t="shared" si="955"/>
        <v>0</v>
      </c>
      <c r="EK61" s="144">
        <f t="shared" si="955"/>
        <v>0</v>
      </c>
      <c r="EL61" s="144">
        <f t="shared" si="955"/>
        <v>0</v>
      </c>
      <c r="EM61" s="144">
        <f t="shared" si="955"/>
        <v>0</v>
      </c>
      <c r="EN61" s="144">
        <f t="shared" si="955"/>
        <v>0</v>
      </c>
      <c r="EO61" s="144">
        <f t="shared" si="955"/>
        <v>0</v>
      </c>
      <c r="EP61" s="143">
        <f t="shared" si="955"/>
        <v>0</v>
      </c>
      <c r="EQ61" s="144">
        <f t="shared" si="955"/>
        <v>0</v>
      </c>
      <c r="ER61" s="144">
        <f t="shared" si="955"/>
        <v>0</v>
      </c>
      <c r="ES61" s="144">
        <f t="shared" si="955"/>
        <v>0</v>
      </c>
      <c r="ET61" s="145">
        <f t="shared" si="955"/>
        <v>0</v>
      </c>
      <c r="EU61" s="143">
        <f t="shared" si="955"/>
        <v>0</v>
      </c>
      <c r="EV61" s="144">
        <f t="shared" si="955"/>
        <v>0</v>
      </c>
      <c r="EW61" s="144">
        <f t="shared" si="955"/>
        <v>0</v>
      </c>
      <c r="EX61" s="144">
        <f t="shared" si="955"/>
        <v>0</v>
      </c>
      <c r="EY61" s="144">
        <f t="shared" si="955"/>
        <v>0</v>
      </c>
      <c r="EZ61" s="144">
        <f t="shared" si="955"/>
        <v>0</v>
      </c>
      <c r="FA61" s="144">
        <f t="shared" si="955"/>
        <v>0</v>
      </c>
      <c r="FB61" s="144">
        <f t="shared" si="955"/>
        <v>0</v>
      </c>
      <c r="FC61" s="144">
        <f t="shared" si="955"/>
        <v>0</v>
      </c>
      <c r="FD61" s="144">
        <f t="shared" si="955"/>
        <v>0</v>
      </c>
      <c r="FE61" s="144">
        <f t="shared" si="955"/>
        <v>0</v>
      </c>
      <c r="FF61" s="145">
        <f t="shared" si="955"/>
        <v>0</v>
      </c>
    </row>
    <row r="62" spans="2:162" ht="16.5" thickBot="1" x14ac:dyDescent="0.3">
      <c r="L62" s="253"/>
    </row>
    <row r="63" spans="2:162" x14ac:dyDescent="0.25">
      <c r="B63" s="176">
        <f>B54+7</f>
        <v>45544</v>
      </c>
      <c r="C63" s="265"/>
      <c r="D63" s="103">
        <v>3</v>
      </c>
      <c r="E63" s="156">
        <v>2.8</v>
      </c>
      <c r="F63" s="25"/>
      <c r="G63" s="25"/>
      <c r="H63" s="179">
        <v>3</v>
      </c>
      <c r="I63" s="180">
        <v>2</v>
      </c>
      <c r="J63" s="181">
        <f>1/4</f>
        <v>0.25</v>
      </c>
      <c r="K63" s="181"/>
      <c r="L63" s="182">
        <v>13.9</v>
      </c>
      <c r="M63" s="152">
        <f t="shared" ref="M63:M64" si="956">H63/I63*K63*L63*1.5</f>
        <v>0</v>
      </c>
      <c r="N63" s="153">
        <f t="shared" ref="N63:N64" si="957">H63/I63*J63*L63*N$4</f>
        <v>5.7337500000000006</v>
      </c>
      <c r="O63" s="25"/>
      <c r="P63" s="157"/>
      <c r="Q63" s="158"/>
      <c r="R63" s="158"/>
      <c r="S63" s="158"/>
      <c r="T63" s="158"/>
      <c r="U63" s="158"/>
      <c r="V63" s="158"/>
      <c r="W63" s="159"/>
      <c r="X63" s="157"/>
      <c r="Y63" s="158"/>
      <c r="Z63" s="158"/>
      <c r="AA63" s="159"/>
      <c r="AB63" s="157"/>
      <c r="AC63" s="158"/>
      <c r="AD63" s="158"/>
      <c r="AE63" s="158"/>
      <c r="AF63" s="158"/>
      <c r="AG63" s="159"/>
      <c r="AH63" s="157"/>
      <c r="AI63" s="158"/>
      <c r="AJ63" s="158"/>
      <c r="AK63" s="158"/>
      <c r="AL63" s="159"/>
      <c r="AM63" s="157"/>
      <c r="AN63" s="158"/>
      <c r="AO63" s="158"/>
      <c r="AP63" s="158"/>
      <c r="AQ63" s="158"/>
      <c r="AR63" s="158">
        <v>1</v>
      </c>
      <c r="AS63" s="158"/>
      <c r="AT63" s="158"/>
      <c r="AU63" s="158"/>
      <c r="AV63" s="158"/>
      <c r="AW63" s="158"/>
      <c r="AX63" s="158"/>
      <c r="AY63" s="158"/>
      <c r="AZ63" s="159">
        <v>2</v>
      </c>
      <c r="BB63" s="95">
        <f t="shared" ref="BB63:BB64" si="958">$N63*DX63</f>
        <v>0</v>
      </c>
      <c r="BC63" s="41">
        <f t="shared" ref="BC63:BC64" si="959">$N63*DY63</f>
        <v>0</v>
      </c>
      <c r="BD63" s="41">
        <f t="shared" ref="BD63:BD64" si="960">$N63*DZ63</f>
        <v>0</v>
      </c>
      <c r="BE63" s="41">
        <f t="shared" ref="BE63:BE64" si="961">$N63*EA63</f>
        <v>0</v>
      </c>
      <c r="BF63" s="41">
        <f t="shared" ref="BF63:BF64" si="962">$N63*EB63</f>
        <v>0</v>
      </c>
      <c r="BG63" s="41">
        <f t="shared" ref="BG63:BG64" si="963">$N63*EC63</f>
        <v>0</v>
      </c>
      <c r="BH63" s="41">
        <f t="shared" ref="BH63:BH64" si="964">$N63*ED63</f>
        <v>0</v>
      </c>
      <c r="BI63" s="42">
        <f t="shared" ref="BI63:BI64" si="965">$N63*EE63</f>
        <v>0</v>
      </c>
      <c r="BJ63" s="95">
        <f t="shared" ref="BJ63:BJ64" si="966">$N63*EF63</f>
        <v>0</v>
      </c>
      <c r="BK63" s="41">
        <f t="shared" ref="BK63:BK64" si="967">$N63*EG63</f>
        <v>0</v>
      </c>
      <c r="BL63" s="41">
        <f t="shared" ref="BL63:BL64" si="968">$N63*EH63</f>
        <v>0</v>
      </c>
      <c r="BM63" s="42">
        <f t="shared" ref="BM63:BM64" si="969">$N63*EI63</f>
        <v>0</v>
      </c>
      <c r="BN63" s="95">
        <f t="shared" ref="BN63:BN64" si="970">$N63*EJ63</f>
        <v>0</v>
      </c>
      <c r="BO63" s="41">
        <f t="shared" ref="BO63:BO64" si="971">$N63*EK63</f>
        <v>0</v>
      </c>
      <c r="BP63" s="41">
        <f t="shared" ref="BP63:BP64" si="972">$N63*EL63</f>
        <v>0</v>
      </c>
      <c r="BQ63" s="41">
        <f t="shared" ref="BQ63:BQ64" si="973">$N63*EM63</f>
        <v>0</v>
      </c>
      <c r="BR63" s="41">
        <f t="shared" ref="BR63:BR64" si="974">$N63*EN63</f>
        <v>0</v>
      </c>
      <c r="BS63" s="42">
        <f t="shared" ref="BS63:BS64" si="975">$N63*EO63</f>
        <v>0</v>
      </c>
      <c r="BT63" s="95">
        <f t="shared" ref="BT63:BT64" si="976">$N63*EP63</f>
        <v>0</v>
      </c>
      <c r="BU63" s="41">
        <f t="shared" ref="BU63:BU64" si="977">$N63*EQ63</f>
        <v>0</v>
      </c>
      <c r="BV63" s="41">
        <f t="shared" ref="BV63:BV64" si="978">$N63*ER63</f>
        <v>0</v>
      </c>
      <c r="BW63" s="41">
        <f t="shared" ref="BW63:BW64" si="979">$N63*ES63</f>
        <v>0</v>
      </c>
      <c r="BX63" s="42">
        <f t="shared" ref="BX63:BX64" si="980">$N63*ET63</f>
        <v>0</v>
      </c>
      <c r="BY63" s="95">
        <f t="shared" ref="BY63:BY64" si="981">$N63*EU63</f>
        <v>0</v>
      </c>
      <c r="BZ63" s="41">
        <f t="shared" ref="BZ63:BZ64" si="982">$N63*EV63</f>
        <v>0</v>
      </c>
      <c r="CA63" s="41">
        <f t="shared" ref="CA63:CA64" si="983">$N63*EW63</f>
        <v>0</v>
      </c>
      <c r="CB63" s="41">
        <f t="shared" ref="CB63:CB64" si="984">$N63*EX63</f>
        <v>0</v>
      </c>
      <c r="CC63" s="41">
        <f t="shared" ref="CC63:CC64" si="985">$N63*EY63</f>
        <v>0</v>
      </c>
      <c r="CD63" s="41">
        <f t="shared" ref="CD63:CD64" si="986">$N63*EZ63</f>
        <v>2.0477678571428575</v>
      </c>
      <c r="CE63" s="41">
        <f t="shared" ref="CE63:CE64" si="987">$N63*FA63</f>
        <v>0</v>
      </c>
      <c r="CF63" s="41">
        <f t="shared" ref="CF63:CF64" si="988">$N63*FB63</f>
        <v>0</v>
      </c>
      <c r="CG63" s="41">
        <f t="shared" ref="CG63:CG64" si="989">$N63*FC63</f>
        <v>0</v>
      </c>
      <c r="CH63" s="41">
        <f t="shared" ref="CH63:CH64" si="990">$N63*FD63</f>
        <v>0</v>
      </c>
      <c r="CI63" s="41">
        <f t="shared" ref="CI63:CI64" si="991">$N63*FE63</f>
        <v>0</v>
      </c>
      <c r="CJ63" s="42">
        <f t="shared" ref="CJ63:CJ64" si="992">$N63*FF63</f>
        <v>4.0955357142857149</v>
      </c>
      <c r="CL63" s="36">
        <v>5</v>
      </c>
      <c r="CN63" s="157">
        <f>AVERAGE(BB63:BB67)*$CL63</f>
        <v>0</v>
      </c>
      <c r="CO63" s="158">
        <f t="shared" ref="CO63" si="993">AVERAGE(BC63:BC67)*$CL63</f>
        <v>0</v>
      </c>
      <c r="CP63" s="158">
        <f t="shared" ref="CP63" si="994">AVERAGE(BD63:BD67)*$CL63</f>
        <v>0</v>
      </c>
      <c r="CQ63" s="158">
        <f t="shared" ref="CQ63" si="995">AVERAGE(BE63:BE67)*$CL63</f>
        <v>0</v>
      </c>
      <c r="CR63" s="158">
        <f t="shared" ref="CR63" si="996">AVERAGE(BF63:BF67)*$CL63</f>
        <v>0</v>
      </c>
      <c r="CS63" s="158">
        <f t="shared" ref="CS63" si="997">AVERAGE(BG63:BG67)*$CL63</f>
        <v>0</v>
      </c>
      <c r="CT63" s="158">
        <f t="shared" ref="CT63" si="998">AVERAGE(BH63:BH67)*$CL63</f>
        <v>0</v>
      </c>
      <c r="CU63" s="159">
        <f t="shared" ref="CU63" si="999">AVERAGE(BI63:BI67)*$CL63</f>
        <v>0</v>
      </c>
      <c r="CV63" s="157">
        <f t="shared" ref="CV63" si="1000">AVERAGE(BJ63:BJ67)*$CL63</f>
        <v>0</v>
      </c>
      <c r="CW63" s="158">
        <f t="shared" ref="CW63" si="1001">AVERAGE(BK63:BK67)*$CL63</f>
        <v>0</v>
      </c>
      <c r="CX63" s="158">
        <f t="shared" ref="CX63" si="1002">AVERAGE(BL63:BL67)*$CL63</f>
        <v>0</v>
      </c>
      <c r="CY63" s="159">
        <f t="shared" ref="CY63" si="1003">AVERAGE(BM63:BM67)*$CL63</f>
        <v>0</v>
      </c>
      <c r="CZ63" s="157">
        <f t="shared" ref="CZ63" si="1004">AVERAGE(BN63:BN67)*$CL63</f>
        <v>0</v>
      </c>
      <c r="DA63" s="158">
        <f t="shared" ref="DA63" si="1005">AVERAGE(BO63:BO67)*$CL63</f>
        <v>0</v>
      </c>
      <c r="DB63" s="158">
        <f t="shared" ref="DB63" si="1006">AVERAGE(BP63:BP67)*$CL63</f>
        <v>0</v>
      </c>
      <c r="DC63" s="158">
        <f t="shared" ref="DC63" si="1007">AVERAGE(BQ63:BQ67)*$CL63</f>
        <v>0</v>
      </c>
      <c r="DD63" s="158">
        <f t="shared" ref="DD63" si="1008">AVERAGE(BR63:BR67)*$CL63</f>
        <v>0</v>
      </c>
      <c r="DE63" s="159">
        <f t="shared" ref="DE63" si="1009">AVERAGE(BS63:BS67)*$CL63</f>
        <v>0</v>
      </c>
      <c r="DF63" s="157">
        <f t="shared" ref="DF63" si="1010">AVERAGE(BT63:BT67)*$CL63</f>
        <v>0</v>
      </c>
      <c r="DG63" s="158">
        <f t="shared" ref="DG63" si="1011">AVERAGE(BU63:BU67)*$CL63</f>
        <v>0</v>
      </c>
      <c r="DH63" s="158">
        <f t="shared" ref="DH63" si="1012">AVERAGE(BV63:BV67)*$CL63</f>
        <v>0</v>
      </c>
      <c r="DI63" s="158">
        <f t="shared" ref="DI63" si="1013">AVERAGE(BW63:BW67)*$CL63</f>
        <v>0</v>
      </c>
      <c r="DJ63" s="159">
        <f t="shared" ref="DJ63" si="1014">AVERAGE(BX63:BX67)*$CL63</f>
        <v>0</v>
      </c>
      <c r="DK63" s="157">
        <f t="shared" ref="DK63" si="1015">AVERAGE(BY63:BY67)*$CL63</f>
        <v>0</v>
      </c>
      <c r="DL63" s="158">
        <f t="shared" ref="DL63" si="1016">AVERAGE(BZ63:BZ67)*$CL63</f>
        <v>0</v>
      </c>
      <c r="DM63" s="158">
        <f t="shared" ref="DM63" si="1017">AVERAGE(CA63:CA67)*$CL63</f>
        <v>0</v>
      </c>
      <c r="DN63" s="158">
        <f t="shared" ref="DN63" si="1018">AVERAGE(CB63:CB67)*$CL63</f>
        <v>0</v>
      </c>
      <c r="DO63" s="158">
        <f t="shared" ref="DO63" si="1019">AVERAGE(CC63:CC67)*$CL63</f>
        <v>0</v>
      </c>
      <c r="DP63" s="158">
        <f t="shared" ref="DP63" si="1020">AVERAGE(CD63:CD67)*$CL63</f>
        <v>3.4129464285714288</v>
      </c>
      <c r="DQ63" s="158">
        <f t="shared" ref="DQ63" si="1021">AVERAGE(CE63:CE67)*$CL63</f>
        <v>0</v>
      </c>
      <c r="DR63" s="158">
        <f t="shared" ref="DR63" si="1022">AVERAGE(CF63:CF67)*$CL63</f>
        <v>0</v>
      </c>
      <c r="DS63" s="158">
        <f t="shared" ref="DS63" si="1023">AVERAGE(CG63:CG67)*$CL63</f>
        <v>0</v>
      </c>
      <c r="DT63" s="158">
        <f t="shared" ref="DT63" si="1024">AVERAGE(CH63:CH67)*$CL63</f>
        <v>0</v>
      </c>
      <c r="DU63" s="158">
        <f t="shared" ref="DU63" si="1025">AVERAGE(CI63:CI67)*$CL63</f>
        <v>0</v>
      </c>
      <c r="DV63" s="159">
        <f t="shared" ref="DV63" si="1026">AVERAGE(CJ63:CJ67)*$CL63</f>
        <v>6.8258928571428577</v>
      </c>
      <c r="DX63" s="138">
        <f t="shared" ref="DX63:DX64" si="1027">P63/$E63</f>
        <v>0</v>
      </c>
      <c r="DY63" s="34">
        <f t="shared" ref="DY63:DY64" si="1028">Q63/$E63</f>
        <v>0</v>
      </c>
      <c r="DZ63" s="34">
        <f t="shared" ref="DZ63:DZ64" si="1029">R63/$E63</f>
        <v>0</v>
      </c>
      <c r="EA63" s="34">
        <f t="shared" ref="EA63:EA64" si="1030">S63/$E63</f>
        <v>0</v>
      </c>
      <c r="EB63" s="34">
        <f t="shared" ref="EB63:EB64" si="1031">T63/$E63</f>
        <v>0</v>
      </c>
      <c r="EC63" s="34">
        <f t="shared" ref="EC63:EC64" si="1032">U63/$E63</f>
        <v>0</v>
      </c>
      <c r="ED63" s="34">
        <f t="shared" ref="ED63:ED64" si="1033">V63/$E63</f>
        <v>0</v>
      </c>
      <c r="EE63" s="139">
        <f t="shared" ref="EE63:EE64" si="1034">W63/$E63</f>
        <v>0</v>
      </c>
      <c r="EF63" s="138">
        <f t="shared" ref="EF63:EF64" si="1035">X63/$E63</f>
        <v>0</v>
      </c>
      <c r="EG63" s="34">
        <f t="shared" ref="EG63:EG64" si="1036">Y63/$E63</f>
        <v>0</v>
      </c>
      <c r="EH63" s="34">
        <f t="shared" ref="EH63:EH64" si="1037">Z63/$E63</f>
        <v>0</v>
      </c>
      <c r="EI63" s="139">
        <f t="shared" ref="EI63:EI64" si="1038">AA63/$E63</f>
        <v>0</v>
      </c>
      <c r="EJ63" s="138">
        <f t="shared" ref="EJ63:EJ64" si="1039">AB63/$E63</f>
        <v>0</v>
      </c>
      <c r="EK63" s="34">
        <f t="shared" ref="EK63:EK64" si="1040">AC63/$E63</f>
        <v>0</v>
      </c>
      <c r="EL63" s="34">
        <f t="shared" ref="EL63:EL64" si="1041">AD63/$E63</f>
        <v>0</v>
      </c>
      <c r="EM63" s="34">
        <f t="shared" ref="EM63:EM64" si="1042">AE63/$E63</f>
        <v>0</v>
      </c>
      <c r="EN63" s="34">
        <f t="shared" ref="EN63:EN64" si="1043">AF63/$E63</f>
        <v>0</v>
      </c>
      <c r="EO63" s="139">
        <f t="shared" ref="EO63:EO64" si="1044">AG63/$E63</f>
        <v>0</v>
      </c>
      <c r="EP63" s="138">
        <f t="shared" ref="EP63:EP64" si="1045">AH63/$E63</f>
        <v>0</v>
      </c>
      <c r="EQ63" s="34">
        <f t="shared" ref="EQ63:EQ64" si="1046">AI63/$E63</f>
        <v>0</v>
      </c>
      <c r="ER63" s="34">
        <f t="shared" ref="ER63:ER64" si="1047">AJ63/$E63</f>
        <v>0</v>
      </c>
      <c r="ES63" s="34">
        <f t="shared" ref="ES63:ES64" si="1048">AK63/$E63</f>
        <v>0</v>
      </c>
      <c r="ET63" s="139">
        <f t="shared" ref="ET63:ET64" si="1049">AL63/$E63</f>
        <v>0</v>
      </c>
      <c r="EU63" s="138">
        <f t="shared" ref="EU63:EU64" si="1050">AM63/$E63</f>
        <v>0</v>
      </c>
      <c r="EV63" s="34">
        <f t="shared" ref="EV63:EV64" si="1051">AN63/$E63</f>
        <v>0</v>
      </c>
      <c r="EW63" s="34">
        <f t="shared" ref="EW63:EW64" si="1052">AO63/$E63</f>
        <v>0</v>
      </c>
      <c r="EX63" s="34">
        <f t="shared" ref="EX63:EX64" si="1053">AP63/$E63</f>
        <v>0</v>
      </c>
      <c r="EY63" s="34">
        <f t="shared" ref="EY63:EY64" si="1054">AQ63/$E63</f>
        <v>0</v>
      </c>
      <c r="EZ63" s="34">
        <f t="shared" ref="EZ63:EZ64" si="1055">AR63/$E63</f>
        <v>0.35714285714285715</v>
      </c>
      <c r="FA63" s="34">
        <f t="shared" ref="FA63:FA64" si="1056">AS63/$E63</f>
        <v>0</v>
      </c>
      <c r="FB63" s="34">
        <f t="shared" ref="FB63:FB64" si="1057">AT63/$E63</f>
        <v>0</v>
      </c>
      <c r="FC63" s="34">
        <f t="shared" ref="FC63:FC64" si="1058">AU63/$E63</f>
        <v>0</v>
      </c>
      <c r="FD63" s="34">
        <f t="shared" ref="FD63:FD64" si="1059">AV63/$E63</f>
        <v>0</v>
      </c>
      <c r="FE63" s="34">
        <f t="shared" ref="FE63:FE64" si="1060">AY63/$E63</f>
        <v>0</v>
      </c>
      <c r="FF63" s="139">
        <f t="shared" ref="FF63:FF64" si="1061">AZ63/$E63</f>
        <v>0.7142857142857143</v>
      </c>
    </row>
    <row r="64" spans="2:162" x14ac:dyDescent="0.25">
      <c r="B64" s="127">
        <f t="shared" ref="B64:B69" si="1062">B63+1</f>
        <v>45545</v>
      </c>
      <c r="C64" s="266"/>
      <c r="D64" s="53">
        <v>4</v>
      </c>
      <c r="E64" s="129">
        <v>4.2300000000000004</v>
      </c>
      <c r="F64" s="25"/>
      <c r="G64" s="25"/>
      <c r="H64" s="150">
        <v>4</v>
      </c>
      <c r="I64" s="24">
        <v>2</v>
      </c>
      <c r="J64" s="151">
        <f>3/6</f>
        <v>0.5</v>
      </c>
      <c r="K64" s="151"/>
      <c r="L64" s="152">
        <v>13.8</v>
      </c>
      <c r="M64" s="152">
        <f t="shared" si="956"/>
        <v>0</v>
      </c>
      <c r="N64" s="153">
        <f t="shared" si="957"/>
        <v>15.180000000000001</v>
      </c>
      <c r="O64" s="25"/>
      <c r="P64" s="95"/>
      <c r="Q64" s="41"/>
      <c r="R64" s="41"/>
      <c r="S64" s="41"/>
      <c r="T64" s="41"/>
      <c r="U64" s="41"/>
      <c r="V64" s="41"/>
      <c r="W64" s="42"/>
      <c r="X64" s="95"/>
      <c r="Y64" s="41"/>
      <c r="Z64" s="41"/>
      <c r="AA64" s="42"/>
      <c r="AB64" s="95"/>
      <c r="AC64" s="41"/>
      <c r="AD64" s="41"/>
      <c r="AE64" s="41"/>
      <c r="AF64" s="41"/>
      <c r="AG64" s="42"/>
      <c r="AH64" s="95"/>
      <c r="AI64" s="41"/>
      <c r="AJ64" s="41"/>
      <c r="AK64" s="41"/>
      <c r="AL64" s="42"/>
      <c r="AM64" s="95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2"/>
      <c r="BB64" s="95">
        <f t="shared" si="958"/>
        <v>0</v>
      </c>
      <c r="BC64" s="41">
        <f t="shared" si="959"/>
        <v>0</v>
      </c>
      <c r="BD64" s="41">
        <f t="shared" si="960"/>
        <v>0</v>
      </c>
      <c r="BE64" s="41">
        <f t="shared" si="961"/>
        <v>0</v>
      </c>
      <c r="BF64" s="41">
        <f t="shared" si="962"/>
        <v>0</v>
      </c>
      <c r="BG64" s="41">
        <f t="shared" si="963"/>
        <v>0</v>
      </c>
      <c r="BH64" s="41">
        <f t="shared" si="964"/>
        <v>0</v>
      </c>
      <c r="BI64" s="42">
        <f t="shared" si="965"/>
        <v>0</v>
      </c>
      <c r="BJ64" s="95">
        <f t="shared" si="966"/>
        <v>0</v>
      </c>
      <c r="BK64" s="41">
        <f t="shared" si="967"/>
        <v>0</v>
      </c>
      <c r="BL64" s="41">
        <f t="shared" si="968"/>
        <v>0</v>
      </c>
      <c r="BM64" s="42">
        <f t="shared" si="969"/>
        <v>0</v>
      </c>
      <c r="BN64" s="95">
        <f t="shared" si="970"/>
        <v>0</v>
      </c>
      <c r="BO64" s="41">
        <f t="shared" si="971"/>
        <v>0</v>
      </c>
      <c r="BP64" s="41">
        <f t="shared" si="972"/>
        <v>0</v>
      </c>
      <c r="BQ64" s="41">
        <f t="shared" si="973"/>
        <v>0</v>
      </c>
      <c r="BR64" s="41">
        <f t="shared" si="974"/>
        <v>0</v>
      </c>
      <c r="BS64" s="42">
        <f t="shared" si="975"/>
        <v>0</v>
      </c>
      <c r="BT64" s="95">
        <f t="shared" si="976"/>
        <v>0</v>
      </c>
      <c r="BU64" s="41">
        <f t="shared" si="977"/>
        <v>0</v>
      </c>
      <c r="BV64" s="41">
        <f t="shared" si="978"/>
        <v>0</v>
      </c>
      <c r="BW64" s="41">
        <f t="shared" si="979"/>
        <v>0</v>
      </c>
      <c r="BX64" s="42">
        <f t="shared" si="980"/>
        <v>0</v>
      </c>
      <c r="BY64" s="95">
        <f t="shared" si="981"/>
        <v>0</v>
      </c>
      <c r="BZ64" s="41">
        <f t="shared" si="982"/>
        <v>0</v>
      </c>
      <c r="CA64" s="41">
        <f t="shared" si="983"/>
        <v>0</v>
      </c>
      <c r="CB64" s="41">
        <f t="shared" si="984"/>
        <v>0</v>
      </c>
      <c r="CC64" s="41">
        <f t="shared" si="985"/>
        <v>0</v>
      </c>
      <c r="CD64" s="41">
        <f t="shared" si="986"/>
        <v>0</v>
      </c>
      <c r="CE64" s="41">
        <f t="shared" si="987"/>
        <v>0</v>
      </c>
      <c r="CF64" s="41">
        <f t="shared" si="988"/>
        <v>0</v>
      </c>
      <c r="CG64" s="41">
        <f t="shared" si="989"/>
        <v>0</v>
      </c>
      <c r="CH64" s="41">
        <f t="shared" si="990"/>
        <v>0</v>
      </c>
      <c r="CI64" s="41">
        <f t="shared" si="991"/>
        <v>0</v>
      </c>
      <c r="CJ64" s="42">
        <f t="shared" si="992"/>
        <v>0</v>
      </c>
      <c r="CL64" s="36"/>
      <c r="CN64" s="95"/>
      <c r="CO64" s="41"/>
      <c r="CP64" s="41"/>
      <c r="CQ64" s="41"/>
      <c r="CR64" s="41"/>
      <c r="CS64" s="41"/>
      <c r="CT64" s="41"/>
      <c r="CU64" s="42"/>
      <c r="CV64" s="95"/>
      <c r="CW64" s="41"/>
      <c r="CX64" s="41"/>
      <c r="CY64" s="42"/>
      <c r="CZ64" s="95"/>
      <c r="DA64" s="41"/>
      <c r="DB64" s="41"/>
      <c r="DC64" s="41"/>
      <c r="DD64" s="41"/>
      <c r="DE64" s="42"/>
      <c r="DF64" s="95"/>
      <c r="DG64" s="41"/>
      <c r="DH64" s="41"/>
      <c r="DI64" s="41"/>
      <c r="DJ64" s="42"/>
      <c r="DK64" s="95"/>
      <c r="DL64" s="41"/>
      <c r="DM64" s="41"/>
      <c r="DN64" s="41"/>
      <c r="DO64" s="41"/>
      <c r="DP64" s="41"/>
      <c r="DQ64" s="41"/>
      <c r="DR64" s="41"/>
      <c r="DS64" s="41"/>
      <c r="DT64" s="41"/>
      <c r="DU64" s="41"/>
      <c r="DV64" s="42"/>
      <c r="DX64" s="138">
        <f t="shared" si="1027"/>
        <v>0</v>
      </c>
      <c r="DY64" s="34">
        <f t="shared" si="1028"/>
        <v>0</v>
      </c>
      <c r="DZ64" s="34">
        <f t="shared" si="1029"/>
        <v>0</v>
      </c>
      <c r="EA64" s="34">
        <f t="shared" si="1030"/>
        <v>0</v>
      </c>
      <c r="EB64" s="34">
        <f t="shared" si="1031"/>
        <v>0</v>
      </c>
      <c r="EC64" s="34">
        <f t="shared" si="1032"/>
        <v>0</v>
      </c>
      <c r="ED64" s="34">
        <f t="shared" si="1033"/>
        <v>0</v>
      </c>
      <c r="EE64" s="139">
        <f t="shared" si="1034"/>
        <v>0</v>
      </c>
      <c r="EF64" s="138">
        <f t="shared" si="1035"/>
        <v>0</v>
      </c>
      <c r="EG64" s="34">
        <f t="shared" si="1036"/>
        <v>0</v>
      </c>
      <c r="EH64" s="34">
        <f t="shared" si="1037"/>
        <v>0</v>
      </c>
      <c r="EI64" s="139">
        <f t="shared" si="1038"/>
        <v>0</v>
      </c>
      <c r="EJ64" s="138">
        <f t="shared" si="1039"/>
        <v>0</v>
      </c>
      <c r="EK64" s="34">
        <f t="shared" si="1040"/>
        <v>0</v>
      </c>
      <c r="EL64" s="34">
        <f t="shared" si="1041"/>
        <v>0</v>
      </c>
      <c r="EM64" s="34">
        <f t="shared" si="1042"/>
        <v>0</v>
      </c>
      <c r="EN64" s="34">
        <f t="shared" si="1043"/>
        <v>0</v>
      </c>
      <c r="EO64" s="139">
        <f t="shared" si="1044"/>
        <v>0</v>
      </c>
      <c r="EP64" s="138">
        <f t="shared" si="1045"/>
        <v>0</v>
      </c>
      <c r="EQ64" s="34">
        <f t="shared" si="1046"/>
        <v>0</v>
      </c>
      <c r="ER64" s="34">
        <f t="shared" si="1047"/>
        <v>0</v>
      </c>
      <c r="ES64" s="34">
        <f t="shared" si="1048"/>
        <v>0</v>
      </c>
      <c r="ET64" s="139">
        <f t="shared" si="1049"/>
        <v>0</v>
      </c>
      <c r="EU64" s="138">
        <f t="shared" si="1050"/>
        <v>0</v>
      </c>
      <c r="EV64" s="34">
        <f t="shared" si="1051"/>
        <v>0</v>
      </c>
      <c r="EW64" s="34">
        <f t="shared" si="1052"/>
        <v>0</v>
      </c>
      <c r="EX64" s="34">
        <f t="shared" si="1053"/>
        <v>0</v>
      </c>
      <c r="EY64" s="34">
        <f t="shared" si="1054"/>
        <v>0</v>
      </c>
      <c r="EZ64" s="34">
        <f t="shared" si="1055"/>
        <v>0</v>
      </c>
      <c r="FA64" s="34">
        <f t="shared" si="1056"/>
        <v>0</v>
      </c>
      <c r="FB64" s="34">
        <f t="shared" si="1057"/>
        <v>0</v>
      </c>
      <c r="FC64" s="34">
        <f t="shared" si="1058"/>
        <v>0</v>
      </c>
      <c r="FD64" s="34">
        <f t="shared" si="1059"/>
        <v>0</v>
      </c>
      <c r="FE64" s="34">
        <f t="shared" si="1060"/>
        <v>0</v>
      </c>
      <c r="FF64" s="139">
        <f t="shared" si="1061"/>
        <v>0</v>
      </c>
    </row>
    <row r="65" spans="2:162" x14ac:dyDescent="0.25">
      <c r="B65" s="127">
        <f t="shared" si="1062"/>
        <v>45546</v>
      </c>
      <c r="C65" s="266"/>
      <c r="D65" s="53">
        <v>2</v>
      </c>
      <c r="E65" s="129">
        <v>4.66</v>
      </c>
      <c r="F65" s="25"/>
      <c r="G65" s="25"/>
      <c r="H65" s="150">
        <v>2</v>
      </c>
      <c r="I65" s="24">
        <v>2</v>
      </c>
      <c r="J65" s="151">
        <f>3/4</f>
        <v>0.75</v>
      </c>
      <c r="K65" s="151"/>
      <c r="L65" s="152">
        <v>13.8</v>
      </c>
      <c r="M65" s="152">
        <f t="shared" ref="M65:M69" si="1063">H65/I65*K65*L65*1.5</f>
        <v>0</v>
      </c>
      <c r="N65" s="153">
        <f t="shared" ref="N65:N69" si="1064">H65/I65*J65*L65*N$4</f>
        <v>11.385000000000003</v>
      </c>
      <c r="O65" s="25"/>
      <c r="P65" s="95"/>
      <c r="Q65" s="41"/>
      <c r="R65" s="41"/>
      <c r="S65" s="41"/>
      <c r="T65" s="41"/>
      <c r="U65" s="41"/>
      <c r="V65" s="41"/>
      <c r="W65" s="42"/>
      <c r="X65" s="95"/>
      <c r="Y65" s="41"/>
      <c r="Z65" s="41"/>
      <c r="AA65" s="42"/>
      <c r="AB65" s="95"/>
      <c r="AC65" s="41"/>
      <c r="AD65" s="41"/>
      <c r="AE65" s="41"/>
      <c r="AF65" s="41"/>
      <c r="AG65" s="42"/>
      <c r="AH65" s="95"/>
      <c r="AI65" s="41"/>
      <c r="AJ65" s="41"/>
      <c r="AK65" s="41"/>
      <c r="AL65" s="42"/>
      <c r="AM65" s="95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2"/>
      <c r="BB65" s="95">
        <f t="shared" ref="BB65:BB69" si="1065">$N65*DX65</f>
        <v>0</v>
      </c>
      <c r="BC65" s="41">
        <f t="shared" ref="BC65:BC69" si="1066">$N65*DY65</f>
        <v>0</v>
      </c>
      <c r="BD65" s="41">
        <f t="shared" ref="BD65:BD69" si="1067">$N65*DZ65</f>
        <v>0</v>
      </c>
      <c r="BE65" s="41">
        <f t="shared" ref="BE65:BE69" si="1068">$N65*EA65</f>
        <v>0</v>
      </c>
      <c r="BF65" s="41">
        <f t="shared" ref="BF65:BF69" si="1069">$N65*EB65</f>
        <v>0</v>
      </c>
      <c r="BG65" s="41">
        <f t="shared" ref="BG65:BG69" si="1070">$N65*EC65</f>
        <v>0</v>
      </c>
      <c r="BH65" s="41">
        <f t="shared" ref="BH65:BH69" si="1071">$N65*ED65</f>
        <v>0</v>
      </c>
      <c r="BI65" s="42">
        <f t="shared" ref="BI65:BI69" si="1072">$N65*EE65</f>
        <v>0</v>
      </c>
      <c r="BJ65" s="95">
        <f t="shared" ref="BJ65:BJ69" si="1073">$N65*EF65</f>
        <v>0</v>
      </c>
      <c r="BK65" s="41">
        <f t="shared" ref="BK65:BK69" si="1074">$N65*EG65</f>
        <v>0</v>
      </c>
      <c r="BL65" s="41">
        <f t="shared" ref="BL65:BL69" si="1075">$N65*EH65</f>
        <v>0</v>
      </c>
      <c r="BM65" s="42">
        <f t="shared" ref="BM65:BM69" si="1076">$N65*EI65</f>
        <v>0</v>
      </c>
      <c r="BN65" s="95">
        <f t="shared" ref="BN65:BN69" si="1077">$N65*EJ65</f>
        <v>0</v>
      </c>
      <c r="BO65" s="41">
        <f t="shared" ref="BO65:BO69" si="1078">$N65*EK65</f>
        <v>0</v>
      </c>
      <c r="BP65" s="41">
        <f t="shared" ref="BP65:BP69" si="1079">$N65*EL65</f>
        <v>0</v>
      </c>
      <c r="BQ65" s="41">
        <f t="shared" ref="BQ65:BQ69" si="1080">$N65*EM65</f>
        <v>0</v>
      </c>
      <c r="BR65" s="41">
        <f t="shared" ref="BR65:BR69" si="1081">$N65*EN65</f>
        <v>0</v>
      </c>
      <c r="BS65" s="42">
        <f t="shared" ref="BS65:BS69" si="1082">$N65*EO65</f>
        <v>0</v>
      </c>
      <c r="BT65" s="95">
        <f t="shared" ref="BT65:BT69" si="1083">$N65*EP65</f>
        <v>0</v>
      </c>
      <c r="BU65" s="41">
        <f t="shared" ref="BU65:BU69" si="1084">$N65*EQ65</f>
        <v>0</v>
      </c>
      <c r="BV65" s="41">
        <f t="shared" ref="BV65:BV69" si="1085">$N65*ER65</f>
        <v>0</v>
      </c>
      <c r="BW65" s="41">
        <f t="shared" ref="BW65:BW69" si="1086">$N65*ES65</f>
        <v>0</v>
      </c>
      <c r="BX65" s="42">
        <f t="shared" ref="BX65:BX69" si="1087">$N65*ET65</f>
        <v>0</v>
      </c>
      <c r="BY65" s="95">
        <f t="shared" ref="BY65:BY69" si="1088">$N65*EU65</f>
        <v>0</v>
      </c>
      <c r="BZ65" s="41">
        <f t="shared" ref="BZ65:BZ69" si="1089">$N65*EV65</f>
        <v>0</v>
      </c>
      <c r="CA65" s="41">
        <f t="shared" ref="CA65:CA69" si="1090">$N65*EW65</f>
        <v>0</v>
      </c>
      <c r="CB65" s="41">
        <f t="shared" ref="CB65:CB69" si="1091">$N65*EX65</f>
        <v>0</v>
      </c>
      <c r="CC65" s="41">
        <f t="shared" ref="CC65:CC69" si="1092">$N65*EY65</f>
        <v>0</v>
      </c>
      <c r="CD65" s="41">
        <f t="shared" ref="CD65:CD69" si="1093">$N65*EZ65</f>
        <v>0</v>
      </c>
      <c r="CE65" s="41">
        <f t="shared" ref="CE65:CE69" si="1094">$N65*FA65</f>
        <v>0</v>
      </c>
      <c r="CF65" s="41">
        <f t="shared" ref="CF65:CF69" si="1095">$N65*FB65</f>
        <v>0</v>
      </c>
      <c r="CG65" s="41">
        <f t="shared" ref="CG65:CG69" si="1096">$N65*FC65</f>
        <v>0</v>
      </c>
      <c r="CH65" s="41">
        <f t="shared" ref="CH65:CH69" si="1097">$N65*FD65</f>
        <v>0</v>
      </c>
      <c r="CI65" s="41">
        <f t="shared" ref="CI65:CI69" si="1098">$N65*FE65</f>
        <v>0</v>
      </c>
      <c r="CJ65" s="42">
        <f t="shared" ref="CJ65:CJ69" si="1099">$N65*FF65</f>
        <v>0</v>
      </c>
      <c r="CL65" s="36"/>
      <c r="CN65" s="95"/>
      <c r="CO65" s="41"/>
      <c r="CP65" s="41"/>
      <c r="CQ65" s="41"/>
      <c r="CR65" s="41"/>
      <c r="CS65" s="41"/>
      <c r="CT65" s="41"/>
      <c r="CU65" s="42"/>
      <c r="CV65" s="95"/>
      <c r="CW65" s="41"/>
      <c r="CX65" s="41"/>
      <c r="CY65" s="42"/>
      <c r="CZ65" s="95"/>
      <c r="DA65" s="41"/>
      <c r="DB65" s="41"/>
      <c r="DC65" s="41"/>
      <c r="DD65" s="41"/>
      <c r="DE65" s="42"/>
      <c r="DF65" s="95"/>
      <c r="DG65" s="41"/>
      <c r="DH65" s="41"/>
      <c r="DI65" s="41"/>
      <c r="DJ65" s="42"/>
      <c r="DK65" s="95"/>
      <c r="DL65" s="41"/>
      <c r="DM65" s="41"/>
      <c r="DN65" s="41"/>
      <c r="DO65" s="41"/>
      <c r="DP65" s="41"/>
      <c r="DQ65" s="41"/>
      <c r="DR65" s="41"/>
      <c r="DS65" s="41"/>
      <c r="DT65" s="41"/>
      <c r="DU65" s="41"/>
      <c r="DV65" s="42"/>
      <c r="DX65" s="138">
        <f t="shared" ref="DX65:DX69" si="1100">P65/$E65</f>
        <v>0</v>
      </c>
      <c r="DY65" s="34">
        <f t="shared" ref="DY65:DY69" si="1101">Q65/$E65</f>
        <v>0</v>
      </c>
      <c r="DZ65" s="34">
        <f t="shared" ref="DZ65:DZ69" si="1102">R65/$E65</f>
        <v>0</v>
      </c>
      <c r="EA65" s="34">
        <f t="shared" ref="EA65:EA69" si="1103">S65/$E65</f>
        <v>0</v>
      </c>
      <c r="EB65" s="34">
        <f t="shared" ref="EB65:EB69" si="1104">T65/$E65</f>
        <v>0</v>
      </c>
      <c r="EC65" s="34">
        <f t="shared" ref="EC65:EC69" si="1105">U65/$E65</f>
        <v>0</v>
      </c>
      <c r="ED65" s="34">
        <f t="shared" ref="ED65:ED69" si="1106">V65/$E65</f>
        <v>0</v>
      </c>
      <c r="EE65" s="139">
        <f t="shared" ref="EE65:EE69" si="1107">W65/$E65</f>
        <v>0</v>
      </c>
      <c r="EF65" s="138">
        <f t="shared" ref="EF65:EF69" si="1108">X65/$E65</f>
        <v>0</v>
      </c>
      <c r="EG65" s="34">
        <f t="shared" ref="EG65:EG69" si="1109">Y65/$E65</f>
        <v>0</v>
      </c>
      <c r="EH65" s="34">
        <f t="shared" ref="EH65:EH69" si="1110">Z65/$E65</f>
        <v>0</v>
      </c>
      <c r="EI65" s="139">
        <f t="shared" ref="EI65:EI69" si="1111">AA65/$E65</f>
        <v>0</v>
      </c>
      <c r="EJ65" s="138">
        <f t="shared" ref="EJ65:EJ69" si="1112">AB65/$E65</f>
        <v>0</v>
      </c>
      <c r="EK65" s="34">
        <f t="shared" ref="EK65:EK69" si="1113">AC65/$E65</f>
        <v>0</v>
      </c>
      <c r="EL65" s="34">
        <f t="shared" ref="EL65:EL69" si="1114">AD65/$E65</f>
        <v>0</v>
      </c>
      <c r="EM65" s="34">
        <f t="shared" ref="EM65:EM69" si="1115">AE65/$E65</f>
        <v>0</v>
      </c>
      <c r="EN65" s="34">
        <f t="shared" ref="EN65:EN69" si="1116">AF65/$E65</f>
        <v>0</v>
      </c>
      <c r="EO65" s="139">
        <f t="shared" ref="EO65:EO69" si="1117">AG65/$E65</f>
        <v>0</v>
      </c>
      <c r="EP65" s="138">
        <f t="shared" ref="EP65:EP69" si="1118">AH65/$E65</f>
        <v>0</v>
      </c>
      <c r="EQ65" s="34">
        <f t="shared" ref="EQ65:EQ69" si="1119">AI65/$E65</f>
        <v>0</v>
      </c>
      <c r="ER65" s="34">
        <f t="shared" ref="ER65:ER69" si="1120">AJ65/$E65</f>
        <v>0</v>
      </c>
      <c r="ES65" s="34">
        <f t="shared" ref="ES65:ES69" si="1121">AK65/$E65</f>
        <v>0</v>
      </c>
      <c r="ET65" s="139">
        <f t="shared" ref="ET65:ET69" si="1122">AL65/$E65</f>
        <v>0</v>
      </c>
      <c r="EU65" s="138">
        <f t="shared" ref="EU65:EU69" si="1123">AM65/$E65</f>
        <v>0</v>
      </c>
      <c r="EV65" s="34">
        <f t="shared" ref="EV65:EV69" si="1124">AN65/$E65</f>
        <v>0</v>
      </c>
      <c r="EW65" s="34">
        <f t="shared" ref="EW65:EW69" si="1125">AO65/$E65</f>
        <v>0</v>
      </c>
      <c r="EX65" s="34">
        <f t="shared" ref="EX65:EX69" si="1126">AP65/$E65</f>
        <v>0</v>
      </c>
      <c r="EY65" s="34">
        <f t="shared" ref="EY65:EY69" si="1127">AQ65/$E65</f>
        <v>0</v>
      </c>
      <c r="EZ65" s="34">
        <f t="shared" ref="EZ65:EZ69" si="1128">AR65/$E65</f>
        <v>0</v>
      </c>
      <c r="FA65" s="34">
        <f t="shared" ref="FA65:FA69" si="1129">AS65/$E65</f>
        <v>0</v>
      </c>
      <c r="FB65" s="34">
        <f t="shared" ref="FB65:FB69" si="1130">AT65/$E65</f>
        <v>0</v>
      </c>
      <c r="FC65" s="34">
        <f t="shared" ref="FC65:FC69" si="1131">AU65/$E65</f>
        <v>0</v>
      </c>
      <c r="FD65" s="34">
        <f t="shared" ref="FD65:FD69" si="1132">AV65/$E65</f>
        <v>0</v>
      </c>
      <c r="FE65" s="34">
        <f t="shared" ref="FE65:FE69" si="1133">AY65/$E65</f>
        <v>0</v>
      </c>
      <c r="FF65" s="139">
        <f t="shared" ref="FF65:FF69" si="1134">AZ65/$E65</f>
        <v>0</v>
      </c>
    </row>
    <row r="66" spans="2:162" x14ac:dyDescent="0.25">
      <c r="B66" s="127">
        <f t="shared" si="1062"/>
        <v>45547</v>
      </c>
      <c r="C66" s="266"/>
      <c r="D66" s="53"/>
      <c r="E66" s="129"/>
      <c r="F66" s="25"/>
      <c r="G66" s="25"/>
      <c r="H66" s="150"/>
      <c r="I66" s="24"/>
      <c r="J66" s="151"/>
      <c r="K66" s="151"/>
      <c r="L66" s="152"/>
      <c r="M66" s="152"/>
      <c r="N66" s="153"/>
      <c r="O66" s="25"/>
      <c r="P66" s="95"/>
      <c r="Q66" s="41"/>
      <c r="R66" s="41"/>
      <c r="S66" s="41"/>
      <c r="T66" s="41"/>
      <c r="U66" s="41"/>
      <c r="V66" s="41"/>
      <c r="W66" s="42"/>
      <c r="X66" s="95"/>
      <c r="Y66" s="41"/>
      <c r="Z66" s="41"/>
      <c r="AA66" s="42"/>
      <c r="AB66" s="95"/>
      <c r="AC66" s="41"/>
      <c r="AD66" s="41"/>
      <c r="AE66" s="41"/>
      <c r="AF66" s="41"/>
      <c r="AG66" s="42"/>
      <c r="AH66" s="95"/>
      <c r="AI66" s="41"/>
      <c r="AJ66" s="41"/>
      <c r="AK66" s="41"/>
      <c r="AL66" s="42"/>
      <c r="AM66" s="95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2"/>
      <c r="BB66" s="95"/>
      <c r="BC66" s="41"/>
      <c r="BD66" s="41"/>
      <c r="BE66" s="41"/>
      <c r="BF66" s="41"/>
      <c r="BG66" s="41"/>
      <c r="BH66" s="41"/>
      <c r="BI66" s="42"/>
      <c r="BJ66" s="95"/>
      <c r="BK66" s="41"/>
      <c r="BL66" s="41"/>
      <c r="BM66" s="42"/>
      <c r="BN66" s="95"/>
      <c r="BO66" s="41"/>
      <c r="BP66" s="41"/>
      <c r="BQ66" s="41"/>
      <c r="BR66" s="41"/>
      <c r="BS66" s="42"/>
      <c r="BT66" s="95"/>
      <c r="BU66" s="41"/>
      <c r="BV66" s="41"/>
      <c r="BW66" s="41"/>
      <c r="BX66" s="42"/>
      <c r="BY66" s="95"/>
      <c r="BZ66" s="41"/>
      <c r="CA66" s="41"/>
      <c r="CB66" s="41"/>
      <c r="CC66" s="41"/>
      <c r="CD66" s="41"/>
      <c r="CE66" s="41"/>
      <c r="CF66" s="41"/>
      <c r="CG66" s="41"/>
      <c r="CH66" s="41"/>
      <c r="CI66" s="41"/>
      <c r="CJ66" s="42"/>
      <c r="CL66" s="36"/>
      <c r="CN66" s="95"/>
      <c r="CO66" s="41"/>
      <c r="CP66" s="41"/>
      <c r="CQ66" s="41"/>
      <c r="CR66" s="41"/>
      <c r="CS66" s="41"/>
      <c r="CT66" s="41"/>
      <c r="CU66" s="42"/>
      <c r="CV66" s="95"/>
      <c r="CW66" s="41"/>
      <c r="CX66" s="41"/>
      <c r="CY66" s="42"/>
      <c r="CZ66" s="95"/>
      <c r="DA66" s="41"/>
      <c r="DB66" s="41"/>
      <c r="DC66" s="41"/>
      <c r="DD66" s="41"/>
      <c r="DE66" s="42"/>
      <c r="DF66" s="95"/>
      <c r="DG66" s="41"/>
      <c r="DH66" s="41"/>
      <c r="DI66" s="41"/>
      <c r="DJ66" s="42"/>
      <c r="DK66" s="95"/>
      <c r="DL66" s="41"/>
      <c r="DM66" s="41"/>
      <c r="DN66" s="41"/>
      <c r="DO66" s="41"/>
      <c r="DP66" s="41"/>
      <c r="DQ66" s="41"/>
      <c r="DR66" s="41"/>
      <c r="DS66" s="41"/>
      <c r="DT66" s="41"/>
      <c r="DU66" s="41"/>
      <c r="DV66" s="42"/>
      <c r="DX66" s="241">
        <v>0</v>
      </c>
      <c r="DY66" s="242">
        <v>0</v>
      </c>
      <c r="DZ66" s="242">
        <v>0</v>
      </c>
      <c r="EA66" s="242">
        <v>0</v>
      </c>
      <c r="EB66" s="242">
        <v>0</v>
      </c>
      <c r="EC66" s="242">
        <v>0</v>
      </c>
      <c r="ED66" s="242">
        <v>0</v>
      </c>
      <c r="EE66" s="242">
        <v>0</v>
      </c>
      <c r="EF66" s="242">
        <v>0</v>
      </c>
      <c r="EG66" s="242">
        <v>0</v>
      </c>
      <c r="EH66" s="242">
        <v>0</v>
      </c>
      <c r="EI66" s="242">
        <v>0</v>
      </c>
      <c r="EJ66" s="242">
        <v>0</v>
      </c>
      <c r="EK66" s="242">
        <v>0</v>
      </c>
      <c r="EL66" s="242">
        <v>0</v>
      </c>
      <c r="EM66" s="242">
        <v>0</v>
      </c>
      <c r="EN66" s="242">
        <v>0</v>
      </c>
      <c r="EO66" s="242">
        <v>0</v>
      </c>
      <c r="EP66" s="242">
        <v>0</v>
      </c>
      <c r="EQ66" s="242">
        <v>0</v>
      </c>
      <c r="ER66" s="242">
        <v>0</v>
      </c>
      <c r="ES66" s="242">
        <v>0</v>
      </c>
      <c r="ET66" s="242">
        <v>0</v>
      </c>
      <c r="EU66" s="242">
        <v>0</v>
      </c>
      <c r="EV66" s="242">
        <v>0</v>
      </c>
      <c r="EW66" s="242">
        <v>0</v>
      </c>
      <c r="EX66" s="242">
        <v>0</v>
      </c>
      <c r="EY66" s="242">
        <v>0</v>
      </c>
      <c r="EZ66" s="242">
        <v>0</v>
      </c>
      <c r="FA66" s="242">
        <v>0</v>
      </c>
      <c r="FB66" s="242">
        <v>0</v>
      </c>
      <c r="FC66" s="242">
        <v>0</v>
      </c>
      <c r="FD66" s="242">
        <v>0</v>
      </c>
      <c r="FE66" s="242">
        <v>0</v>
      </c>
      <c r="FF66" s="242">
        <v>0</v>
      </c>
    </row>
    <row r="67" spans="2:162" x14ac:dyDescent="0.25">
      <c r="B67" s="127">
        <f t="shared" si="1062"/>
        <v>45548</v>
      </c>
      <c r="C67" s="266"/>
      <c r="D67" s="53"/>
      <c r="E67" s="129"/>
      <c r="F67" s="25"/>
      <c r="G67" s="25"/>
      <c r="H67" s="150"/>
      <c r="I67" s="24"/>
      <c r="J67" s="151"/>
      <c r="K67" s="151"/>
      <c r="L67" s="152"/>
      <c r="M67" s="152"/>
      <c r="N67" s="153"/>
      <c r="O67" s="25"/>
      <c r="P67" s="95"/>
      <c r="Q67" s="41"/>
      <c r="R67" s="41"/>
      <c r="S67" s="41"/>
      <c r="T67" s="41"/>
      <c r="U67" s="41"/>
      <c r="V67" s="41"/>
      <c r="W67" s="42"/>
      <c r="X67" s="95"/>
      <c r="Y67" s="41"/>
      <c r="Z67" s="41"/>
      <c r="AA67" s="42"/>
      <c r="AB67" s="95"/>
      <c r="AC67" s="41"/>
      <c r="AD67" s="41"/>
      <c r="AE67" s="41"/>
      <c r="AF67" s="41"/>
      <c r="AG67" s="42"/>
      <c r="AH67" s="95"/>
      <c r="AI67" s="41"/>
      <c r="AJ67" s="41"/>
      <c r="AK67" s="41"/>
      <c r="AL67" s="42"/>
      <c r="AM67" s="95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2"/>
      <c r="BB67" s="95"/>
      <c r="BC67" s="41"/>
      <c r="BD67" s="41"/>
      <c r="BE67" s="41"/>
      <c r="BF67" s="41"/>
      <c r="BG67" s="41"/>
      <c r="BH67" s="41"/>
      <c r="BI67" s="42"/>
      <c r="BJ67" s="95"/>
      <c r="BK67" s="41"/>
      <c r="BL67" s="41"/>
      <c r="BM67" s="42"/>
      <c r="BN67" s="95"/>
      <c r="BO67" s="41"/>
      <c r="BP67" s="41"/>
      <c r="BQ67" s="41"/>
      <c r="BR67" s="41"/>
      <c r="BS67" s="42"/>
      <c r="BT67" s="95"/>
      <c r="BU67" s="41"/>
      <c r="BV67" s="41"/>
      <c r="BW67" s="41"/>
      <c r="BX67" s="42"/>
      <c r="BY67" s="95"/>
      <c r="BZ67" s="41"/>
      <c r="CA67" s="41"/>
      <c r="CB67" s="41"/>
      <c r="CC67" s="41"/>
      <c r="CD67" s="41"/>
      <c r="CE67" s="41"/>
      <c r="CF67" s="41"/>
      <c r="CG67" s="41"/>
      <c r="CH67" s="41"/>
      <c r="CI67" s="41"/>
      <c r="CJ67" s="42"/>
      <c r="CL67" s="36"/>
      <c r="CN67" s="95"/>
      <c r="CO67" s="41"/>
      <c r="CP67" s="41"/>
      <c r="CQ67" s="41"/>
      <c r="CR67" s="41"/>
      <c r="CS67" s="41"/>
      <c r="CT67" s="41"/>
      <c r="CU67" s="42"/>
      <c r="CV67" s="95"/>
      <c r="CW67" s="41"/>
      <c r="CX67" s="41"/>
      <c r="CY67" s="42"/>
      <c r="CZ67" s="95"/>
      <c r="DA67" s="41"/>
      <c r="DB67" s="41"/>
      <c r="DC67" s="41"/>
      <c r="DD67" s="41"/>
      <c r="DE67" s="42"/>
      <c r="DF67" s="95"/>
      <c r="DG67" s="41"/>
      <c r="DH67" s="41"/>
      <c r="DI67" s="41"/>
      <c r="DJ67" s="42"/>
      <c r="DK67" s="95"/>
      <c r="DL67" s="41"/>
      <c r="DM67" s="41"/>
      <c r="DN67" s="41"/>
      <c r="DO67" s="41"/>
      <c r="DP67" s="41"/>
      <c r="DQ67" s="41"/>
      <c r="DR67" s="41"/>
      <c r="DS67" s="41"/>
      <c r="DT67" s="41"/>
      <c r="DU67" s="41"/>
      <c r="DV67" s="42"/>
      <c r="DX67" s="138"/>
      <c r="DY67" s="34"/>
      <c r="DZ67" s="34"/>
      <c r="EA67" s="34"/>
      <c r="EB67" s="34"/>
      <c r="EC67" s="34"/>
      <c r="ED67" s="34"/>
      <c r="EE67" s="139"/>
      <c r="EF67" s="138"/>
      <c r="EG67" s="34"/>
      <c r="EH67" s="34"/>
      <c r="EI67" s="139"/>
      <c r="EJ67" s="138"/>
      <c r="EK67" s="34"/>
      <c r="EL67" s="34"/>
      <c r="EM67" s="34"/>
      <c r="EN67" s="34"/>
      <c r="EO67" s="139"/>
      <c r="EP67" s="138"/>
      <c r="EQ67" s="34"/>
      <c r="ER67" s="34"/>
      <c r="ES67" s="34"/>
      <c r="ET67" s="139"/>
      <c r="EU67" s="138"/>
      <c r="EV67" s="34"/>
      <c r="EW67" s="34"/>
      <c r="EX67" s="34"/>
      <c r="EY67" s="34"/>
      <c r="EZ67" s="34"/>
      <c r="FA67" s="34"/>
      <c r="FB67" s="34"/>
      <c r="FC67" s="34"/>
      <c r="FD67" s="34"/>
      <c r="FE67" s="34"/>
      <c r="FF67" s="139"/>
    </row>
    <row r="68" spans="2:162" x14ac:dyDescent="0.25">
      <c r="B68" s="127">
        <f t="shared" si="1062"/>
        <v>45549</v>
      </c>
      <c r="C68" s="266"/>
      <c r="D68" s="53">
        <v>10</v>
      </c>
      <c r="E68" s="129">
        <v>14.79</v>
      </c>
      <c r="F68" s="25"/>
      <c r="G68" s="25"/>
      <c r="H68" s="150">
        <v>10</v>
      </c>
      <c r="I68" s="24">
        <v>2</v>
      </c>
      <c r="J68" s="151">
        <f>9/10</f>
        <v>0.9</v>
      </c>
      <c r="K68" s="151"/>
      <c r="L68" s="152">
        <v>13.6</v>
      </c>
      <c r="M68" s="152">
        <f t="shared" si="1063"/>
        <v>0</v>
      </c>
      <c r="N68" s="153">
        <f t="shared" si="1064"/>
        <v>67.320000000000007</v>
      </c>
      <c r="O68" s="25"/>
      <c r="P68" s="95"/>
      <c r="Q68" s="41"/>
      <c r="R68" s="41"/>
      <c r="S68" s="41"/>
      <c r="T68" s="41"/>
      <c r="U68" s="41"/>
      <c r="V68" s="41"/>
      <c r="W68" s="42"/>
      <c r="X68" s="95"/>
      <c r="Y68" s="41"/>
      <c r="Z68" s="41"/>
      <c r="AA68" s="42"/>
      <c r="AB68" s="95"/>
      <c r="AC68" s="41"/>
      <c r="AD68" s="41"/>
      <c r="AE68" s="41"/>
      <c r="AF68" s="41"/>
      <c r="AG68" s="42"/>
      <c r="AH68" s="95"/>
      <c r="AI68" s="41"/>
      <c r="AJ68" s="41"/>
      <c r="AK68" s="41"/>
      <c r="AL68" s="42"/>
      <c r="AM68" s="95"/>
      <c r="AN68" s="41"/>
      <c r="AO68" s="41"/>
      <c r="AP68" s="41"/>
      <c r="AQ68" s="41"/>
      <c r="AR68" s="41">
        <v>2</v>
      </c>
      <c r="AS68" s="41"/>
      <c r="AT68" s="41"/>
      <c r="AU68" s="41"/>
      <c r="AV68" s="41"/>
      <c r="AW68" s="41"/>
      <c r="AX68" s="41"/>
      <c r="AY68" s="41"/>
      <c r="AZ68" s="42"/>
      <c r="BB68" s="95">
        <f t="shared" si="1065"/>
        <v>0</v>
      </c>
      <c r="BC68" s="41">
        <f t="shared" si="1066"/>
        <v>0</v>
      </c>
      <c r="BD68" s="41">
        <f t="shared" si="1067"/>
        <v>0</v>
      </c>
      <c r="BE68" s="41">
        <f t="shared" si="1068"/>
        <v>0</v>
      </c>
      <c r="BF68" s="41">
        <f t="shared" si="1069"/>
        <v>0</v>
      </c>
      <c r="BG68" s="41">
        <f t="shared" si="1070"/>
        <v>0</v>
      </c>
      <c r="BH68" s="41">
        <f t="shared" si="1071"/>
        <v>0</v>
      </c>
      <c r="BI68" s="42">
        <f t="shared" si="1072"/>
        <v>0</v>
      </c>
      <c r="BJ68" s="95">
        <f t="shared" si="1073"/>
        <v>0</v>
      </c>
      <c r="BK68" s="41">
        <f t="shared" si="1074"/>
        <v>0</v>
      </c>
      <c r="BL68" s="41">
        <f t="shared" si="1075"/>
        <v>0</v>
      </c>
      <c r="BM68" s="42">
        <f t="shared" si="1076"/>
        <v>0</v>
      </c>
      <c r="BN68" s="95">
        <f t="shared" si="1077"/>
        <v>0</v>
      </c>
      <c r="BO68" s="41">
        <f t="shared" si="1078"/>
        <v>0</v>
      </c>
      <c r="BP68" s="41">
        <f t="shared" si="1079"/>
        <v>0</v>
      </c>
      <c r="BQ68" s="41">
        <f t="shared" si="1080"/>
        <v>0</v>
      </c>
      <c r="BR68" s="41">
        <f t="shared" si="1081"/>
        <v>0</v>
      </c>
      <c r="BS68" s="42">
        <f t="shared" si="1082"/>
        <v>0</v>
      </c>
      <c r="BT68" s="95">
        <f t="shared" si="1083"/>
        <v>0</v>
      </c>
      <c r="BU68" s="41">
        <f t="shared" si="1084"/>
        <v>0</v>
      </c>
      <c r="BV68" s="41">
        <f t="shared" si="1085"/>
        <v>0</v>
      </c>
      <c r="BW68" s="41">
        <f t="shared" si="1086"/>
        <v>0</v>
      </c>
      <c r="BX68" s="42">
        <f t="shared" si="1087"/>
        <v>0</v>
      </c>
      <c r="BY68" s="95">
        <f t="shared" si="1088"/>
        <v>0</v>
      </c>
      <c r="BZ68" s="41">
        <f t="shared" si="1089"/>
        <v>0</v>
      </c>
      <c r="CA68" s="41">
        <f t="shared" si="1090"/>
        <v>0</v>
      </c>
      <c r="CB68" s="41">
        <f t="shared" si="1091"/>
        <v>0</v>
      </c>
      <c r="CC68" s="41">
        <f t="shared" si="1092"/>
        <v>0</v>
      </c>
      <c r="CD68" s="41">
        <f t="shared" si="1093"/>
        <v>9.1034482758620694</v>
      </c>
      <c r="CE68" s="41">
        <f t="shared" si="1094"/>
        <v>0</v>
      </c>
      <c r="CF68" s="41">
        <f t="shared" si="1095"/>
        <v>0</v>
      </c>
      <c r="CG68" s="41">
        <f t="shared" si="1096"/>
        <v>0</v>
      </c>
      <c r="CH68" s="41">
        <f t="shared" si="1097"/>
        <v>0</v>
      </c>
      <c r="CI68" s="41">
        <f t="shared" si="1098"/>
        <v>0</v>
      </c>
      <c r="CJ68" s="42">
        <f t="shared" si="1099"/>
        <v>0</v>
      </c>
      <c r="CL68" s="36">
        <v>2</v>
      </c>
      <c r="CN68" s="95">
        <f t="shared" ref="CN68" si="1135">AVERAGE(BB68:BB69)*$CL68</f>
        <v>0</v>
      </c>
      <c r="CO68" s="41">
        <f t="shared" ref="CO68" si="1136">AVERAGE(BC68:BC69)*$CL68</f>
        <v>0</v>
      </c>
      <c r="CP68" s="41">
        <f t="shared" ref="CP68" si="1137">AVERAGE(BD68:BD69)*$CL68</f>
        <v>0</v>
      </c>
      <c r="CQ68" s="41">
        <f t="shared" ref="CQ68" si="1138">AVERAGE(BE68:BE69)*$CL68</f>
        <v>0</v>
      </c>
      <c r="CR68" s="41">
        <f t="shared" ref="CR68" si="1139">AVERAGE(BF68:BF69)*$CL68</f>
        <v>0</v>
      </c>
      <c r="CS68" s="41">
        <f t="shared" ref="CS68" si="1140">AVERAGE(BG68:BG69)*$CL68</f>
        <v>0</v>
      </c>
      <c r="CT68" s="41">
        <f t="shared" ref="CT68" si="1141">AVERAGE(BH68:BH69)*$CL68</f>
        <v>0</v>
      </c>
      <c r="CU68" s="42">
        <f t="shared" ref="CU68" si="1142">AVERAGE(BI68:BI69)*$CL68</f>
        <v>0</v>
      </c>
      <c r="CV68" s="95">
        <f t="shared" ref="CV68" si="1143">AVERAGE(BJ68:BJ69)*$CL68</f>
        <v>0</v>
      </c>
      <c r="CW68" s="41">
        <f t="shared" ref="CW68" si="1144">AVERAGE(BK68:BK69)*$CL68</f>
        <v>0</v>
      </c>
      <c r="CX68" s="41">
        <f t="shared" ref="CX68" si="1145">AVERAGE(BL68:BL69)*$CL68</f>
        <v>0</v>
      </c>
      <c r="CY68" s="42">
        <f t="shared" ref="CY68" si="1146">AVERAGE(BM68:BM69)*$CL68</f>
        <v>0</v>
      </c>
      <c r="CZ68" s="95">
        <f t="shared" ref="CZ68" si="1147">AVERAGE(BN68:BN69)*$CL68</f>
        <v>0</v>
      </c>
      <c r="DA68" s="41">
        <f t="shared" ref="DA68" si="1148">AVERAGE(BO68:BO69)*$CL68</f>
        <v>0</v>
      </c>
      <c r="DB68" s="41">
        <f t="shared" ref="DB68" si="1149">AVERAGE(BP68:BP69)*$CL68</f>
        <v>0</v>
      </c>
      <c r="DC68" s="41">
        <f t="shared" ref="DC68" si="1150">AVERAGE(BQ68:BQ69)*$CL68</f>
        <v>0</v>
      </c>
      <c r="DD68" s="41">
        <f t="shared" ref="DD68" si="1151">AVERAGE(BR68:BR69)*$CL68</f>
        <v>0</v>
      </c>
      <c r="DE68" s="42">
        <f t="shared" ref="DE68" si="1152">AVERAGE(BS68:BS69)*$CL68</f>
        <v>0</v>
      </c>
      <c r="DF68" s="95">
        <f t="shared" ref="DF68" si="1153">AVERAGE(BT68:BT69)*$CL68</f>
        <v>0</v>
      </c>
      <c r="DG68" s="41">
        <f t="shared" ref="DG68" si="1154">AVERAGE(BU68:BU69)*$CL68</f>
        <v>0</v>
      </c>
      <c r="DH68" s="41">
        <f t="shared" ref="DH68" si="1155">AVERAGE(BV68:BV69)*$CL68</f>
        <v>0</v>
      </c>
      <c r="DI68" s="41">
        <f t="shared" ref="DI68" si="1156">AVERAGE(BW68:BW69)*$CL68</f>
        <v>0</v>
      </c>
      <c r="DJ68" s="42">
        <f t="shared" ref="DJ68" si="1157">AVERAGE(BX68:BX69)*$CL68</f>
        <v>0</v>
      </c>
      <c r="DK68" s="95">
        <f t="shared" ref="DK68" si="1158">AVERAGE(BY68:BY69)*$CL68</f>
        <v>0</v>
      </c>
      <c r="DL68" s="41">
        <f t="shared" ref="DL68" si="1159">AVERAGE(BZ68:BZ69)*$CL68</f>
        <v>0</v>
      </c>
      <c r="DM68" s="41">
        <f t="shared" ref="DM68" si="1160">AVERAGE(CA68:CA69)*$CL68</f>
        <v>0</v>
      </c>
      <c r="DN68" s="41">
        <f t="shared" ref="DN68" si="1161">AVERAGE(CB68:CB69)*$CL68</f>
        <v>0</v>
      </c>
      <c r="DO68" s="41">
        <f t="shared" ref="DO68" si="1162">AVERAGE(CC68:CC69)*$CL68</f>
        <v>0</v>
      </c>
      <c r="DP68" s="41">
        <f t="shared" ref="DP68" si="1163">AVERAGE(CD68:CD69)*$CL68</f>
        <v>9.1034482758620694</v>
      </c>
      <c r="DQ68" s="41">
        <f t="shared" ref="DQ68" si="1164">AVERAGE(CE68:CE69)*$CL68</f>
        <v>0</v>
      </c>
      <c r="DR68" s="41">
        <f t="shared" ref="DR68" si="1165">AVERAGE(CF68:CF69)*$CL68</f>
        <v>0</v>
      </c>
      <c r="DS68" s="41">
        <f t="shared" ref="DS68" si="1166">AVERAGE(CG68:CG69)*$CL68</f>
        <v>0</v>
      </c>
      <c r="DT68" s="41">
        <f t="shared" ref="DT68" si="1167">AVERAGE(CH68:CH69)*$CL68</f>
        <v>0</v>
      </c>
      <c r="DU68" s="41">
        <f t="shared" ref="DU68" si="1168">AVERAGE(CI68:CI69)*$CL68</f>
        <v>0</v>
      </c>
      <c r="DV68" s="42">
        <f t="shared" ref="DV68" si="1169">AVERAGE(CJ68:CJ69)*$CL68</f>
        <v>12.768136557610243</v>
      </c>
      <c r="DX68" s="138">
        <f t="shared" si="1100"/>
        <v>0</v>
      </c>
      <c r="DY68" s="34">
        <f t="shared" si="1101"/>
        <v>0</v>
      </c>
      <c r="DZ68" s="34">
        <f t="shared" si="1102"/>
        <v>0</v>
      </c>
      <c r="EA68" s="34">
        <f t="shared" si="1103"/>
        <v>0</v>
      </c>
      <c r="EB68" s="34">
        <f t="shared" si="1104"/>
        <v>0</v>
      </c>
      <c r="EC68" s="34">
        <f t="shared" si="1105"/>
        <v>0</v>
      </c>
      <c r="ED68" s="34">
        <f t="shared" si="1106"/>
        <v>0</v>
      </c>
      <c r="EE68" s="139">
        <f t="shared" si="1107"/>
        <v>0</v>
      </c>
      <c r="EF68" s="138">
        <f t="shared" si="1108"/>
        <v>0</v>
      </c>
      <c r="EG68" s="34">
        <f t="shared" si="1109"/>
        <v>0</v>
      </c>
      <c r="EH68" s="34">
        <f t="shared" si="1110"/>
        <v>0</v>
      </c>
      <c r="EI68" s="139">
        <f t="shared" si="1111"/>
        <v>0</v>
      </c>
      <c r="EJ68" s="138">
        <f t="shared" si="1112"/>
        <v>0</v>
      </c>
      <c r="EK68" s="34">
        <f t="shared" si="1113"/>
        <v>0</v>
      </c>
      <c r="EL68" s="34">
        <f t="shared" si="1114"/>
        <v>0</v>
      </c>
      <c r="EM68" s="34">
        <f t="shared" si="1115"/>
        <v>0</v>
      </c>
      <c r="EN68" s="34">
        <f t="shared" si="1116"/>
        <v>0</v>
      </c>
      <c r="EO68" s="139">
        <f t="shared" si="1117"/>
        <v>0</v>
      </c>
      <c r="EP68" s="138">
        <f t="shared" si="1118"/>
        <v>0</v>
      </c>
      <c r="EQ68" s="34">
        <f t="shared" si="1119"/>
        <v>0</v>
      </c>
      <c r="ER68" s="34">
        <f t="shared" si="1120"/>
        <v>0</v>
      </c>
      <c r="ES68" s="34">
        <f t="shared" si="1121"/>
        <v>0</v>
      </c>
      <c r="ET68" s="139">
        <f t="shared" si="1122"/>
        <v>0</v>
      </c>
      <c r="EU68" s="138">
        <f t="shared" si="1123"/>
        <v>0</v>
      </c>
      <c r="EV68" s="34">
        <f t="shared" si="1124"/>
        <v>0</v>
      </c>
      <c r="EW68" s="34">
        <f t="shared" si="1125"/>
        <v>0</v>
      </c>
      <c r="EX68" s="34">
        <f t="shared" si="1126"/>
        <v>0</v>
      </c>
      <c r="EY68" s="34">
        <f t="shared" si="1127"/>
        <v>0</v>
      </c>
      <c r="EZ68" s="34">
        <f t="shared" si="1128"/>
        <v>0.13522650439486139</v>
      </c>
      <c r="FA68" s="34">
        <f t="shared" si="1129"/>
        <v>0</v>
      </c>
      <c r="FB68" s="34">
        <f t="shared" si="1130"/>
        <v>0</v>
      </c>
      <c r="FC68" s="34">
        <f t="shared" si="1131"/>
        <v>0</v>
      </c>
      <c r="FD68" s="34">
        <f t="shared" si="1132"/>
        <v>0</v>
      </c>
      <c r="FE68" s="34">
        <f t="shared" si="1133"/>
        <v>0</v>
      </c>
      <c r="FF68" s="139">
        <f t="shared" si="1134"/>
        <v>0</v>
      </c>
    </row>
    <row r="69" spans="2:162" ht="16.5" thickBot="1" x14ac:dyDescent="0.3">
      <c r="B69" s="127">
        <f t="shared" si="1062"/>
        <v>45550</v>
      </c>
      <c r="C69" s="267"/>
      <c r="D69" s="100">
        <v>5</v>
      </c>
      <c r="E69" s="131">
        <v>21.09</v>
      </c>
      <c r="F69" s="25"/>
      <c r="G69" s="25"/>
      <c r="H69" s="171">
        <v>5</v>
      </c>
      <c r="I69" s="172">
        <v>2</v>
      </c>
      <c r="J69" s="173">
        <f>4/5</f>
        <v>0.8</v>
      </c>
      <c r="K69" s="173"/>
      <c r="L69" s="174">
        <v>13.6</v>
      </c>
      <c r="M69" s="174">
        <f t="shared" si="1063"/>
        <v>0</v>
      </c>
      <c r="N69" s="175">
        <f t="shared" si="1064"/>
        <v>29.92</v>
      </c>
      <c r="O69" s="25"/>
      <c r="P69" s="96"/>
      <c r="Q69" s="76"/>
      <c r="R69" s="76"/>
      <c r="S69" s="76"/>
      <c r="T69" s="76"/>
      <c r="U69" s="76"/>
      <c r="V69" s="76"/>
      <c r="W69" s="77"/>
      <c r="X69" s="96"/>
      <c r="Y69" s="76"/>
      <c r="Z69" s="76"/>
      <c r="AA69" s="77"/>
      <c r="AB69" s="96"/>
      <c r="AC69" s="76"/>
      <c r="AD69" s="76"/>
      <c r="AE69" s="76"/>
      <c r="AF69" s="76"/>
      <c r="AG69" s="77"/>
      <c r="AH69" s="96"/>
      <c r="AI69" s="76"/>
      <c r="AJ69" s="76"/>
      <c r="AK69" s="76"/>
      <c r="AL69" s="77"/>
      <c r="AM69" s="9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7">
        <v>9</v>
      </c>
      <c r="BB69" s="96">
        <f t="shared" si="1065"/>
        <v>0</v>
      </c>
      <c r="BC69" s="76">
        <f t="shared" si="1066"/>
        <v>0</v>
      </c>
      <c r="BD69" s="76">
        <f t="shared" si="1067"/>
        <v>0</v>
      </c>
      <c r="BE69" s="76">
        <f t="shared" si="1068"/>
        <v>0</v>
      </c>
      <c r="BF69" s="76">
        <f t="shared" si="1069"/>
        <v>0</v>
      </c>
      <c r="BG69" s="76">
        <f t="shared" si="1070"/>
        <v>0</v>
      </c>
      <c r="BH69" s="76">
        <f t="shared" si="1071"/>
        <v>0</v>
      </c>
      <c r="BI69" s="77">
        <f t="shared" si="1072"/>
        <v>0</v>
      </c>
      <c r="BJ69" s="96">
        <f t="shared" si="1073"/>
        <v>0</v>
      </c>
      <c r="BK69" s="76">
        <f t="shared" si="1074"/>
        <v>0</v>
      </c>
      <c r="BL69" s="76">
        <f t="shared" si="1075"/>
        <v>0</v>
      </c>
      <c r="BM69" s="77">
        <f t="shared" si="1076"/>
        <v>0</v>
      </c>
      <c r="BN69" s="96">
        <f t="shared" si="1077"/>
        <v>0</v>
      </c>
      <c r="BO69" s="76">
        <f t="shared" si="1078"/>
        <v>0</v>
      </c>
      <c r="BP69" s="76">
        <f t="shared" si="1079"/>
        <v>0</v>
      </c>
      <c r="BQ69" s="76">
        <f t="shared" si="1080"/>
        <v>0</v>
      </c>
      <c r="BR69" s="76">
        <f t="shared" si="1081"/>
        <v>0</v>
      </c>
      <c r="BS69" s="77">
        <f t="shared" si="1082"/>
        <v>0</v>
      </c>
      <c r="BT69" s="96">
        <f t="shared" si="1083"/>
        <v>0</v>
      </c>
      <c r="BU69" s="76">
        <f t="shared" si="1084"/>
        <v>0</v>
      </c>
      <c r="BV69" s="76">
        <f t="shared" si="1085"/>
        <v>0</v>
      </c>
      <c r="BW69" s="76">
        <f t="shared" si="1086"/>
        <v>0</v>
      </c>
      <c r="BX69" s="77">
        <f t="shared" si="1087"/>
        <v>0</v>
      </c>
      <c r="BY69" s="96">
        <f t="shared" si="1088"/>
        <v>0</v>
      </c>
      <c r="BZ69" s="76">
        <f t="shared" si="1089"/>
        <v>0</v>
      </c>
      <c r="CA69" s="76">
        <f t="shared" si="1090"/>
        <v>0</v>
      </c>
      <c r="CB69" s="76">
        <f t="shared" si="1091"/>
        <v>0</v>
      </c>
      <c r="CC69" s="76">
        <f t="shared" si="1092"/>
        <v>0</v>
      </c>
      <c r="CD69" s="76">
        <f t="shared" si="1093"/>
        <v>0</v>
      </c>
      <c r="CE69" s="76">
        <f t="shared" si="1094"/>
        <v>0</v>
      </c>
      <c r="CF69" s="76">
        <f t="shared" si="1095"/>
        <v>0</v>
      </c>
      <c r="CG69" s="76">
        <f t="shared" si="1096"/>
        <v>0</v>
      </c>
      <c r="CH69" s="76">
        <f t="shared" si="1097"/>
        <v>0</v>
      </c>
      <c r="CI69" s="76">
        <f t="shared" si="1098"/>
        <v>0</v>
      </c>
      <c r="CJ69" s="77">
        <f t="shared" si="1099"/>
        <v>12.768136557610243</v>
      </c>
      <c r="CN69" s="96"/>
      <c r="CO69" s="76"/>
      <c r="CP69" s="76"/>
      <c r="CQ69" s="76"/>
      <c r="CR69" s="76"/>
      <c r="CS69" s="76"/>
      <c r="CT69" s="76"/>
      <c r="CU69" s="77"/>
      <c r="CV69" s="96"/>
      <c r="CW69" s="76"/>
      <c r="CX69" s="76"/>
      <c r="CY69" s="77"/>
      <c r="CZ69" s="96"/>
      <c r="DA69" s="76"/>
      <c r="DB69" s="76"/>
      <c r="DC69" s="76"/>
      <c r="DD69" s="76"/>
      <c r="DE69" s="77"/>
      <c r="DF69" s="96"/>
      <c r="DG69" s="76"/>
      <c r="DH69" s="76"/>
      <c r="DI69" s="76"/>
      <c r="DJ69" s="77"/>
      <c r="DK69" s="96"/>
      <c r="DL69" s="76"/>
      <c r="DM69" s="76"/>
      <c r="DN69" s="76"/>
      <c r="DO69" s="76"/>
      <c r="DP69" s="76"/>
      <c r="DQ69" s="76"/>
      <c r="DR69" s="76"/>
      <c r="DS69" s="76"/>
      <c r="DT69" s="76"/>
      <c r="DU69" s="76"/>
      <c r="DV69" s="77"/>
      <c r="DX69" s="140">
        <f t="shared" si="1100"/>
        <v>0</v>
      </c>
      <c r="DY69" s="141">
        <f t="shared" si="1101"/>
        <v>0</v>
      </c>
      <c r="DZ69" s="141">
        <f t="shared" si="1102"/>
        <v>0</v>
      </c>
      <c r="EA69" s="141">
        <f t="shared" si="1103"/>
        <v>0</v>
      </c>
      <c r="EB69" s="141">
        <f t="shared" si="1104"/>
        <v>0</v>
      </c>
      <c r="EC69" s="141">
        <f t="shared" si="1105"/>
        <v>0</v>
      </c>
      <c r="ED69" s="141">
        <f t="shared" si="1106"/>
        <v>0</v>
      </c>
      <c r="EE69" s="142">
        <f t="shared" si="1107"/>
        <v>0</v>
      </c>
      <c r="EF69" s="140">
        <f t="shared" si="1108"/>
        <v>0</v>
      </c>
      <c r="EG69" s="141">
        <f t="shared" si="1109"/>
        <v>0</v>
      </c>
      <c r="EH69" s="141">
        <f t="shared" si="1110"/>
        <v>0</v>
      </c>
      <c r="EI69" s="142">
        <f t="shared" si="1111"/>
        <v>0</v>
      </c>
      <c r="EJ69" s="140">
        <f t="shared" si="1112"/>
        <v>0</v>
      </c>
      <c r="EK69" s="141">
        <f t="shared" si="1113"/>
        <v>0</v>
      </c>
      <c r="EL69" s="141">
        <f t="shared" si="1114"/>
        <v>0</v>
      </c>
      <c r="EM69" s="141">
        <f t="shared" si="1115"/>
        <v>0</v>
      </c>
      <c r="EN69" s="141">
        <f t="shared" si="1116"/>
        <v>0</v>
      </c>
      <c r="EO69" s="142">
        <f t="shared" si="1117"/>
        <v>0</v>
      </c>
      <c r="EP69" s="140">
        <f t="shared" si="1118"/>
        <v>0</v>
      </c>
      <c r="EQ69" s="141">
        <f t="shared" si="1119"/>
        <v>0</v>
      </c>
      <c r="ER69" s="141">
        <f t="shared" si="1120"/>
        <v>0</v>
      </c>
      <c r="ES69" s="141">
        <f t="shared" si="1121"/>
        <v>0</v>
      </c>
      <c r="ET69" s="142">
        <f t="shared" si="1122"/>
        <v>0</v>
      </c>
      <c r="EU69" s="140">
        <f t="shared" si="1123"/>
        <v>0</v>
      </c>
      <c r="EV69" s="141">
        <f t="shared" si="1124"/>
        <v>0</v>
      </c>
      <c r="EW69" s="141">
        <f t="shared" si="1125"/>
        <v>0</v>
      </c>
      <c r="EX69" s="141">
        <f t="shared" si="1126"/>
        <v>0</v>
      </c>
      <c r="EY69" s="141">
        <f t="shared" si="1127"/>
        <v>0</v>
      </c>
      <c r="EZ69" s="141">
        <f t="shared" si="1128"/>
        <v>0</v>
      </c>
      <c r="FA69" s="141">
        <f t="shared" si="1129"/>
        <v>0</v>
      </c>
      <c r="FB69" s="141">
        <f t="shared" si="1130"/>
        <v>0</v>
      </c>
      <c r="FC69" s="141">
        <f t="shared" si="1131"/>
        <v>0</v>
      </c>
      <c r="FD69" s="141">
        <f t="shared" si="1132"/>
        <v>0</v>
      </c>
      <c r="FE69" s="141">
        <f t="shared" si="1133"/>
        <v>0</v>
      </c>
      <c r="FF69" s="142">
        <f t="shared" si="1134"/>
        <v>0.4267425320056899</v>
      </c>
    </row>
    <row r="70" spans="2:162" ht="17.25" thickTop="1" thickBot="1" x14ac:dyDescent="0.3">
      <c r="B70" s="178"/>
      <c r="C70" s="268"/>
      <c r="D70" s="101">
        <f t="shared" ref="D70:E70" si="1170">SUM(D63:D69)</f>
        <v>24</v>
      </c>
      <c r="E70" s="134">
        <f t="shared" si="1170"/>
        <v>47.57</v>
      </c>
      <c r="F70" s="146"/>
      <c r="G70" s="146"/>
      <c r="H70" s="43"/>
      <c r="I70" s="39"/>
      <c r="J70" s="39"/>
      <c r="K70" s="39"/>
      <c r="L70" s="184"/>
      <c r="M70" s="185"/>
      <c r="N70" s="170">
        <f>AVERAGE(N63:N67)*5+AVERAGE(N68:N69)*2</f>
        <v>151.07125000000002</v>
      </c>
      <c r="O70" s="146"/>
      <c r="P70" s="68">
        <f t="shared" ref="P70:AZ70" si="1171">SUM(P63:P69)</f>
        <v>0</v>
      </c>
      <c r="Q70" s="65">
        <f t="shared" si="1171"/>
        <v>0</v>
      </c>
      <c r="R70" s="65">
        <f t="shared" si="1171"/>
        <v>0</v>
      </c>
      <c r="S70" s="65">
        <f t="shared" si="1171"/>
        <v>0</v>
      </c>
      <c r="T70" s="65">
        <f t="shared" si="1171"/>
        <v>0</v>
      </c>
      <c r="U70" s="65">
        <f t="shared" si="1171"/>
        <v>0</v>
      </c>
      <c r="V70" s="65">
        <f t="shared" si="1171"/>
        <v>0</v>
      </c>
      <c r="W70" s="66">
        <f t="shared" si="1171"/>
        <v>0</v>
      </c>
      <c r="X70" s="68">
        <f t="shared" si="1171"/>
        <v>0</v>
      </c>
      <c r="Y70" s="65">
        <f t="shared" si="1171"/>
        <v>0</v>
      </c>
      <c r="Z70" s="65">
        <f t="shared" si="1171"/>
        <v>0</v>
      </c>
      <c r="AA70" s="66">
        <f t="shared" si="1171"/>
        <v>0</v>
      </c>
      <c r="AB70" s="68">
        <f t="shared" si="1171"/>
        <v>0</v>
      </c>
      <c r="AC70" s="65">
        <f t="shared" si="1171"/>
        <v>0</v>
      </c>
      <c r="AD70" s="65">
        <f t="shared" si="1171"/>
        <v>0</v>
      </c>
      <c r="AE70" s="65">
        <f t="shared" si="1171"/>
        <v>0</v>
      </c>
      <c r="AF70" s="65">
        <f t="shared" si="1171"/>
        <v>0</v>
      </c>
      <c r="AG70" s="66">
        <f t="shared" si="1171"/>
        <v>0</v>
      </c>
      <c r="AH70" s="68">
        <f t="shared" si="1171"/>
        <v>0</v>
      </c>
      <c r="AI70" s="65">
        <f t="shared" si="1171"/>
        <v>0</v>
      </c>
      <c r="AJ70" s="65">
        <f t="shared" si="1171"/>
        <v>0</v>
      </c>
      <c r="AK70" s="65">
        <f t="shared" si="1171"/>
        <v>0</v>
      </c>
      <c r="AL70" s="66">
        <f t="shared" si="1171"/>
        <v>0</v>
      </c>
      <c r="AM70" s="68">
        <f t="shared" si="1171"/>
        <v>0</v>
      </c>
      <c r="AN70" s="65">
        <f t="shared" si="1171"/>
        <v>0</v>
      </c>
      <c r="AO70" s="65">
        <f t="shared" si="1171"/>
        <v>0</v>
      </c>
      <c r="AP70" s="65">
        <f t="shared" si="1171"/>
        <v>0</v>
      </c>
      <c r="AQ70" s="65">
        <f t="shared" si="1171"/>
        <v>0</v>
      </c>
      <c r="AR70" s="65">
        <f t="shared" si="1171"/>
        <v>3</v>
      </c>
      <c r="AS70" s="65">
        <f t="shared" si="1171"/>
        <v>0</v>
      </c>
      <c r="AT70" s="65">
        <f t="shared" si="1171"/>
        <v>0</v>
      </c>
      <c r="AU70" s="65">
        <f t="shared" si="1171"/>
        <v>0</v>
      </c>
      <c r="AV70" s="65">
        <f t="shared" si="1171"/>
        <v>0</v>
      </c>
      <c r="AW70" s="65">
        <f t="shared" si="1171"/>
        <v>0</v>
      </c>
      <c r="AX70" s="65">
        <f t="shared" si="1171"/>
        <v>0</v>
      </c>
      <c r="AY70" s="65">
        <f t="shared" si="1171"/>
        <v>0</v>
      </c>
      <c r="AZ70" s="66">
        <f t="shared" si="1171"/>
        <v>11</v>
      </c>
      <c r="BB70" s="68">
        <f t="shared" ref="BB70:CJ70" si="1172">SUM(BB63:BB69)</f>
        <v>0</v>
      </c>
      <c r="BC70" s="65">
        <f t="shared" si="1172"/>
        <v>0</v>
      </c>
      <c r="BD70" s="65">
        <f t="shared" si="1172"/>
        <v>0</v>
      </c>
      <c r="BE70" s="65">
        <f t="shared" si="1172"/>
        <v>0</v>
      </c>
      <c r="BF70" s="65">
        <f t="shared" si="1172"/>
        <v>0</v>
      </c>
      <c r="BG70" s="65">
        <f t="shared" si="1172"/>
        <v>0</v>
      </c>
      <c r="BH70" s="65">
        <f t="shared" si="1172"/>
        <v>0</v>
      </c>
      <c r="BI70" s="66">
        <f t="shared" si="1172"/>
        <v>0</v>
      </c>
      <c r="BJ70" s="68">
        <f t="shared" si="1172"/>
        <v>0</v>
      </c>
      <c r="BK70" s="65">
        <f t="shared" si="1172"/>
        <v>0</v>
      </c>
      <c r="BL70" s="65">
        <f t="shared" si="1172"/>
        <v>0</v>
      </c>
      <c r="BM70" s="66">
        <f t="shared" si="1172"/>
        <v>0</v>
      </c>
      <c r="BN70" s="68">
        <f t="shared" si="1172"/>
        <v>0</v>
      </c>
      <c r="BO70" s="65">
        <f t="shared" si="1172"/>
        <v>0</v>
      </c>
      <c r="BP70" s="65">
        <f t="shared" si="1172"/>
        <v>0</v>
      </c>
      <c r="BQ70" s="65">
        <f t="shared" si="1172"/>
        <v>0</v>
      </c>
      <c r="BR70" s="65">
        <f t="shared" si="1172"/>
        <v>0</v>
      </c>
      <c r="BS70" s="66">
        <f t="shared" si="1172"/>
        <v>0</v>
      </c>
      <c r="BT70" s="68">
        <f t="shared" si="1172"/>
        <v>0</v>
      </c>
      <c r="BU70" s="65">
        <f t="shared" si="1172"/>
        <v>0</v>
      </c>
      <c r="BV70" s="65">
        <f t="shared" si="1172"/>
        <v>0</v>
      </c>
      <c r="BW70" s="65">
        <f t="shared" si="1172"/>
        <v>0</v>
      </c>
      <c r="BX70" s="66">
        <f t="shared" si="1172"/>
        <v>0</v>
      </c>
      <c r="BY70" s="68">
        <f t="shared" si="1172"/>
        <v>0</v>
      </c>
      <c r="BZ70" s="65">
        <f t="shared" si="1172"/>
        <v>0</v>
      </c>
      <c r="CA70" s="65">
        <f t="shared" si="1172"/>
        <v>0</v>
      </c>
      <c r="CB70" s="65">
        <f t="shared" si="1172"/>
        <v>0</v>
      </c>
      <c r="CC70" s="65">
        <f t="shared" si="1172"/>
        <v>0</v>
      </c>
      <c r="CD70" s="65">
        <f t="shared" si="1172"/>
        <v>11.151216133004926</v>
      </c>
      <c r="CE70" s="65">
        <f t="shared" si="1172"/>
        <v>0</v>
      </c>
      <c r="CF70" s="65">
        <f t="shared" si="1172"/>
        <v>0</v>
      </c>
      <c r="CG70" s="65">
        <f t="shared" si="1172"/>
        <v>0</v>
      </c>
      <c r="CH70" s="65">
        <f t="shared" si="1172"/>
        <v>0</v>
      </c>
      <c r="CI70" s="65">
        <f t="shared" si="1172"/>
        <v>0</v>
      </c>
      <c r="CJ70" s="66">
        <f t="shared" si="1172"/>
        <v>16.863672271895958</v>
      </c>
      <c r="CN70" s="68">
        <f t="shared" ref="CN70:DV70" si="1173">SUM(CN63:CN69)</f>
        <v>0</v>
      </c>
      <c r="CO70" s="65">
        <f t="shared" si="1173"/>
        <v>0</v>
      </c>
      <c r="CP70" s="65">
        <f t="shared" si="1173"/>
        <v>0</v>
      </c>
      <c r="CQ70" s="65">
        <f t="shared" si="1173"/>
        <v>0</v>
      </c>
      <c r="CR70" s="65">
        <f t="shared" si="1173"/>
        <v>0</v>
      </c>
      <c r="CS70" s="65">
        <f t="shared" si="1173"/>
        <v>0</v>
      </c>
      <c r="CT70" s="65">
        <f t="shared" si="1173"/>
        <v>0</v>
      </c>
      <c r="CU70" s="66">
        <f t="shared" si="1173"/>
        <v>0</v>
      </c>
      <c r="CV70" s="68">
        <f t="shared" si="1173"/>
        <v>0</v>
      </c>
      <c r="CW70" s="65">
        <f t="shared" si="1173"/>
        <v>0</v>
      </c>
      <c r="CX70" s="65">
        <f t="shared" si="1173"/>
        <v>0</v>
      </c>
      <c r="CY70" s="66">
        <f t="shared" si="1173"/>
        <v>0</v>
      </c>
      <c r="CZ70" s="68">
        <f t="shared" si="1173"/>
        <v>0</v>
      </c>
      <c r="DA70" s="65">
        <f t="shared" si="1173"/>
        <v>0</v>
      </c>
      <c r="DB70" s="65">
        <f t="shared" si="1173"/>
        <v>0</v>
      </c>
      <c r="DC70" s="65">
        <f t="shared" si="1173"/>
        <v>0</v>
      </c>
      <c r="DD70" s="65">
        <f t="shared" si="1173"/>
        <v>0</v>
      </c>
      <c r="DE70" s="66">
        <f t="shared" si="1173"/>
        <v>0</v>
      </c>
      <c r="DF70" s="68">
        <f t="shared" si="1173"/>
        <v>0</v>
      </c>
      <c r="DG70" s="65">
        <f t="shared" si="1173"/>
        <v>0</v>
      </c>
      <c r="DH70" s="65">
        <f t="shared" si="1173"/>
        <v>0</v>
      </c>
      <c r="DI70" s="65">
        <f t="shared" si="1173"/>
        <v>0</v>
      </c>
      <c r="DJ70" s="66">
        <f t="shared" si="1173"/>
        <v>0</v>
      </c>
      <c r="DK70" s="68">
        <f t="shared" si="1173"/>
        <v>0</v>
      </c>
      <c r="DL70" s="65">
        <f t="shared" si="1173"/>
        <v>0</v>
      </c>
      <c r="DM70" s="65">
        <f t="shared" si="1173"/>
        <v>0</v>
      </c>
      <c r="DN70" s="65">
        <f t="shared" si="1173"/>
        <v>0</v>
      </c>
      <c r="DO70" s="65">
        <f t="shared" si="1173"/>
        <v>0</v>
      </c>
      <c r="DP70" s="65">
        <f t="shared" si="1173"/>
        <v>12.516394704433498</v>
      </c>
      <c r="DQ70" s="65">
        <f t="shared" si="1173"/>
        <v>0</v>
      </c>
      <c r="DR70" s="65">
        <f t="shared" si="1173"/>
        <v>0</v>
      </c>
      <c r="DS70" s="65">
        <f t="shared" si="1173"/>
        <v>0</v>
      </c>
      <c r="DT70" s="65">
        <f t="shared" si="1173"/>
        <v>0</v>
      </c>
      <c r="DU70" s="65">
        <f t="shared" si="1173"/>
        <v>0</v>
      </c>
      <c r="DV70" s="66">
        <f t="shared" si="1173"/>
        <v>19.594029414753102</v>
      </c>
      <c r="DX70" s="143">
        <f t="shared" ref="DX70:FF70" si="1174">AVERAGE(DX63:DX69)</f>
        <v>0</v>
      </c>
      <c r="DY70" s="144">
        <f t="shared" si="1174"/>
        <v>0</v>
      </c>
      <c r="DZ70" s="144">
        <f t="shared" si="1174"/>
        <v>0</v>
      </c>
      <c r="EA70" s="144">
        <f t="shared" si="1174"/>
        <v>0</v>
      </c>
      <c r="EB70" s="144">
        <f t="shared" si="1174"/>
        <v>0</v>
      </c>
      <c r="EC70" s="144">
        <f t="shared" si="1174"/>
        <v>0</v>
      </c>
      <c r="ED70" s="144">
        <f t="shared" si="1174"/>
        <v>0</v>
      </c>
      <c r="EE70" s="145">
        <f t="shared" si="1174"/>
        <v>0</v>
      </c>
      <c r="EF70" s="143">
        <f t="shared" si="1174"/>
        <v>0</v>
      </c>
      <c r="EG70" s="144">
        <f t="shared" si="1174"/>
        <v>0</v>
      </c>
      <c r="EH70" s="144">
        <f t="shared" si="1174"/>
        <v>0</v>
      </c>
      <c r="EI70" s="145">
        <f t="shared" si="1174"/>
        <v>0</v>
      </c>
      <c r="EJ70" s="143">
        <f t="shared" si="1174"/>
        <v>0</v>
      </c>
      <c r="EK70" s="144">
        <f t="shared" si="1174"/>
        <v>0</v>
      </c>
      <c r="EL70" s="144">
        <f t="shared" si="1174"/>
        <v>0</v>
      </c>
      <c r="EM70" s="144">
        <f t="shared" si="1174"/>
        <v>0</v>
      </c>
      <c r="EN70" s="144">
        <f t="shared" si="1174"/>
        <v>0</v>
      </c>
      <c r="EO70" s="144">
        <f t="shared" si="1174"/>
        <v>0</v>
      </c>
      <c r="EP70" s="143">
        <f t="shared" si="1174"/>
        <v>0</v>
      </c>
      <c r="EQ70" s="144">
        <f t="shared" si="1174"/>
        <v>0</v>
      </c>
      <c r="ER70" s="144">
        <f t="shared" si="1174"/>
        <v>0</v>
      </c>
      <c r="ES70" s="144">
        <f t="shared" si="1174"/>
        <v>0</v>
      </c>
      <c r="ET70" s="145">
        <f t="shared" si="1174"/>
        <v>0</v>
      </c>
      <c r="EU70" s="143">
        <f t="shared" si="1174"/>
        <v>0</v>
      </c>
      <c r="EV70" s="144">
        <f t="shared" si="1174"/>
        <v>0</v>
      </c>
      <c r="EW70" s="144">
        <f t="shared" si="1174"/>
        <v>0</v>
      </c>
      <c r="EX70" s="144">
        <f t="shared" si="1174"/>
        <v>0</v>
      </c>
      <c r="EY70" s="144">
        <f t="shared" si="1174"/>
        <v>0</v>
      </c>
      <c r="EZ70" s="144">
        <f t="shared" si="1174"/>
        <v>8.2061560256286428E-2</v>
      </c>
      <c r="FA70" s="144">
        <f t="shared" si="1174"/>
        <v>0</v>
      </c>
      <c r="FB70" s="144">
        <f t="shared" si="1174"/>
        <v>0</v>
      </c>
      <c r="FC70" s="144">
        <f t="shared" si="1174"/>
        <v>0</v>
      </c>
      <c r="FD70" s="144">
        <f t="shared" si="1174"/>
        <v>0</v>
      </c>
      <c r="FE70" s="144">
        <f t="shared" si="1174"/>
        <v>0</v>
      </c>
      <c r="FF70" s="145">
        <f t="shared" si="1174"/>
        <v>0.19017137438190068</v>
      </c>
    </row>
    <row r="71" spans="2:162" ht="16.5" thickBot="1" x14ac:dyDescent="0.3">
      <c r="L71" s="253"/>
    </row>
    <row r="72" spans="2:162" ht="16.5" thickBot="1" x14ac:dyDescent="0.3">
      <c r="B72" s="176">
        <f>B63+7</f>
        <v>45551</v>
      </c>
      <c r="C72" s="265"/>
      <c r="D72" s="103"/>
      <c r="E72" s="156"/>
      <c r="F72" s="25"/>
      <c r="G72" s="25"/>
      <c r="H72" s="179"/>
      <c r="I72" s="180"/>
      <c r="J72" s="181"/>
      <c r="K72" s="181"/>
      <c r="L72" s="182">
        <v>13.5</v>
      </c>
      <c r="M72" s="182"/>
      <c r="N72" s="183"/>
      <c r="O72" s="25"/>
      <c r="P72" s="157"/>
      <c r="Q72" s="158"/>
      <c r="R72" s="158"/>
      <c r="S72" s="158"/>
      <c r="T72" s="158"/>
      <c r="U72" s="158"/>
      <c r="V72" s="158"/>
      <c r="W72" s="159"/>
      <c r="X72" s="157"/>
      <c r="Y72" s="158"/>
      <c r="Z72" s="158"/>
      <c r="AA72" s="159"/>
      <c r="AB72" s="157"/>
      <c r="AC72" s="158"/>
      <c r="AD72" s="158"/>
      <c r="AE72" s="158"/>
      <c r="AF72" s="158"/>
      <c r="AG72" s="159"/>
      <c r="AH72" s="157"/>
      <c r="AI72" s="158"/>
      <c r="AJ72" s="158"/>
      <c r="AK72" s="158"/>
      <c r="AL72" s="159"/>
      <c r="AM72" s="157"/>
      <c r="AN72" s="158"/>
      <c r="AO72" s="158"/>
      <c r="AP72" s="158"/>
      <c r="AQ72" s="158"/>
      <c r="AR72" s="158"/>
      <c r="AS72" s="158"/>
      <c r="AT72" s="158"/>
      <c r="AU72" s="158"/>
      <c r="AV72" s="158"/>
      <c r="AW72" s="158"/>
      <c r="AX72" s="158"/>
      <c r="AY72" s="158"/>
      <c r="AZ72" s="159"/>
      <c r="BB72" s="157"/>
      <c r="BC72" s="158"/>
      <c r="BD72" s="158"/>
      <c r="BE72" s="158"/>
      <c r="BF72" s="158"/>
      <c r="BG72" s="158"/>
      <c r="BH72" s="158"/>
      <c r="BI72" s="159"/>
      <c r="BJ72" s="157"/>
      <c r="BK72" s="158"/>
      <c r="BL72" s="158"/>
      <c r="BM72" s="159"/>
      <c r="BN72" s="157"/>
      <c r="BO72" s="158"/>
      <c r="BP72" s="158"/>
      <c r="BQ72" s="158"/>
      <c r="BR72" s="158"/>
      <c r="BS72" s="159"/>
      <c r="BT72" s="157"/>
      <c r="BU72" s="158"/>
      <c r="BV72" s="158"/>
      <c r="BW72" s="158"/>
      <c r="BX72" s="159"/>
      <c r="BY72" s="157"/>
      <c r="BZ72" s="158"/>
      <c r="CA72" s="158"/>
      <c r="CB72" s="158"/>
      <c r="CC72" s="158"/>
      <c r="CD72" s="158"/>
      <c r="CE72" s="158"/>
      <c r="CF72" s="158"/>
      <c r="CG72" s="158"/>
      <c r="CH72" s="158"/>
      <c r="CI72" s="158"/>
      <c r="CJ72" s="159"/>
      <c r="CL72" s="36">
        <v>5</v>
      </c>
      <c r="CN72" s="157">
        <f>AVERAGE(BB72:BB76)*$CL72</f>
        <v>0</v>
      </c>
      <c r="CO72" s="158">
        <f t="shared" ref="CO72" si="1175">AVERAGE(BC72:BC76)*$CL72</f>
        <v>0</v>
      </c>
      <c r="CP72" s="158">
        <f t="shared" ref="CP72" si="1176">AVERAGE(BD72:BD76)*$CL72</f>
        <v>0</v>
      </c>
      <c r="CQ72" s="158">
        <f t="shared" ref="CQ72" si="1177">AVERAGE(BE72:BE76)*$CL72</f>
        <v>0</v>
      </c>
      <c r="CR72" s="158">
        <f t="shared" ref="CR72" si="1178">AVERAGE(BF72:BF76)*$CL72</f>
        <v>0</v>
      </c>
      <c r="CS72" s="158">
        <f t="shared" ref="CS72" si="1179">AVERAGE(BG72:BG76)*$CL72</f>
        <v>0</v>
      </c>
      <c r="CT72" s="158">
        <f t="shared" ref="CT72" si="1180">AVERAGE(BH72:BH76)*$CL72</f>
        <v>0</v>
      </c>
      <c r="CU72" s="159">
        <f t="shared" ref="CU72" si="1181">AVERAGE(BI72:BI76)*$CL72</f>
        <v>0</v>
      </c>
      <c r="CV72" s="157">
        <f t="shared" ref="CV72" si="1182">AVERAGE(BJ72:BJ76)*$CL72</f>
        <v>0</v>
      </c>
      <c r="CW72" s="158">
        <f t="shared" ref="CW72" si="1183">AVERAGE(BK72:BK76)*$CL72</f>
        <v>0</v>
      </c>
      <c r="CX72" s="158">
        <f t="shared" ref="CX72" si="1184">AVERAGE(BL72:BL76)*$CL72</f>
        <v>0</v>
      </c>
      <c r="CY72" s="159">
        <f t="shared" ref="CY72" si="1185">AVERAGE(BM72:BM76)*$CL72</f>
        <v>0</v>
      </c>
      <c r="CZ72" s="157">
        <f t="shared" ref="CZ72" si="1186">AVERAGE(BN72:BN76)*$CL72</f>
        <v>0</v>
      </c>
      <c r="DA72" s="158">
        <f t="shared" ref="DA72" si="1187">AVERAGE(BO72:BO76)*$CL72</f>
        <v>0</v>
      </c>
      <c r="DB72" s="158">
        <f t="shared" ref="DB72" si="1188">AVERAGE(BP72:BP76)*$CL72</f>
        <v>0</v>
      </c>
      <c r="DC72" s="158">
        <f t="shared" ref="DC72" si="1189">AVERAGE(BQ72:BQ76)*$CL72</f>
        <v>0</v>
      </c>
      <c r="DD72" s="158">
        <f t="shared" ref="DD72" si="1190">AVERAGE(BR72:BR76)*$CL72</f>
        <v>0</v>
      </c>
      <c r="DE72" s="159">
        <f t="shared" ref="DE72" si="1191">AVERAGE(BS72:BS76)*$CL72</f>
        <v>0</v>
      </c>
      <c r="DF72" s="157">
        <f t="shared" ref="DF72" si="1192">AVERAGE(BT72:BT76)*$CL72</f>
        <v>0</v>
      </c>
      <c r="DG72" s="158">
        <f t="shared" ref="DG72" si="1193">AVERAGE(BU72:BU76)*$CL72</f>
        <v>0</v>
      </c>
      <c r="DH72" s="158">
        <f t="shared" ref="DH72" si="1194">AVERAGE(BV72:BV76)*$CL72</f>
        <v>0</v>
      </c>
      <c r="DI72" s="158">
        <f t="shared" ref="DI72" si="1195">AVERAGE(BW72:BW76)*$CL72</f>
        <v>0</v>
      </c>
      <c r="DJ72" s="159">
        <f t="shared" ref="DJ72" si="1196">AVERAGE(BX72:BX76)*$CL72</f>
        <v>0</v>
      </c>
      <c r="DK72" s="157">
        <f t="shared" ref="DK72" si="1197">AVERAGE(BY72:BY76)*$CL72</f>
        <v>0</v>
      </c>
      <c r="DL72" s="158">
        <f t="shared" ref="DL72" si="1198">AVERAGE(BZ72:BZ76)*$CL72</f>
        <v>0</v>
      </c>
      <c r="DM72" s="158">
        <f t="shared" ref="DM72" si="1199">AVERAGE(CA72:CA76)*$CL72</f>
        <v>0</v>
      </c>
      <c r="DN72" s="158">
        <f t="shared" ref="DN72" si="1200">AVERAGE(CB72:CB76)*$CL72</f>
        <v>0</v>
      </c>
      <c r="DO72" s="158">
        <f t="shared" ref="DO72" si="1201">AVERAGE(CC72:CC76)*$CL72</f>
        <v>0</v>
      </c>
      <c r="DP72" s="158">
        <f t="shared" ref="DP72" si="1202">AVERAGE(CD72:CD76)*$CL72</f>
        <v>0</v>
      </c>
      <c r="DQ72" s="158">
        <f t="shared" ref="DQ72" si="1203">AVERAGE(CE72:CE76)*$CL72</f>
        <v>0</v>
      </c>
      <c r="DR72" s="158">
        <f t="shared" ref="DR72" si="1204">AVERAGE(CF72:CF76)*$CL72</f>
        <v>0</v>
      </c>
      <c r="DS72" s="158">
        <f t="shared" ref="DS72" si="1205">AVERAGE(CG72:CG76)*$CL72</f>
        <v>0</v>
      </c>
      <c r="DT72" s="158">
        <f t="shared" ref="DT72" si="1206">AVERAGE(CH72:CH76)*$CL72</f>
        <v>0</v>
      </c>
      <c r="DU72" s="158">
        <f t="shared" ref="DU72" si="1207">AVERAGE(CI72:CI76)*$CL72</f>
        <v>0</v>
      </c>
      <c r="DV72" s="159">
        <f t="shared" ref="DV72" si="1208">AVERAGE(CJ72:CJ76)*$CL72</f>
        <v>0</v>
      </c>
      <c r="DX72" s="186"/>
      <c r="DY72" s="187"/>
      <c r="DZ72" s="187"/>
      <c r="EA72" s="187"/>
      <c r="EB72" s="187"/>
      <c r="EC72" s="187"/>
      <c r="ED72" s="187"/>
      <c r="EE72" s="188"/>
      <c r="EF72" s="186"/>
      <c r="EG72" s="187"/>
      <c r="EH72" s="187"/>
      <c r="EI72" s="188"/>
      <c r="EJ72" s="186"/>
      <c r="EK72" s="187"/>
      <c r="EL72" s="187"/>
      <c r="EM72" s="187"/>
      <c r="EN72" s="187"/>
      <c r="EO72" s="188"/>
      <c r="EP72" s="186"/>
      <c r="EQ72" s="187"/>
      <c r="ER72" s="187"/>
      <c r="ES72" s="187"/>
      <c r="ET72" s="188"/>
      <c r="EU72" s="186"/>
      <c r="EV72" s="187"/>
      <c r="EW72" s="187"/>
      <c r="EX72" s="187"/>
      <c r="EY72" s="187"/>
      <c r="EZ72" s="187"/>
      <c r="FA72" s="187"/>
      <c r="FB72" s="187"/>
      <c r="FC72" s="187"/>
      <c r="FD72" s="187"/>
      <c r="FE72" s="187"/>
      <c r="FF72" s="188"/>
    </row>
    <row r="73" spans="2:162" x14ac:dyDescent="0.25">
      <c r="B73" s="127">
        <f t="shared" ref="B73:B78" si="1209">B72+1</f>
        <v>45552</v>
      </c>
      <c r="C73" s="266"/>
      <c r="D73" s="53">
        <v>2</v>
      </c>
      <c r="E73" s="129">
        <v>3.64</v>
      </c>
      <c r="F73" s="25"/>
      <c r="G73" s="25"/>
      <c r="H73" s="150">
        <v>2</v>
      </c>
      <c r="I73" s="24">
        <v>1</v>
      </c>
      <c r="J73" s="151">
        <v>1</v>
      </c>
      <c r="K73" s="151"/>
      <c r="L73" s="152">
        <v>13.5</v>
      </c>
      <c r="M73" s="152">
        <f>H73/I73*K73*L73*1.5</f>
        <v>0</v>
      </c>
      <c r="N73" s="153">
        <f>H73/I73*J73*L73*N$4</f>
        <v>29.700000000000003</v>
      </c>
      <c r="O73" s="25"/>
      <c r="P73" s="95"/>
      <c r="Q73" s="41"/>
      <c r="R73" s="41"/>
      <c r="S73" s="41"/>
      <c r="T73" s="41"/>
      <c r="U73" s="41"/>
      <c r="V73" s="41"/>
      <c r="W73" s="42"/>
      <c r="X73" s="95"/>
      <c r="Y73" s="41"/>
      <c r="Z73" s="41"/>
      <c r="AA73" s="42"/>
      <c r="AB73" s="95"/>
      <c r="AC73" s="41"/>
      <c r="AD73" s="41"/>
      <c r="AE73" s="41"/>
      <c r="AF73" s="41"/>
      <c r="AG73" s="42"/>
      <c r="AH73" s="95"/>
      <c r="AI73" s="41"/>
      <c r="AJ73" s="41"/>
      <c r="AK73" s="41"/>
      <c r="AL73" s="42"/>
      <c r="AM73" s="95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2"/>
      <c r="BB73" s="157">
        <f t="shared" ref="BB73:CJ73" si="1210">$N73*DX73</f>
        <v>0</v>
      </c>
      <c r="BC73" s="158">
        <f t="shared" si="1210"/>
        <v>0</v>
      </c>
      <c r="BD73" s="158">
        <f t="shared" si="1210"/>
        <v>0</v>
      </c>
      <c r="BE73" s="158">
        <f t="shared" si="1210"/>
        <v>0</v>
      </c>
      <c r="BF73" s="158">
        <f t="shared" si="1210"/>
        <v>0</v>
      </c>
      <c r="BG73" s="158">
        <f t="shared" si="1210"/>
        <v>0</v>
      </c>
      <c r="BH73" s="158">
        <f t="shared" si="1210"/>
        <v>0</v>
      </c>
      <c r="BI73" s="159">
        <f t="shared" si="1210"/>
        <v>0</v>
      </c>
      <c r="BJ73" s="157">
        <f t="shared" si="1210"/>
        <v>0</v>
      </c>
      <c r="BK73" s="158">
        <f t="shared" si="1210"/>
        <v>0</v>
      </c>
      <c r="BL73" s="158">
        <f t="shared" si="1210"/>
        <v>0</v>
      </c>
      <c r="BM73" s="159">
        <f t="shared" si="1210"/>
        <v>0</v>
      </c>
      <c r="BN73" s="157">
        <f t="shared" si="1210"/>
        <v>0</v>
      </c>
      <c r="BO73" s="158">
        <f t="shared" si="1210"/>
        <v>0</v>
      </c>
      <c r="BP73" s="158">
        <f t="shared" si="1210"/>
        <v>0</v>
      </c>
      <c r="BQ73" s="158">
        <f t="shared" si="1210"/>
        <v>0</v>
      </c>
      <c r="BR73" s="158">
        <f t="shared" si="1210"/>
        <v>0</v>
      </c>
      <c r="BS73" s="159">
        <f t="shared" si="1210"/>
        <v>0</v>
      </c>
      <c r="BT73" s="157">
        <f t="shared" si="1210"/>
        <v>0</v>
      </c>
      <c r="BU73" s="158">
        <f t="shared" si="1210"/>
        <v>0</v>
      </c>
      <c r="BV73" s="158">
        <f t="shared" si="1210"/>
        <v>0</v>
      </c>
      <c r="BW73" s="158">
        <f t="shared" si="1210"/>
        <v>0</v>
      </c>
      <c r="BX73" s="159">
        <f t="shared" si="1210"/>
        <v>0</v>
      </c>
      <c r="BY73" s="157">
        <f t="shared" si="1210"/>
        <v>0</v>
      </c>
      <c r="BZ73" s="158">
        <f t="shared" si="1210"/>
        <v>0</v>
      </c>
      <c r="CA73" s="158">
        <f t="shared" si="1210"/>
        <v>0</v>
      </c>
      <c r="CB73" s="158">
        <f t="shared" si="1210"/>
        <v>0</v>
      </c>
      <c r="CC73" s="158">
        <f t="shared" si="1210"/>
        <v>0</v>
      </c>
      <c r="CD73" s="158">
        <f t="shared" si="1210"/>
        <v>0</v>
      </c>
      <c r="CE73" s="158">
        <f t="shared" si="1210"/>
        <v>0</v>
      </c>
      <c r="CF73" s="158">
        <f t="shared" si="1210"/>
        <v>0</v>
      </c>
      <c r="CG73" s="158">
        <f t="shared" si="1210"/>
        <v>0</v>
      </c>
      <c r="CH73" s="158">
        <f t="shared" si="1210"/>
        <v>0</v>
      </c>
      <c r="CI73" s="158">
        <f t="shared" si="1210"/>
        <v>0</v>
      </c>
      <c r="CJ73" s="159">
        <f t="shared" si="1210"/>
        <v>0</v>
      </c>
      <c r="CL73" s="36"/>
      <c r="CN73" s="95"/>
      <c r="CO73" s="41"/>
      <c r="CP73" s="41"/>
      <c r="CQ73" s="41"/>
      <c r="CR73" s="41"/>
      <c r="CS73" s="41"/>
      <c r="CT73" s="41"/>
      <c r="CU73" s="42"/>
      <c r="CV73" s="95"/>
      <c r="CW73" s="41"/>
      <c r="CX73" s="41"/>
      <c r="CY73" s="42"/>
      <c r="CZ73" s="95"/>
      <c r="DA73" s="41"/>
      <c r="DB73" s="41"/>
      <c r="DC73" s="41"/>
      <c r="DD73" s="41"/>
      <c r="DE73" s="42"/>
      <c r="DF73" s="95"/>
      <c r="DG73" s="41"/>
      <c r="DH73" s="41"/>
      <c r="DI73" s="41"/>
      <c r="DJ73" s="42"/>
      <c r="DK73" s="95"/>
      <c r="DL73" s="41"/>
      <c r="DM73" s="41"/>
      <c r="DN73" s="41"/>
      <c r="DO73" s="41"/>
      <c r="DP73" s="41"/>
      <c r="DQ73" s="41"/>
      <c r="DR73" s="41"/>
      <c r="DS73" s="41"/>
      <c r="DT73" s="41"/>
      <c r="DU73" s="41"/>
      <c r="DV73" s="42"/>
      <c r="DX73" s="186">
        <f t="shared" ref="DX73" si="1211">P73/$E73</f>
        <v>0</v>
      </c>
      <c r="DY73" s="187">
        <f t="shared" ref="DY73" si="1212">Q73/$E73</f>
        <v>0</v>
      </c>
      <c r="DZ73" s="187">
        <f t="shared" ref="DZ73" si="1213">R73/$E73</f>
        <v>0</v>
      </c>
      <c r="EA73" s="187">
        <f t="shared" ref="EA73" si="1214">S73/$E73</f>
        <v>0</v>
      </c>
      <c r="EB73" s="187">
        <f t="shared" ref="EB73" si="1215">T73/$E73</f>
        <v>0</v>
      </c>
      <c r="EC73" s="187">
        <f t="shared" ref="EC73" si="1216">U73/$E73</f>
        <v>0</v>
      </c>
      <c r="ED73" s="187">
        <f t="shared" ref="ED73" si="1217">V73/$E73</f>
        <v>0</v>
      </c>
      <c r="EE73" s="188">
        <f t="shared" ref="EE73" si="1218">W73/$E73</f>
        <v>0</v>
      </c>
      <c r="EF73" s="186">
        <f t="shared" ref="EF73" si="1219">X73/$E73</f>
        <v>0</v>
      </c>
      <c r="EG73" s="187">
        <f t="shared" ref="EG73" si="1220">Y73/$E73</f>
        <v>0</v>
      </c>
      <c r="EH73" s="187">
        <f t="shared" ref="EH73" si="1221">Z73/$E73</f>
        <v>0</v>
      </c>
      <c r="EI73" s="188">
        <f t="shared" ref="EI73" si="1222">AA73/$E73</f>
        <v>0</v>
      </c>
      <c r="EJ73" s="186">
        <f t="shared" ref="EJ73" si="1223">AB73/$E73</f>
        <v>0</v>
      </c>
      <c r="EK73" s="187">
        <f t="shared" ref="EK73" si="1224">AC73/$E73</f>
        <v>0</v>
      </c>
      <c r="EL73" s="187">
        <f t="shared" ref="EL73" si="1225">AD73/$E73</f>
        <v>0</v>
      </c>
      <c r="EM73" s="187">
        <f t="shared" ref="EM73" si="1226">AE73/$E73</f>
        <v>0</v>
      </c>
      <c r="EN73" s="187">
        <f t="shared" ref="EN73" si="1227">AF73/$E73</f>
        <v>0</v>
      </c>
      <c r="EO73" s="188">
        <f t="shared" ref="EO73" si="1228">AG73/$E73</f>
        <v>0</v>
      </c>
      <c r="EP73" s="186">
        <f t="shared" ref="EP73" si="1229">AH73/$E73</f>
        <v>0</v>
      </c>
      <c r="EQ73" s="187">
        <f t="shared" ref="EQ73" si="1230">AI73/$E73</f>
        <v>0</v>
      </c>
      <c r="ER73" s="187">
        <f t="shared" ref="ER73" si="1231">AJ73/$E73</f>
        <v>0</v>
      </c>
      <c r="ES73" s="187">
        <f t="shared" ref="ES73" si="1232">AK73/$E73</f>
        <v>0</v>
      </c>
      <c r="ET73" s="188">
        <f t="shared" ref="ET73" si="1233">AL73/$E73</f>
        <v>0</v>
      </c>
      <c r="EU73" s="186">
        <f t="shared" ref="EU73" si="1234">AM73/$E73</f>
        <v>0</v>
      </c>
      <c r="EV73" s="187">
        <f t="shared" ref="EV73" si="1235">AN73/$E73</f>
        <v>0</v>
      </c>
      <c r="EW73" s="187">
        <f t="shared" ref="EW73" si="1236">AO73/$E73</f>
        <v>0</v>
      </c>
      <c r="EX73" s="187">
        <f t="shared" ref="EX73" si="1237">AP73/$E73</f>
        <v>0</v>
      </c>
      <c r="EY73" s="187">
        <f t="shared" ref="EY73" si="1238">AQ73/$E73</f>
        <v>0</v>
      </c>
      <c r="EZ73" s="187">
        <f t="shared" ref="EZ73" si="1239">AR73/$E73</f>
        <v>0</v>
      </c>
      <c r="FA73" s="187">
        <f t="shared" ref="FA73" si="1240">AS73/$E73</f>
        <v>0</v>
      </c>
      <c r="FB73" s="187">
        <f t="shared" ref="FB73" si="1241">AT73/$E73</f>
        <v>0</v>
      </c>
      <c r="FC73" s="187">
        <f t="shared" ref="FC73" si="1242">AU73/$E73</f>
        <v>0</v>
      </c>
      <c r="FD73" s="187">
        <f t="shared" ref="FD73" si="1243">AV73/$E73</f>
        <v>0</v>
      </c>
      <c r="FE73" s="187">
        <f t="shared" ref="FE73" si="1244">AY73/$E73</f>
        <v>0</v>
      </c>
      <c r="FF73" s="188">
        <f t="shared" ref="FF73" si="1245">AZ73/$E73</f>
        <v>0</v>
      </c>
    </row>
    <row r="74" spans="2:162" x14ac:dyDescent="0.25">
      <c r="B74" s="127">
        <f t="shared" si="1209"/>
        <v>45553</v>
      </c>
      <c r="C74" s="266"/>
      <c r="D74" s="53"/>
      <c r="E74" s="129"/>
      <c r="F74" s="25"/>
      <c r="G74" s="25"/>
      <c r="H74" s="150"/>
      <c r="I74" s="24"/>
      <c r="J74" s="151"/>
      <c r="K74" s="151"/>
      <c r="L74" s="152"/>
      <c r="M74" s="152"/>
      <c r="N74" s="153"/>
      <c r="O74" s="25"/>
      <c r="P74" s="95"/>
      <c r="Q74" s="41"/>
      <c r="R74" s="41"/>
      <c r="S74" s="41"/>
      <c r="T74" s="41"/>
      <c r="U74" s="41"/>
      <c r="V74" s="41"/>
      <c r="W74" s="42"/>
      <c r="X74" s="95"/>
      <c r="Y74" s="41"/>
      <c r="Z74" s="41"/>
      <c r="AA74" s="42"/>
      <c r="AB74" s="95"/>
      <c r="AC74" s="41"/>
      <c r="AD74" s="41"/>
      <c r="AE74" s="41"/>
      <c r="AF74" s="41"/>
      <c r="AG74" s="42"/>
      <c r="AH74" s="95"/>
      <c r="AI74" s="41"/>
      <c r="AJ74" s="41"/>
      <c r="AK74" s="41"/>
      <c r="AL74" s="42"/>
      <c r="AM74" s="95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2"/>
      <c r="BB74" s="95"/>
      <c r="BC74" s="41"/>
      <c r="BD74" s="41"/>
      <c r="BE74" s="41"/>
      <c r="BF74" s="41"/>
      <c r="BG74" s="41"/>
      <c r="BH74" s="41"/>
      <c r="BI74" s="42"/>
      <c r="BJ74" s="95"/>
      <c r="BK74" s="41"/>
      <c r="BL74" s="41"/>
      <c r="BM74" s="42"/>
      <c r="BN74" s="95"/>
      <c r="BO74" s="41"/>
      <c r="BP74" s="41"/>
      <c r="BQ74" s="41"/>
      <c r="BR74" s="41"/>
      <c r="BS74" s="42"/>
      <c r="BT74" s="95"/>
      <c r="BU74" s="41"/>
      <c r="BV74" s="41"/>
      <c r="BW74" s="41"/>
      <c r="BX74" s="42"/>
      <c r="BY74" s="95"/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2"/>
      <c r="CL74" s="36"/>
      <c r="CN74" s="95"/>
      <c r="CO74" s="41"/>
      <c r="CP74" s="41"/>
      <c r="CQ74" s="41"/>
      <c r="CR74" s="41"/>
      <c r="CS74" s="41"/>
      <c r="CT74" s="41"/>
      <c r="CU74" s="42"/>
      <c r="CV74" s="95"/>
      <c r="CW74" s="41"/>
      <c r="CX74" s="41"/>
      <c r="CY74" s="42"/>
      <c r="CZ74" s="95"/>
      <c r="DA74" s="41"/>
      <c r="DB74" s="41"/>
      <c r="DC74" s="41"/>
      <c r="DD74" s="41"/>
      <c r="DE74" s="42"/>
      <c r="DF74" s="95"/>
      <c r="DG74" s="41"/>
      <c r="DH74" s="41"/>
      <c r="DI74" s="41"/>
      <c r="DJ74" s="42"/>
      <c r="DK74" s="95"/>
      <c r="DL74" s="41"/>
      <c r="DM74" s="41"/>
      <c r="DN74" s="41"/>
      <c r="DO74" s="41"/>
      <c r="DP74" s="41"/>
      <c r="DQ74" s="41"/>
      <c r="DR74" s="41"/>
      <c r="DS74" s="41"/>
      <c r="DT74" s="41"/>
      <c r="DU74" s="41"/>
      <c r="DV74" s="42"/>
      <c r="DX74" s="138"/>
      <c r="DY74" s="34"/>
      <c r="DZ74" s="34"/>
      <c r="EA74" s="34"/>
      <c r="EB74" s="34"/>
      <c r="EC74" s="34"/>
      <c r="ED74" s="34"/>
      <c r="EE74" s="139"/>
      <c r="EF74" s="138"/>
      <c r="EG74" s="34"/>
      <c r="EH74" s="34"/>
      <c r="EI74" s="139"/>
      <c r="EJ74" s="138"/>
      <c r="EK74" s="34"/>
      <c r="EL74" s="34"/>
      <c r="EM74" s="34"/>
      <c r="EN74" s="34"/>
      <c r="EO74" s="139"/>
      <c r="EP74" s="138"/>
      <c r="EQ74" s="34"/>
      <c r="ER74" s="34"/>
      <c r="ES74" s="34"/>
      <c r="ET74" s="139"/>
      <c r="EU74" s="138"/>
      <c r="EV74" s="34"/>
      <c r="EW74" s="34"/>
      <c r="EX74" s="34"/>
      <c r="EY74" s="34"/>
      <c r="EZ74" s="34"/>
      <c r="FA74" s="34"/>
      <c r="FB74" s="34"/>
      <c r="FC74" s="34"/>
      <c r="FD74" s="34"/>
      <c r="FE74" s="34"/>
      <c r="FF74" s="139"/>
    </row>
    <row r="75" spans="2:162" x14ac:dyDescent="0.25">
      <c r="B75" s="127">
        <f t="shared" si="1209"/>
        <v>45554</v>
      </c>
      <c r="C75" s="266"/>
      <c r="D75" s="53"/>
      <c r="E75" s="129"/>
      <c r="F75" s="25"/>
      <c r="G75" s="25"/>
      <c r="H75" s="150"/>
      <c r="I75" s="24"/>
      <c r="J75" s="151"/>
      <c r="K75" s="151"/>
      <c r="L75" s="152"/>
      <c r="M75" s="152"/>
      <c r="N75" s="153"/>
      <c r="O75" s="25"/>
      <c r="P75" s="95"/>
      <c r="Q75" s="41"/>
      <c r="R75" s="41"/>
      <c r="S75" s="41"/>
      <c r="T75" s="41"/>
      <c r="U75" s="41"/>
      <c r="V75" s="41"/>
      <c r="W75" s="42"/>
      <c r="X75" s="95"/>
      <c r="Y75" s="41"/>
      <c r="Z75" s="41"/>
      <c r="AA75" s="42"/>
      <c r="AB75" s="95"/>
      <c r="AC75" s="41"/>
      <c r="AD75" s="41"/>
      <c r="AE75" s="41"/>
      <c r="AF75" s="41"/>
      <c r="AG75" s="42"/>
      <c r="AH75" s="95"/>
      <c r="AI75" s="41"/>
      <c r="AJ75" s="41"/>
      <c r="AK75" s="41"/>
      <c r="AL75" s="42"/>
      <c r="AM75" s="95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2"/>
      <c r="BB75" s="95"/>
      <c r="BC75" s="41"/>
      <c r="BD75" s="41"/>
      <c r="BE75" s="41"/>
      <c r="BF75" s="41"/>
      <c r="BG75" s="41"/>
      <c r="BH75" s="41"/>
      <c r="BI75" s="42"/>
      <c r="BJ75" s="95"/>
      <c r="BK75" s="41"/>
      <c r="BL75" s="41"/>
      <c r="BM75" s="42"/>
      <c r="BN75" s="95"/>
      <c r="BO75" s="41"/>
      <c r="BP75" s="41"/>
      <c r="BQ75" s="41"/>
      <c r="BR75" s="41"/>
      <c r="BS75" s="42"/>
      <c r="BT75" s="95"/>
      <c r="BU75" s="41"/>
      <c r="BV75" s="41"/>
      <c r="BW75" s="41"/>
      <c r="BX75" s="42"/>
      <c r="BY75" s="95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2"/>
      <c r="CL75" s="36"/>
      <c r="CN75" s="95"/>
      <c r="CO75" s="41"/>
      <c r="CP75" s="41"/>
      <c r="CQ75" s="41"/>
      <c r="CR75" s="41"/>
      <c r="CS75" s="41"/>
      <c r="CT75" s="41"/>
      <c r="CU75" s="42"/>
      <c r="CV75" s="95"/>
      <c r="CW75" s="41"/>
      <c r="CX75" s="41"/>
      <c r="CY75" s="42"/>
      <c r="CZ75" s="95"/>
      <c r="DA75" s="41"/>
      <c r="DB75" s="41"/>
      <c r="DC75" s="41"/>
      <c r="DD75" s="41"/>
      <c r="DE75" s="42"/>
      <c r="DF75" s="95"/>
      <c r="DG75" s="41"/>
      <c r="DH75" s="41"/>
      <c r="DI75" s="41"/>
      <c r="DJ75" s="42"/>
      <c r="DK75" s="95"/>
      <c r="DL75" s="41"/>
      <c r="DM75" s="41"/>
      <c r="DN75" s="41"/>
      <c r="DO75" s="41"/>
      <c r="DP75" s="41"/>
      <c r="DQ75" s="41"/>
      <c r="DR75" s="41"/>
      <c r="DS75" s="41"/>
      <c r="DT75" s="41"/>
      <c r="DU75" s="41"/>
      <c r="DV75" s="42"/>
      <c r="DX75" s="138"/>
      <c r="DY75" s="34"/>
      <c r="DZ75" s="34"/>
      <c r="EA75" s="34"/>
      <c r="EB75" s="34"/>
      <c r="EC75" s="34"/>
      <c r="ED75" s="34"/>
      <c r="EE75" s="139"/>
      <c r="EF75" s="138"/>
      <c r="EG75" s="34"/>
      <c r="EH75" s="34"/>
      <c r="EI75" s="139"/>
      <c r="EJ75" s="138"/>
      <c r="EK75" s="34"/>
      <c r="EL75" s="34"/>
      <c r="EM75" s="34"/>
      <c r="EN75" s="34"/>
      <c r="EO75" s="139"/>
      <c r="EP75" s="138"/>
      <c r="EQ75" s="34"/>
      <c r="ER75" s="34"/>
      <c r="ES75" s="34"/>
      <c r="ET75" s="139"/>
      <c r="EU75" s="138"/>
      <c r="EV75" s="34"/>
      <c r="EW75" s="34"/>
      <c r="EX75" s="34"/>
      <c r="EY75" s="34"/>
      <c r="EZ75" s="34"/>
      <c r="FA75" s="34"/>
      <c r="FB75" s="34"/>
      <c r="FC75" s="34"/>
      <c r="FD75" s="34"/>
      <c r="FE75" s="34"/>
      <c r="FF75" s="139"/>
    </row>
    <row r="76" spans="2:162" x14ac:dyDescent="0.25">
      <c r="B76" s="127">
        <f t="shared" si="1209"/>
        <v>45555</v>
      </c>
      <c r="C76" s="266"/>
      <c r="D76" s="53">
        <v>3</v>
      </c>
      <c r="E76" s="129">
        <v>7.78</v>
      </c>
      <c r="F76" s="25"/>
      <c r="G76" s="25"/>
      <c r="H76" s="150">
        <v>4</v>
      </c>
      <c r="I76" s="24">
        <v>2</v>
      </c>
      <c r="J76" s="151">
        <f>3/5</f>
        <v>0.6</v>
      </c>
      <c r="K76" s="151"/>
      <c r="L76" s="152">
        <v>13.3</v>
      </c>
      <c r="M76" s="152">
        <f t="shared" ref="M76:M78" si="1246">H76/I76*K76*L76*1.5</f>
        <v>0</v>
      </c>
      <c r="N76" s="153">
        <f t="shared" ref="N76:N78" si="1247">H76/I76*J76*L76*N$4</f>
        <v>17.556000000000001</v>
      </c>
      <c r="O76" s="25"/>
      <c r="P76" s="95"/>
      <c r="Q76" s="41"/>
      <c r="R76" s="41"/>
      <c r="S76" s="41"/>
      <c r="T76" s="41"/>
      <c r="U76" s="41"/>
      <c r="V76" s="41"/>
      <c r="W76" s="42"/>
      <c r="X76" s="95"/>
      <c r="Y76" s="41"/>
      <c r="Z76" s="41"/>
      <c r="AA76" s="42"/>
      <c r="AB76" s="95"/>
      <c r="AC76" s="41"/>
      <c r="AD76" s="41"/>
      <c r="AE76" s="41"/>
      <c r="AF76" s="41"/>
      <c r="AG76" s="42"/>
      <c r="AH76" s="95"/>
      <c r="AI76" s="41"/>
      <c r="AJ76" s="41"/>
      <c r="AK76" s="41"/>
      <c r="AL76" s="42"/>
      <c r="AM76" s="95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2"/>
      <c r="BB76" s="95">
        <f t="shared" ref="BB76:BB78" si="1248">$N76*DX76</f>
        <v>0</v>
      </c>
      <c r="BC76" s="41">
        <f t="shared" ref="BC76:BC78" si="1249">$N76*DY76</f>
        <v>0</v>
      </c>
      <c r="BD76" s="41">
        <f t="shared" ref="BD76:BD78" si="1250">$N76*DZ76</f>
        <v>0</v>
      </c>
      <c r="BE76" s="41">
        <f t="shared" ref="BE76:BE78" si="1251">$N76*EA76</f>
        <v>0</v>
      </c>
      <c r="BF76" s="41">
        <f t="shared" ref="BF76:BF78" si="1252">$N76*EB76</f>
        <v>0</v>
      </c>
      <c r="BG76" s="41">
        <f t="shared" ref="BG76:BG78" si="1253">$N76*EC76</f>
        <v>0</v>
      </c>
      <c r="BH76" s="41">
        <f t="shared" ref="BH76:BH78" si="1254">$N76*ED76</f>
        <v>0</v>
      </c>
      <c r="BI76" s="42">
        <f t="shared" ref="BI76:BI78" si="1255">$N76*EE76</f>
        <v>0</v>
      </c>
      <c r="BJ76" s="95">
        <f t="shared" ref="BJ76:BJ78" si="1256">$N76*EF76</f>
        <v>0</v>
      </c>
      <c r="BK76" s="41">
        <f t="shared" ref="BK76:BK78" si="1257">$N76*EG76</f>
        <v>0</v>
      </c>
      <c r="BL76" s="41">
        <f t="shared" ref="BL76:BL78" si="1258">$N76*EH76</f>
        <v>0</v>
      </c>
      <c r="BM76" s="42">
        <f t="shared" ref="BM76:BM78" si="1259">$N76*EI76</f>
        <v>0</v>
      </c>
      <c r="BN76" s="95">
        <f t="shared" ref="BN76:BN78" si="1260">$N76*EJ76</f>
        <v>0</v>
      </c>
      <c r="BO76" s="41">
        <f t="shared" ref="BO76:BO78" si="1261">$N76*EK76</f>
        <v>0</v>
      </c>
      <c r="BP76" s="41">
        <f t="shared" ref="BP76:BP78" si="1262">$N76*EL76</f>
        <v>0</v>
      </c>
      <c r="BQ76" s="41">
        <f t="shared" ref="BQ76:BQ78" si="1263">$N76*EM76</f>
        <v>0</v>
      </c>
      <c r="BR76" s="41">
        <f t="shared" ref="BR76:BR78" si="1264">$N76*EN76</f>
        <v>0</v>
      </c>
      <c r="BS76" s="42">
        <f t="shared" ref="BS76:BS78" si="1265">$N76*EO76</f>
        <v>0</v>
      </c>
      <c r="BT76" s="95">
        <f t="shared" ref="BT76:BT78" si="1266">$N76*EP76</f>
        <v>0</v>
      </c>
      <c r="BU76" s="41">
        <f t="shared" ref="BU76:BU78" si="1267">$N76*EQ76</f>
        <v>0</v>
      </c>
      <c r="BV76" s="41">
        <f t="shared" ref="BV76:BV78" si="1268">$N76*ER76</f>
        <v>0</v>
      </c>
      <c r="BW76" s="41">
        <f t="shared" ref="BW76:BW78" si="1269">$N76*ES76</f>
        <v>0</v>
      </c>
      <c r="BX76" s="42">
        <f t="shared" ref="BX76:BX78" si="1270">$N76*ET76</f>
        <v>0</v>
      </c>
      <c r="BY76" s="95">
        <f t="shared" ref="BY76:BY78" si="1271">$N76*EU76</f>
        <v>0</v>
      </c>
      <c r="BZ76" s="41">
        <f t="shared" ref="BZ76:BZ78" si="1272">$N76*EV76</f>
        <v>0</v>
      </c>
      <c r="CA76" s="41">
        <f t="shared" ref="CA76:CA78" si="1273">$N76*EW76</f>
        <v>0</v>
      </c>
      <c r="CB76" s="41">
        <f t="shared" ref="CB76:CB78" si="1274">$N76*EX76</f>
        <v>0</v>
      </c>
      <c r="CC76" s="41">
        <f t="shared" ref="CC76:CC78" si="1275">$N76*EY76</f>
        <v>0</v>
      </c>
      <c r="CD76" s="41">
        <f t="shared" ref="CD76:CD78" si="1276">$N76*EZ76</f>
        <v>0</v>
      </c>
      <c r="CE76" s="41">
        <f t="shared" ref="CE76:CE78" si="1277">$N76*FA76</f>
        <v>0</v>
      </c>
      <c r="CF76" s="41">
        <f t="shared" ref="CF76:CF78" si="1278">$N76*FB76</f>
        <v>0</v>
      </c>
      <c r="CG76" s="41">
        <f t="shared" ref="CG76:CG78" si="1279">$N76*FC76</f>
        <v>0</v>
      </c>
      <c r="CH76" s="41">
        <f t="shared" ref="CH76:CH78" si="1280">$N76*FD76</f>
        <v>0</v>
      </c>
      <c r="CI76" s="41">
        <f t="shared" ref="CI76:CI78" si="1281">$N76*FE76</f>
        <v>0</v>
      </c>
      <c r="CJ76" s="42">
        <f t="shared" ref="CJ76:CJ78" si="1282">$N76*FF76</f>
        <v>0</v>
      </c>
      <c r="CL76" s="36"/>
      <c r="CN76" s="95"/>
      <c r="CO76" s="41"/>
      <c r="CP76" s="41"/>
      <c r="CQ76" s="41"/>
      <c r="CR76" s="41"/>
      <c r="CS76" s="41"/>
      <c r="CT76" s="41"/>
      <c r="CU76" s="42"/>
      <c r="CV76" s="95"/>
      <c r="CW76" s="41"/>
      <c r="CX76" s="41"/>
      <c r="CY76" s="42"/>
      <c r="CZ76" s="95"/>
      <c r="DA76" s="41"/>
      <c r="DB76" s="41"/>
      <c r="DC76" s="41"/>
      <c r="DD76" s="41"/>
      <c r="DE76" s="42"/>
      <c r="DF76" s="95"/>
      <c r="DG76" s="41"/>
      <c r="DH76" s="41"/>
      <c r="DI76" s="41"/>
      <c r="DJ76" s="42"/>
      <c r="DK76" s="95"/>
      <c r="DL76" s="41"/>
      <c r="DM76" s="41"/>
      <c r="DN76" s="41"/>
      <c r="DO76" s="41"/>
      <c r="DP76" s="41"/>
      <c r="DQ76" s="41"/>
      <c r="DR76" s="41"/>
      <c r="DS76" s="41"/>
      <c r="DT76" s="41"/>
      <c r="DU76" s="41"/>
      <c r="DV76" s="42"/>
      <c r="DX76" s="138">
        <f t="shared" ref="DX76:DX78" si="1283">P76/$E76</f>
        <v>0</v>
      </c>
      <c r="DY76" s="34">
        <f t="shared" ref="DY76:DY78" si="1284">Q76/$E76</f>
        <v>0</v>
      </c>
      <c r="DZ76" s="34">
        <f t="shared" ref="DZ76:DZ78" si="1285">R76/$E76</f>
        <v>0</v>
      </c>
      <c r="EA76" s="34">
        <f t="shared" ref="EA76:EA78" si="1286">S76/$E76</f>
        <v>0</v>
      </c>
      <c r="EB76" s="34">
        <f t="shared" ref="EB76:EB78" si="1287">T76/$E76</f>
        <v>0</v>
      </c>
      <c r="EC76" s="34">
        <f t="shared" ref="EC76:EC78" si="1288">U76/$E76</f>
        <v>0</v>
      </c>
      <c r="ED76" s="34">
        <f t="shared" ref="ED76:ED78" si="1289">V76/$E76</f>
        <v>0</v>
      </c>
      <c r="EE76" s="139">
        <f t="shared" ref="EE76:EE78" si="1290">W76/$E76</f>
        <v>0</v>
      </c>
      <c r="EF76" s="138">
        <f t="shared" ref="EF76:EF78" si="1291">X76/$E76</f>
        <v>0</v>
      </c>
      <c r="EG76" s="34">
        <f t="shared" ref="EG76:EG78" si="1292">Y76/$E76</f>
        <v>0</v>
      </c>
      <c r="EH76" s="34">
        <f t="shared" ref="EH76:EH78" si="1293">Z76/$E76</f>
        <v>0</v>
      </c>
      <c r="EI76" s="139">
        <f t="shared" ref="EI76:EI78" si="1294">AA76/$E76</f>
        <v>0</v>
      </c>
      <c r="EJ76" s="138">
        <f t="shared" ref="EJ76:EJ78" si="1295">AB76/$E76</f>
        <v>0</v>
      </c>
      <c r="EK76" s="34">
        <f t="shared" ref="EK76:EK78" si="1296">AC76/$E76</f>
        <v>0</v>
      </c>
      <c r="EL76" s="34">
        <f t="shared" ref="EL76:EL78" si="1297">AD76/$E76</f>
        <v>0</v>
      </c>
      <c r="EM76" s="34">
        <f t="shared" ref="EM76:EM78" si="1298">AE76/$E76</f>
        <v>0</v>
      </c>
      <c r="EN76" s="34">
        <f t="shared" ref="EN76:EN78" si="1299">AF76/$E76</f>
        <v>0</v>
      </c>
      <c r="EO76" s="139">
        <f t="shared" ref="EO76:EO78" si="1300">AG76/$E76</f>
        <v>0</v>
      </c>
      <c r="EP76" s="138">
        <f t="shared" ref="EP76:EP78" si="1301">AH76/$E76</f>
        <v>0</v>
      </c>
      <c r="EQ76" s="34">
        <f t="shared" ref="EQ76:EQ78" si="1302">AI76/$E76</f>
        <v>0</v>
      </c>
      <c r="ER76" s="34">
        <f t="shared" ref="ER76:ER78" si="1303">AJ76/$E76</f>
        <v>0</v>
      </c>
      <c r="ES76" s="34">
        <f t="shared" ref="ES76:ES78" si="1304">AK76/$E76</f>
        <v>0</v>
      </c>
      <c r="ET76" s="139">
        <f t="shared" ref="ET76:ET78" si="1305">AL76/$E76</f>
        <v>0</v>
      </c>
      <c r="EU76" s="138">
        <f t="shared" ref="EU76:EU78" si="1306">AM76/$E76</f>
        <v>0</v>
      </c>
      <c r="EV76" s="34">
        <f t="shared" ref="EV76:EV78" si="1307">AN76/$E76</f>
        <v>0</v>
      </c>
      <c r="EW76" s="34">
        <f t="shared" ref="EW76:EW78" si="1308">AO76/$E76</f>
        <v>0</v>
      </c>
      <c r="EX76" s="34">
        <f t="shared" ref="EX76:EX78" si="1309">AP76/$E76</f>
        <v>0</v>
      </c>
      <c r="EY76" s="34">
        <f t="shared" ref="EY76:EY78" si="1310">AQ76/$E76</f>
        <v>0</v>
      </c>
      <c r="EZ76" s="34">
        <f t="shared" ref="EZ76:EZ78" si="1311">AR76/$E76</f>
        <v>0</v>
      </c>
      <c r="FA76" s="34">
        <f t="shared" ref="FA76:FA78" si="1312">AS76/$E76</f>
        <v>0</v>
      </c>
      <c r="FB76" s="34">
        <f t="shared" ref="FB76:FB78" si="1313">AT76/$E76</f>
        <v>0</v>
      </c>
      <c r="FC76" s="34">
        <f t="shared" ref="FC76:FC78" si="1314">AU76/$E76</f>
        <v>0</v>
      </c>
      <c r="FD76" s="34">
        <f t="shared" ref="FD76:FD78" si="1315">AV76/$E76</f>
        <v>0</v>
      </c>
      <c r="FE76" s="34">
        <f t="shared" ref="FE76:FE78" si="1316">AY76/$E76</f>
        <v>0</v>
      </c>
      <c r="FF76" s="139">
        <f t="shared" ref="FF76:FF78" si="1317">AZ76/$E76</f>
        <v>0</v>
      </c>
    </row>
    <row r="77" spans="2:162" x14ac:dyDescent="0.25">
      <c r="B77" s="127">
        <f t="shared" si="1209"/>
        <v>45556</v>
      </c>
      <c r="C77" s="266"/>
      <c r="D77" s="53">
        <v>2</v>
      </c>
      <c r="E77" s="129">
        <v>4.2</v>
      </c>
      <c r="F77" s="25"/>
      <c r="G77" s="25"/>
      <c r="H77" s="150">
        <v>6</v>
      </c>
      <c r="I77" s="24">
        <v>2</v>
      </c>
      <c r="J77" s="151">
        <f>2/8</f>
        <v>0.25</v>
      </c>
      <c r="K77" s="151"/>
      <c r="L77" s="152">
        <v>13.2</v>
      </c>
      <c r="M77" s="152">
        <f t="shared" si="1246"/>
        <v>0</v>
      </c>
      <c r="N77" s="153">
        <f t="shared" si="1247"/>
        <v>10.889999999999999</v>
      </c>
      <c r="O77" s="25"/>
      <c r="P77" s="95"/>
      <c r="Q77" s="41"/>
      <c r="R77" s="41"/>
      <c r="S77" s="41"/>
      <c r="T77" s="41"/>
      <c r="U77" s="41"/>
      <c r="V77" s="41"/>
      <c r="W77" s="42"/>
      <c r="X77" s="95"/>
      <c r="Y77" s="41"/>
      <c r="Z77" s="41"/>
      <c r="AA77" s="42"/>
      <c r="AB77" s="95"/>
      <c r="AC77" s="41"/>
      <c r="AD77" s="41"/>
      <c r="AE77" s="41"/>
      <c r="AF77" s="41"/>
      <c r="AG77" s="42"/>
      <c r="AH77" s="95"/>
      <c r="AI77" s="41"/>
      <c r="AJ77" s="41"/>
      <c r="AK77" s="41"/>
      <c r="AL77" s="42"/>
      <c r="AM77" s="95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2"/>
      <c r="BB77" s="95">
        <f t="shared" si="1248"/>
        <v>0</v>
      </c>
      <c r="BC77" s="41">
        <f t="shared" si="1249"/>
        <v>0</v>
      </c>
      <c r="BD77" s="41">
        <f t="shared" si="1250"/>
        <v>0</v>
      </c>
      <c r="BE77" s="41">
        <f t="shared" si="1251"/>
        <v>0</v>
      </c>
      <c r="BF77" s="41">
        <f t="shared" si="1252"/>
        <v>0</v>
      </c>
      <c r="BG77" s="41">
        <f t="shared" si="1253"/>
        <v>0</v>
      </c>
      <c r="BH77" s="41">
        <f t="shared" si="1254"/>
        <v>0</v>
      </c>
      <c r="BI77" s="42">
        <f t="shared" si="1255"/>
        <v>0</v>
      </c>
      <c r="BJ77" s="95">
        <f t="shared" si="1256"/>
        <v>0</v>
      </c>
      <c r="BK77" s="41">
        <f t="shared" si="1257"/>
        <v>0</v>
      </c>
      <c r="BL77" s="41">
        <f t="shared" si="1258"/>
        <v>0</v>
      </c>
      <c r="BM77" s="42">
        <f t="shared" si="1259"/>
        <v>0</v>
      </c>
      <c r="BN77" s="95">
        <f t="shared" si="1260"/>
        <v>0</v>
      </c>
      <c r="BO77" s="41">
        <f t="shared" si="1261"/>
        <v>0</v>
      </c>
      <c r="BP77" s="41">
        <f t="shared" si="1262"/>
        <v>0</v>
      </c>
      <c r="BQ77" s="41">
        <f t="shared" si="1263"/>
        <v>0</v>
      </c>
      <c r="BR77" s="41">
        <f t="shared" si="1264"/>
        <v>0</v>
      </c>
      <c r="BS77" s="42">
        <f t="shared" si="1265"/>
        <v>0</v>
      </c>
      <c r="BT77" s="95">
        <f t="shared" si="1266"/>
        <v>0</v>
      </c>
      <c r="BU77" s="41">
        <f t="shared" si="1267"/>
        <v>0</v>
      </c>
      <c r="BV77" s="41">
        <f t="shared" si="1268"/>
        <v>0</v>
      </c>
      <c r="BW77" s="41">
        <f t="shared" si="1269"/>
        <v>0</v>
      </c>
      <c r="BX77" s="42">
        <f t="shared" si="1270"/>
        <v>0</v>
      </c>
      <c r="BY77" s="95">
        <f t="shared" si="1271"/>
        <v>0</v>
      </c>
      <c r="BZ77" s="41">
        <f t="shared" si="1272"/>
        <v>0</v>
      </c>
      <c r="CA77" s="41">
        <f t="shared" si="1273"/>
        <v>0</v>
      </c>
      <c r="CB77" s="41">
        <f t="shared" si="1274"/>
        <v>0</v>
      </c>
      <c r="CC77" s="41">
        <f t="shared" si="1275"/>
        <v>0</v>
      </c>
      <c r="CD77" s="41">
        <f t="shared" si="1276"/>
        <v>0</v>
      </c>
      <c r="CE77" s="41">
        <f t="shared" si="1277"/>
        <v>0</v>
      </c>
      <c r="CF77" s="41">
        <f t="shared" si="1278"/>
        <v>0</v>
      </c>
      <c r="CG77" s="41">
        <f t="shared" si="1279"/>
        <v>0</v>
      </c>
      <c r="CH77" s="41">
        <f t="shared" si="1280"/>
        <v>0</v>
      </c>
      <c r="CI77" s="41">
        <f t="shared" si="1281"/>
        <v>0</v>
      </c>
      <c r="CJ77" s="42">
        <f t="shared" si="1282"/>
        <v>0</v>
      </c>
      <c r="CL77" s="36">
        <v>2</v>
      </c>
      <c r="CN77" s="95">
        <f t="shared" ref="CN77" si="1318">AVERAGE(BB77:BB78)*$CL77</f>
        <v>0</v>
      </c>
      <c r="CO77" s="41">
        <f t="shared" ref="CO77" si="1319">AVERAGE(BC77:BC78)*$CL77</f>
        <v>0</v>
      </c>
      <c r="CP77" s="41">
        <f t="shared" ref="CP77" si="1320">AVERAGE(BD77:BD78)*$CL77</f>
        <v>0</v>
      </c>
      <c r="CQ77" s="41">
        <f t="shared" ref="CQ77" si="1321">AVERAGE(BE77:BE78)*$CL77</f>
        <v>0</v>
      </c>
      <c r="CR77" s="41">
        <f t="shared" ref="CR77" si="1322">AVERAGE(BF77:BF78)*$CL77</f>
        <v>0</v>
      </c>
      <c r="CS77" s="41">
        <f t="shared" ref="CS77" si="1323">AVERAGE(BG77:BG78)*$CL77</f>
        <v>0</v>
      </c>
      <c r="CT77" s="41">
        <f t="shared" ref="CT77" si="1324">AVERAGE(BH77:BH78)*$CL77</f>
        <v>0</v>
      </c>
      <c r="CU77" s="42">
        <f t="shared" ref="CU77" si="1325">AVERAGE(BI77:BI78)*$CL77</f>
        <v>0</v>
      </c>
      <c r="CV77" s="95">
        <f t="shared" ref="CV77" si="1326">AVERAGE(BJ77:BJ78)*$CL77</f>
        <v>0</v>
      </c>
      <c r="CW77" s="41">
        <f t="shared" ref="CW77" si="1327">AVERAGE(BK77:BK78)*$CL77</f>
        <v>0</v>
      </c>
      <c r="CX77" s="41">
        <f t="shared" ref="CX77" si="1328">AVERAGE(BL77:BL78)*$CL77</f>
        <v>0</v>
      </c>
      <c r="CY77" s="42">
        <f t="shared" ref="CY77" si="1329">AVERAGE(BM77:BM78)*$CL77</f>
        <v>0</v>
      </c>
      <c r="CZ77" s="95">
        <f t="shared" ref="CZ77" si="1330">AVERAGE(BN77:BN78)*$CL77</f>
        <v>0</v>
      </c>
      <c r="DA77" s="41">
        <f t="shared" ref="DA77" si="1331">AVERAGE(BO77:BO78)*$CL77</f>
        <v>0</v>
      </c>
      <c r="DB77" s="41">
        <f t="shared" ref="DB77" si="1332">AVERAGE(BP77:BP78)*$CL77</f>
        <v>0</v>
      </c>
      <c r="DC77" s="41">
        <f t="shared" ref="DC77" si="1333">AVERAGE(BQ77:BQ78)*$CL77</f>
        <v>0</v>
      </c>
      <c r="DD77" s="41">
        <f t="shared" ref="DD77" si="1334">AVERAGE(BR77:BR78)*$CL77</f>
        <v>0</v>
      </c>
      <c r="DE77" s="42">
        <f t="shared" ref="DE77" si="1335">AVERAGE(BS77:BS78)*$CL77</f>
        <v>0</v>
      </c>
      <c r="DF77" s="95">
        <f t="shared" ref="DF77" si="1336">AVERAGE(BT77:BT78)*$CL77</f>
        <v>0</v>
      </c>
      <c r="DG77" s="41">
        <f t="shared" ref="DG77" si="1337">AVERAGE(BU77:BU78)*$CL77</f>
        <v>0</v>
      </c>
      <c r="DH77" s="41">
        <f t="shared" ref="DH77" si="1338">AVERAGE(BV77:BV78)*$CL77</f>
        <v>0</v>
      </c>
      <c r="DI77" s="41">
        <f t="shared" ref="DI77" si="1339">AVERAGE(BW77:BW78)*$CL77</f>
        <v>0</v>
      </c>
      <c r="DJ77" s="42">
        <f t="shared" ref="DJ77" si="1340">AVERAGE(BX77:BX78)*$CL77</f>
        <v>0</v>
      </c>
      <c r="DK77" s="95">
        <f t="shared" ref="DK77" si="1341">AVERAGE(BY77:BY78)*$CL77</f>
        <v>0</v>
      </c>
      <c r="DL77" s="41">
        <f t="shared" ref="DL77" si="1342">AVERAGE(BZ77:BZ78)*$CL77</f>
        <v>0</v>
      </c>
      <c r="DM77" s="41">
        <f t="shared" ref="DM77" si="1343">AVERAGE(CA77:CA78)*$CL77</f>
        <v>0</v>
      </c>
      <c r="DN77" s="41">
        <f t="shared" ref="DN77" si="1344">AVERAGE(CB77:CB78)*$CL77</f>
        <v>0</v>
      </c>
      <c r="DO77" s="41">
        <f t="shared" ref="DO77" si="1345">AVERAGE(CC77:CC78)*$CL77</f>
        <v>0</v>
      </c>
      <c r="DP77" s="41">
        <f t="shared" ref="DP77" si="1346">AVERAGE(CD77:CD78)*$CL77</f>
        <v>0</v>
      </c>
      <c r="DQ77" s="41">
        <f t="shared" ref="DQ77" si="1347">AVERAGE(CE77:CE78)*$CL77</f>
        <v>0</v>
      </c>
      <c r="DR77" s="41">
        <f t="shared" ref="DR77" si="1348">AVERAGE(CF77:CF78)*$CL77</f>
        <v>0</v>
      </c>
      <c r="DS77" s="41">
        <f t="shared" ref="DS77" si="1349">AVERAGE(CG77:CG78)*$CL77</f>
        <v>0</v>
      </c>
      <c r="DT77" s="41">
        <f t="shared" ref="DT77" si="1350">AVERAGE(CH77:CH78)*$CL77</f>
        <v>0</v>
      </c>
      <c r="DU77" s="41">
        <f t="shared" ref="DU77" si="1351">AVERAGE(CI77:CI78)*$CL77</f>
        <v>0</v>
      </c>
      <c r="DV77" s="42">
        <f t="shared" ref="DV77" si="1352">AVERAGE(CJ77:CJ78)*$CL77</f>
        <v>0</v>
      </c>
      <c r="DX77" s="138">
        <f t="shared" si="1283"/>
        <v>0</v>
      </c>
      <c r="DY77" s="34">
        <f t="shared" si="1284"/>
        <v>0</v>
      </c>
      <c r="DZ77" s="34">
        <f t="shared" si="1285"/>
        <v>0</v>
      </c>
      <c r="EA77" s="34">
        <f t="shared" si="1286"/>
        <v>0</v>
      </c>
      <c r="EB77" s="34">
        <f t="shared" si="1287"/>
        <v>0</v>
      </c>
      <c r="EC77" s="34">
        <f t="shared" si="1288"/>
        <v>0</v>
      </c>
      <c r="ED77" s="34">
        <f t="shared" si="1289"/>
        <v>0</v>
      </c>
      <c r="EE77" s="139">
        <f t="shared" si="1290"/>
        <v>0</v>
      </c>
      <c r="EF77" s="138">
        <f t="shared" si="1291"/>
        <v>0</v>
      </c>
      <c r="EG77" s="34">
        <f t="shared" si="1292"/>
        <v>0</v>
      </c>
      <c r="EH77" s="34">
        <f t="shared" si="1293"/>
        <v>0</v>
      </c>
      <c r="EI77" s="139">
        <f t="shared" si="1294"/>
        <v>0</v>
      </c>
      <c r="EJ77" s="138">
        <f t="shared" si="1295"/>
        <v>0</v>
      </c>
      <c r="EK77" s="34">
        <f t="shared" si="1296"/>
        <v>0</v>
      </c>
      <c r="EL77" s="34">
        <f t="shared" si="1297"/>
        <v>0</v>
      </c>
      <c r="EM77" s="34">
        <f t="shared" si="1298"/>
        <v>0</v>
      </c>
      <c r="EN77" s="34">
        <f t="shared" si="1299"/>
        <v>0</v>
      </c>
      <c r="EO77" s="139">
        <f t="shared" si="1300"/>
        <v>0</v>
      </c>
      <c r="EP77" s="138">
        <f t="shared" si="1301"/>
        <v>0</v>
      </c>
      <c r="EQ77" s="34">
        <f t="shared" si="1302"/>
        <v>0</v>
      </c>
      <c r="ER77" s="34">
        <f t="shared" si="1303"/>
        <v>0</v>
      </c>
      <c r="ES77" s="34">
        <f t="shared" si="1304"/>
        <v>0</v>
      </c>
      <c r="ET77" s="139">
        <f t="shared" si="1305"/>
        <v>0</v>
      </c>
      <c r="EU77" s="138">
        <f t="shared" si="1306"/>
        <v>0</v>
      </c>
      <c r="EV77" s="34">
        <f t="shared" si="1307"/>
        <v>0</v>
      </c>
      <c r="EW77" s="34">
        <f t="shared" si="1308"/>
        <v>0</v>
      </c>
      <c r="EX77" s="34">
        <f t="shared" si="1309"/>
        <v>0</v>
      </c>
      <c r="EY77" s="34">
        <f t="shared" si="1310"/>
        <v>0</v>
      </c>
      <c r="EZ77" s="34">
        <f t="shared" si="1311"/>
        <v>0</v>
      </c>
      <c r="FA77" s="34">
        <f t="shared" si="1312"/>
        <v>0</v>
      </c>
      <c r="FB77" s="34">
        <f t="shared" si="1313"/>
        <v>0</v>
      </c>
      <c r="FC77" s="34">
        <f t="shared" si="1314"/>
        <v>0</v>
      </c>
      <c r="FD77" s="34">
        <f t="shared" si="1315"/>
        <v>0</v>
      </c>
      <c r="FE77" s="34">
        <f t="shared" si="1316"/>
        <v>0</v>
      </c>
      <c r="FF77" s="139">
        <f t="shared" si="1317"/>
        <v>0</v>
      </c>
    </row>
    <row r="78" spans="2:162" ht="16.5" thickBot="1" x14ac:dyDescent="0.3">
      <c r="B78" s="127">
        <f t="shared" si="1209"/>
        <v>45557</v>
      </c>
      <c r="C78" s="267"/>
      <c r="D78" s="100">
        <v>2</v>
      </c>
      <c r="E78" s="131">
        <v>4.99</v>
      </c>
      <c r="F78" s="25"/>
      <c r="G78" s="25"/>
      <c r="H78" s="171">
        <v>7</v>
      </c>
      <c r="I78" s="172">
        <v>3</v>
      </c>
      <c r="J78" s="173">
        <f>2/6</f>
        <v>0.33333333333333331</v>
      </c>
      <c r="K78" s="173"/>
      <c r="L78" s="174">
        <v>13.1</v>
      </c>
      <c r="M78" s="174">
        <f t="shared" si="1246"/>
        <v>0</v>
      </c>
      <c r="N78" s="175">
        <f t="shared" si="1247"/>
        <v>11.207777777777778</v>
      </c>
      <c r="O78" s="25"/>
      <c r="P78" s="96"/>
      <c r="Q78" s="76"/>
      <c r="R78" s="76"/>
      <c r="S78" s="76"/>
      <c r="T78" s="76"/>
      <c r="U78" s="76"/>
      <c r="V78" s="76"/>
      <c r="W78" s="77"/>
      <c r="X78" s="96"/>
      <c r="Y78" s="76"/>
      <c r="Z78" s="76"/>
      <c r="AA78" s="77"/>
      <c r="AB78" s="96"/>
      <c r="AC78" s="76"/>
      <c r="AD78" s="76"/>
      <c r="AE78" s="76"/>
      <c r="AF78" s="76"/>
      <c r="AG78" s="77"/>
      <c r="AH78" s="96"/>
      <c r="AI78" s="76"/>
      <c r="AJ78" s="76"/>
      <c r="AK78" s="76"/>
      <c r="AL78" s="77"/>
      <c r="AM78" s="9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7"/>
      <c r="BB78" s="96">
        <f t="shared" si="1248"/>
        <v>0</v>
      </c>
      <c r="BC78" s="76">
        <f t="shared" si="1249"/>
        <v>0</v>
      </c>
      <c r="BD78" s="76">
        <f t="shared" si="1250"/>
        <v>0</v>
      </c>
      <c r="BE78" s="76">
        <f t="shared" si="1251"/>
        <v>0</v>
      </c>
      <c r="BF78" s="76">
        <f t="shared" si="1252"/>
        <v>0</v>
      </c>
      <c r="BG78" s="76">
        <f t="shared" si="1253"/>
        <v>0</v>
      </c>
      <c r="BH78" s="76">
        <f t="shared" si="1254"/>
        <v>0</v>
      </c>
      <c r="BI78" s="77">
        <f t="shared" si="1255"/>
        <v>0</v>
      </c>
      <c r="BJ78" s="96">
        <f t="shared" si="1256"/>
        <v>0</v>
      </c>
      <c r="BK78" s="76">
        <f t="shared" si="1257"/>
        <v>0</v>
      </c>
      <c r="BL78" s="76">
        <f t="shared" si="1258"/>
        <v>0</v>
      </c>
      <c r="BM78" s="77">
        <f t="shared" si="1259"/>
        <v>0</v>
      </c>
      <c r="BN78" s="96">
        <f t="shared" si="1260"/>
        <v>0</v>
      </c>
      <c r="BO78" s="76">
        <f t="shared" si="1261"/>
        <v>0</v>
      </c>
      <c r="BP78" s="76">
        <f t="shared" si="1262"/>
        <v>0</v>
      </c>
      <c r="BQ78" s="76">
        <f t="shared" si="1263"/>
        <v>0</v>
      </c>
      <c r="BR78" s="76">
        <f t="shared" si="1264"/>
        <v>0</v>
      </c>
      <c r="BS78" s="77">
        <f t="shared" si="1265"/>
        <v>0</v>
      </c>
      <c r="BT78" s="96">
        <f t="shared" si="1266"/>
        <v>0</v>
      </c>
      <c r="BU78" s="76">
        <f t="shared" si="1267"/>
        <v>0</v>
      </c>
      <c r="BV78" s="76">
        <f t="shared" si="1268"/>
        <v>0</v>
      </c>
      <c r="BW78" s="76">
        <f t="shared" si="1269"/>
        <v>0</v>
      </c>
      <c r="BX78" s="77">
        <f t="shared" si="1270"/>
        <v>0</v>
      </c>
      <c r="BY78" s="96">
        <f t="shared" si="1271"/>
        <v>0</v>
      </c>
      <c r="BZ78" s="76">
        <f t="shared" si="1272"/>
        <v>0</v>
      </c>
      <c r="CA78" s="76">
        <f t="shared" si="1273"/>
        <v>0</v>
      </c>
      <c r="CB78" s="76">
        <f t="shared" si="1274"/>
        <v>0</v>
      </c>
      <c r="CC78" s="76">
        <f t="shared" si="1275"/>
        <v>0</v>
      </c>
      <c r="CD78" s="76">
        <f t="shared" si="1276"/>
        <v>0</v>
      </c>
      <c r="CE78" s="76">
        <f t="shared" si="1277"/>
        <v>0</v>
      </c>
      <c r="CF78" s="76">
        <f t="shared" si="1278"/>
        <v>0</v>
      </c>
      <c r="CG78" s="76">
        <f t="shared" si="1279"/>
        <v>0</v>
      </c>
      <c r="CH78" s="76">
        <f t="shared" si="1280"/>
        <v>0</v>
      </c>
      <c r="CI78" s="76">
        <f t="shared" si="1281"/>
        <v>0</v>
      </c>
      <c r="CJ78" s="77">
        <f t="shared" si="1282"/>
        <v>0</v>
      </c>
      <c r="CN78" s="96"/>
      <c r="CO78" s="76"/>
      <c r="CP78" s="76"/>
      <c r="CQ78" s="76"/>
      <c r="CR78" s="76"/>
      <c r="CS78" s="76"/>
      <c r="CT78" s="76"/>
      <c r="CU78" s="77"/>
      <c r="CV78" s="96"/>
      <c r="CW78" s="76"/>
      <c r="CX78" s="76"/>
      <c r="CY78" s="77"/>
      <c r="CZ78" s="96"/>
      <c r="DA78" s="76"/>
      <c r="DB78" s="76"/>
      <c r="DC78" s="76"/>
      <c r="DD78" s="76"/>
      <c r="DE78" s="77"/>
      <c r="DF78" s="96"/>
      <c r="DG78" s="76"/>
      <c r="DH78" s="76"/>
      <c r="DI78" s="76"/>
      <c r="DJ78" s="77"/>
      <c r="DK78" s="9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7"/>
      <c r="DX78" s="140">
        <f t="shared" si="1283"/>
        <v>0</v>
      </c>
      <c r="DY78" s="141">
        <f t="shared" si="1284"/>
        <v>0</v>
      </c>
      <c r="DZ78" s="141">
        <f t="shared" si="1285"/>
        <v>0</v>
      </c>
      <c r="EA78" s="141">
        <f t="shared" si="1286"/>
        <v>0</v>
      </c>
      <c r="EB78" s="141">
        <f t="shared" si="1287"/>
        <v>0</v>
      </c>
      <c r="EC78" s="141">
        <f t="shared" si="1288"/>
        <v>0</v>
      </c>
      <c r="ED78" s="141">
        <f t="shared" si="1289"/>
        <v>0</v>
      </c>
      <c r="EE78" s="142">
        <f t="shared" si="1290"/>
        <v>0</v>
      </c>
      <c r="EF78" s="140">
        <f t="shared" si="1291"/>
        <v>0</v>
      </c>
      <c r="EG78" s="141">
        <f t="shared" si="1292"/>
        <v>0</v>
      </c>
      <c r="EH78" s="141">
        <f t="shared" si="1293"/>
        <v>0</v>
      </c>
      <c r="EI78" s="142">
        <f t="shared" si="1294"/>
        <v>0</v>
      </c>
      <c r="EJ78" s="140">
        <f t="shared" si="1295"/>
        <v>0</v>
      </c>
      <c r="EK78" s="141">
        <f t="shared" si="1296"/>
        <v>0</v>
      </c>
      <c r="EL78" s="141">
        <f t="shared" si="1297"/>
        <v>0</v>
      </c>
      <c r="EM78" s="141">
        <f t="shared" si="1298"/>
        <v>0</v>
      </c>
      <c r="EN78" s="141">
        <f t="shared" si="1299"/>
        <v>0</v>
      </c>
      <c r="EO78" s="142">
        <f t="shared" si="1300"/>
        <v>0</v>
      </c>
      <c r="EP78" s="140">
        <f t="shared" si="1301"/>
        <v>0</v>
      </c>
      <c r="EQ78" s="141">
        <f t="shared" si="1302"/>
        <v>0</v>
      </c>
      <c r="ER78" s="141">
        <f t="shared" si="1303"/>
        <v>0</v>
      </c>
      <c r="ES78" s="141">
        <f t="shared" si="1304"/>
        <v>0</v>
      </c>
      <c r="ET78" s="142">
        <f t="shared" si="1305"/>
        <v>0</v>
      </c>
      <c r="EU78" s="140">
        <f t="shared" si="1306"/>
        <v>0</v>
      </c>
      <c r="EV78" s="141">
        <f t="shared" si="1307"/>
        <v>0</v>
      </c>
      <c r="EW78" s="141">
        <f t="shared" si="1308"/>
        <v>0</v>
      </c>
      <c r="EX78" s="141">
        <f t="shared" si="1309"/>
        <v>0</v>
      </c>
      <c r="EY78" s="141">
        <f t="shared" si="1310"/>
        <v>0</v>
      </c>
      <c r="EZ78" s="141">
        <f t="shared" si="1311"/>
        <v>0</v>
      </c>
      <c r="FA78" s="141">
        <f t="shared" si="1312"/>
        <v>0</v>
      </c>
      <c r="FB78" s="141">
        <f t="shared" si="1313"/>
        <v>0</v>
      </c>
      <c r="FC78" s="141">
        <f t="shared" si="1314"/>
        <v>0</v>
      </c>
      <c r="FD78" s="141">
        <f t="shared" si="1315"/>
        <v>0</v>
      </c>
      <c r="FE78" s="141">
        <f t="shared" si="1316"/>
        <v>0</v>
      </c>
      <c r="FF78" s="142">
        <f t="shared" si="1317"/>
        <v>0</v>
      </c>
    </row>
    <row r="79" spans="2:162" ht="17.25" thickTop="1" thickBot="1" x14ac:dyDescent="0.3">
      <c r="B79" s="178"/>
      <c r="C79" s="268"/>
      <c r="D79" s="101">
        <f t="shared" ref="D79:E79" si="1353">SUM(D72:D78)</f>
        <v>9</v>
      </c>
      <c r="E79" s="134">
        <f t="shared" si="1353"/>
        <v>20.61</v>
      </c>
      <c r="F79" s="146"/>
      <c r="G79" s="146"/>
      <c r="H79" s="43"/>
      <c r="I79" s="39"/>
      <c r="J79" s="39"/>
      <c r="K79" s="39"/>
      <c r="L79" s="184"/>
      <c r="M79" s="185"/>
      <c r="N79" s="170">
        <f>AVERAGE(N72:N76)*5+AVERAGE(N77:N78)*2</f>
        <v>140.23777777777778</v>
      </c>
      <c r="O79" s="146"/>
      <c r="P79" s="68">
        <f t="shared" ref="P79:AZ79" si="1354">SUM(P72:P78)</f>
        <v>0</v>
      </c>
      <c r="Q79" s="65">
        <f t="shared" si="1354"/>
        <v>0</v>
      </c>
      <c r="R79" s="65">
        <f t="shared" si="1354"/>
        <v>0</v>
      </c>
      <c r="S79" s="65">
        <f t="shared" si="1354"/>
        <v>0</v>
      </c>
      <c r="T79" s="65">
        <f t="shared" si="1354"/>
        <v>0</v>
      </c>
      <c r="U79" s="65">
        <f t="shared" si="1354"/>
        <v>0</v>
      </c>
      <c r="V79" s="65">
        <f t="shared" si="1354"/>
        <v>0</v>
      </c>
      <c r="W79" s="66">
        <f t="shared" si="1354"/>
        <v>0</v>
      </c>
      <c r="X79" s="68">
        <f t="shared" si="1354"/>
        <v>0</v>
      </c>
      <c r="Y79" s="65">
        <f t="shared" si="1354"/>
        <v>0</v>
      </c>
      <c r="Z79" s="65">
        <f t="shared" si="1354"/>
        <v>0</v>
      </c>
      <c r="AA79" s="66">
        <f t="shared" si="1354"/>
        <v>0</v>
      </c>
      <c r="AB79" s="68">
        <f t="shared" si="1354"/>
        <v>0</v>
      </c>
      <c r="AC79" s="65">
        <f t="shared" si="1354"/>
        <v>0</v>
      </c>
      <c r="AD79" s="65">
        <f t="shared" si="1354"/>
        <v>0</v>
      </c>
      <c r="AE79" s="65">
        <f t="shared" si="1354"/>
        <v>0</v>
      </c>
      <c r="AF79" s="65">
        <f t="shared" si="1354"/>
        <v>0</v>
      </c>
      <c r="AG79" s="66">
        <f t="shared" si="1354"/>
        <v>0</v>
      </c>
      <c r="AH79" s="68">
        <f t="shared" si="1354"/>
        <v>0</v>
      </c>
      <c r="AI79" s="65">
        <f t="shared" si="1354"/>
        <v>0</v>
      </c>
      <c r="AJ79" s="65">
        <f t="shared" si="1354"/>
        <v>0</v>
      </c>
      <c r="AK79" s="65">
        <f t="shared" si="1354"/>
        <v>0</v>
      </c>
      <c r="AL79" s="66">
        <f t="shared" si="1354"/>
        <v>0</v>
      </c>
      <c r="AM79" s="68">
        <f t="shared" si="1354"/>
        <v>0</v>
      </c>
      <c r="AN79" s="65">
        <f t="shared" si="1354"/>
        <v>0</v>
      </c>
      <c r="AO79" s="65">
        <f t="shared" si="1354"/>
        <v>0</v>
      </c>
      <c r="AP79" s="65">
        <f t="shared" si="1354"/>
        <v>0</v>
      </c>
      <c r="AQ79" s="65">
        <f t="shared" si="1354"/>
        <v>0</v>
      </c>
      <c r="AR79" s="65">
        <f t="shared" si="1354"/>
        <v>0</v>
      </c>
      <c r="AS79" s="65">
        <f t="shared" si="1354"/>
        <v>0</v>
      </c>
      <c r="AT79" s="65">
        <f t="shared" si="1354"/>
        <v>0</v>
      </c>
      <c r="AU79" s="65">
        <f t="shared" si="1354"/>
        <v>0</v>
      </c>
      <c r="AV79" s="65">
        <f t="shared" si="1354"/>
        <v>0</v>
      </c>
      <c r="AW79" s="65">
        <f t="shared" si="1354"/>
        <v>0</v>
      </c>
      <c r="AX79" s="65">
        <f t="shared" si="1354"/>
        <v>0</v>
      </c>
      <c r="AY79" s="65">
        <f t="shared" si="1354"/>
        <v>0</v>
      </c>
      <c r="AZ79" s="66">
        <f t="shared" si="1354"/>
        <v>0</v>
      </c>
      <c r="BB79" s="68">
        <f t="shared" ref="BB79:CJ79" si="1355">SUM(BB72:BB78)</f>
        <v>0</v>
      </c>
      <c r="BC79" s="65">
        <f t="shared" si="1355"/>
        <v>0</v>
      </c>
      <c r="BD79" s="65">
        <f t="shared" si="1355"/>
        <v>0</v>
      </c>
      <c r="BE79" s="65">
        <f t="shared" si="1355"/>
        <v>0</v>
      </c>
      <c r="BF79" s="65">
        <f t="shared" si="1355"/>
        <v>0</v>
      </c>
      <c r="BG79" s="65">
        <f t="shared" si="1355"/>
        <v>0</v>
      </c>
      <c r="BH79" s="65">
        <f t="shared" si="1355"/>
        <v>0</v>
      </c>
      <c r="BI79" s="66">
        <f t="shared" si="1355"/>
        <v>0</v>
      </c>
      <c r="BJ79" s="68">
        <f t="shared" si="1355"/>
        <v>0</v>
      </c>
      <c r="BK79" s="65">
        <f t="shared" si="1355"/>
        <v>0</v>
      </c>
      <c r="BL79" s="65">
        <f t="shared" si="1355"/>
        <v>0</v>
      </c>
      <c r="BM79" s="66">
        <f t="shared" si="1355"/>
        <v>0</v>
      </c>
      <c r="BN79" s="68">
        <f t="shared" si="1355"/>
        <v>0</v>
      </c>
      <c r="BO79" s="65">
        <f t="shared" si="1355"/>
        <v>0</v>
      </c>
      <c r="BP79" s="65">
        <f t="shared" si="1355"/>
        <v>0</v>
      </c>
      <c r="BQ79" s="65">
        <f t="shared" si="1355"/>
        <v>0</v>
      </c>
      <c r="BR79" s="65">
        <f t="shared" si="1355"/>
        <v>0</v>
      </c>
      <c r="BS79" s="66">
        <f t="shared" si="1355"/>
        <v>0</v>
      </c>
      <c r="BT79" s="68">
        <f t="shared" si="1355"/>
        <v>0</v>
      </c>
      <c r="BU79" s="65">
        <f t="shared" si="1355"/>
        <v>0</v>
      </c>
      <c r="BV79" s="65">
        <f t="shared" si="1355"/>
        <v>0</v>
      </c>
      <c r="BW79" s="65">
        <f t="shared" si="1355"/>
        <v>0</v>
      </c>
      <c r="BX79" s="66">
        <f t="shared" si="1355"/>
        <v>0</v>
      </c>
      <c r="BY79" s="68">
        <f t="shared" si="1355"/>
        <v>0</v>
      </c>
      <c r="BZ79" s="65">
        <f t="shared" si="1355"/>
        <v>0</v>
      </c>
      <c r="CA79" s="65">
        <f t="shared" si="1355"/>
        <v>0</v>
      </c>
      <c r="CB79" s="65">
        <f t="shared" si="1355"/>
        <v>0</v>
      </c>
      <c r="CC79" s="65">
        <f t="shared" si="1355"/>
        <v>0</v>
      </c>
      <c r="CD79" s="65">
        <f t="shared" si="1355"/>
        <v>0</v>
      </c>
      <c r="CE79" s="65">
        <f t="shared" si="1355"/>
        <v>0</v>
      </c>
      <c r="CF79" s="65">
        <f t="shared" si="1355"/>
        <v>0</v>
      </c>
      <c r="CG79" s="65">
        <f t="shared" si="1355"/>
        <v>0</v>
      </c>
      <c r="CH79" s="65">
        <f t="shared" si="1355"/>
        <v>0</v>
      </c>
      <c r="CI79" s="65">
        <f t="shared" si="1355"/>
        <v>0</v>
      </c>
      <c r="CJ79" s="66">
        <f t="shared" si="1355"/>
        <v>0</v>
      </c>
      <c r="CN79" s="68">
        <f t="shared" ref="CN79:DV79" si="1356">SUM(CN72:CN78)</f>
        <v>0</v>
      </c>
      <c r="CO79" s="65">
        <f t="shared" si="1356"/>
        <v>0</v>
      </c>
      <c r="CP79" s="65">
        <f t="shared" si="1356"/>
        <v>0</v>
      </c>
      <c r="CQ79" s="65">
        <f t="shared" si="1356"/>
        <v>0</v>
      </c>
      <c r="CR79" s="65">
        <f t="shared" si="1356"/>
        <v>0</v>
      </c>
      <c r="CS79" s="65">
        <f t="shared" si="1356"/>
        <v>0</v>
      </c>
      <c r="CT79" s="65">
        <f t="shared" si="1356"/>
        <v>0</v>
      </c>
      <c r="CU79" s="66">
        <f t="shared" si="1356"/>
        <v>0</v>
      </c>
      <c r="CV79" s="68">
        <f t="shared" si="1356"/>
        <v>0</v>
      </c>
      <c r="CW79" s="65">
        <f t="shared" si="1356"/>
        <v>0</v>
      </c>
      <c r="CX79" s="65">
        <f t="shared" si="1356"/>
        <v>0</v>
      </c>
      <c r="CY79" s="66">
        <f t="shared" si="1356"/>
        <v>0</v>
      </c>
      <c r="CZ79" s="68">
        <f t="shared" si="1356"/>
        <v>0</v>
      </c>
      <c r="DA79" s="65">
        <f t="shared" si="1356"/>
        <v>0</v>
      </c>
      <c r="DB79" s="65">
        <f t="shared" si="1356"/>
        <v>0</v>
      </c>
      <c r="DC79" s="65">
        <f t="shared" si="1356"/>
        <v>0</v>
      </c>
      <c r="DD79" s="65">
        <f t="shared" si="1356"/>
        <v>0</v>
      </c>
      <c r="DE79" s="66">
        <f t="shared" si="1356"/>
        <v>0</v>
      </c>
      <c r="DF79" s="68">
        <f t="shared" si="1356"/>
        <v>0</v>
      </c>
      <c r="DG79" s="65">
        <f t="shared" si="1356"/>
        <v>0</v>
      </c>
      <c r="DH79" s="65">
        <f t="shared" si="1356"/>
        <v>0</v>
      </c>
      <c r="DI79" s="65">
        <f t="shared" si="1356"/>
        <v>0</v>
      </c>
      <c r="DJ79" s="66">
        <f t="shared" si="1356"/>
        <v>0</v>
      </c>
      <c r="DK79" s="68">
        <f t="shared" si="1356"/>
        <v>0</v>
      </c>
      <c r="DL79" s="65">
        <f t="shared" si="1356"/>
        <v>0</v>
      </c>
      <c r="DM79" s="65">
        <f t="shared" si="1356"/>
        <v>0</v>
      </c>
      <c r="DN79" s="65">
        <f t="shared" si="1356"/>
        <v>0</v>
      </c>
      <c r="DO79" s="65">
        <f t="shared" si="1356"/>
        <v>0</v>
      </c>
      <c r="DP79" s="65">
        <f t="shared" si="1356"/>
        <v>0</v>
      </c>
      <c r="DQ79" s="65">
        <f t="shared" si="1356"/>
        <v>0</v>
      </c>
      <c r="DR79" s="65">
        <f t="shared" si="1356"/>
        <v>0</v>
      </c>
      <c r="DS79" s="65">
        <f t="shared" si="1356"/>
        <v>0</v>
      </c>
      <c r="DT79" s="65">
        <f t="shared" si="1356"/>
        <v>0</v>
      </c>
      <c r="DU79" s="65">
        <f t="shared" si="1356"/>
        <v>0</v>
      </c>
      <c r="DV79" s="66">
        <f t="shared" si="1356"/>
        <v>0</v>
      </c>
      <c r="DX79" s="143">
        <f t="shared" ref="DX79:FF79" si="1357">AVERAGE(DX72:DX78)</f>
        <v>0</v>
      </c>
      <c r="DY79" s="144">
        <f t="shared" si="1357"/>
        <v>0</v>
      </c>
      <c r="DZ79" s="144">
        <f t="shared" si="1357"/>
        <v>0</v>
      </c>
      <c r="EA79" s="144">
        <f t="shared" si="1357"/>
        <v>0</v>
      </c>
      <c r="EB79" s="144">
        <f t="shared" si="1357"/>
        <v>0</v>
      </c>
      <c r="EC79" s="144">
        <f t="shared" si="1357"/>
        <v>0</v>
      </c>
      <c r="ED79" s="144">
        <f t="shared" si="1357"/>
        <v>0</v>
      </c>
      <c r="EE79" s="145">
        <f t="shared" si="1357"/>
        <v>0</v>
      </c>
      <c r="EF79" s="143">
        <f t="shared" si="1357"/>
        <v>0</v>
      </c>
      <c r="EG79" s="144">
        <f t="shared" si="1357"/>
        <v>0</v>
      </c>
      <c r="EH79" s="144">
        <f t="shared" si="1357"/>
        <v>0</v>
      </c>
      <c r="EI79" s="145">
        <f t="shared" si="1357"/>
        <v>0</v>
      </c>
      <c r="EJ79" s="143">
        <f t="shared" si="1357"/>
        <v>0</v>
      </c>
      <c r="EK79" s="144">
        <f t="shared" si="1357"/>
        <v>0</v>
      </c>
      <c r="EL79" s="144">
        <f t="shared" si="1357"/>
        <v>0</v>
      </c>
      <c r="EM79" s="144">
        <f t="shared" si="1357"/>
        <v>0</v>
      </c>
      <c r="EN79" s="144">
        <f t="shared" si="1357"/>
        <v>0</v>
      </c>
      <c r="EO79" s="144">
        <f t="shared" si="1357"/>
        <v>0</v>
      </c>
      <c r="EP79" s="143">
        <f t="shared" si="1357"/>
        <v>0</v>
      </c>
      <c r="EQ79" s="144">
        <f t="shared" si="1357"/>
        <v>0</v>
      </c>
      <c r="ER79" s="144">
        <f t="shared" si="1357"/>
        <v>0</v>
      </c>
      <c r="ES79" s="144">
        <f t="shared" si="1357"/>
        <v>0</v>
      </c>
      <c r="ET79" s="145">
        <f t="shared" si="1357"/>
        <v>0</v>
      </c>
      <c r="EU79" s="143">
        <f t="shared" si="1357"/>
        <v>0</v>
      </c>
      <c r="EV79" s="144">
        <f t="shared" si="1357"/>
        <v>0</v>
      </c>
      <c r="EW79" s="144">
        <f t="shared" si="1357"/>
        <v>0</v>
      </c>
      <c r="EX79" s="144">
        <f t="shared" si="1357"/>
        <v>0</v>
      </c>
      <c r="EY79" s="144">
        <f t="shared" si="1357"/>
        <v>0</v>
      </c>
      <c r="EZ79" s="144">
        <f t="shared" si="1357"/>
        <v>0</v>
      </c>
      <c r="FA79" s="144">
        <f t="shared" si="1357"/>
        <v>0</v>
      </c>
      <c r="FB79" s="144">
        <f t="shared" si="1357"/>
        <v>0</v>
      </c>
      <c r="FC79" s="144">
        <f t="shared" si="1357"/>
        <v>0</v>
      </c>
      <c r="FD79" s="144">
        <f t="shared" si="1357"/>
        <v>0</v>
      </c>
      <c r="FE79" s="144">
        <f t="shared" si="1357"/>
        <v>0</v>
      </c>
      <c r="FF79" s="145">
        <f t="shared" si="1357"/>
        <v>0</v>
      </c>
    </row>
    <row r="80" spans="2:162" ht="16.5" thickBot="1" x14ac:dyDescent="0.3">
      <c r="L80" s="253" t="s">
        <v>146</v>
      </c>
    </row>
    <row r="81" spans="2:162" x14ac:dyDescent="0.25">
      <c r="B81" s="176">
        <f>B72+7</f>
        <v>45558</v>
      </c>
      <c r="C81" s="265"/>
      <c r="D81" s="103">
        <v>4</v>
      </c>
      <c r="E81" s="156">
        <v>4.1500000000000004</v>
      </c>
      <c r="F81" s="25"/>
      <c r="G81" s="25"/>
      <c r="H81" s="179">
        <v>4</v>
      </c>
      <c r="I81" s="180">
        <v>2</v>
      </c>
      <c r="J81" s="181">
        <v>0.5</v>
      </c>
      <c r="K81" s="181"/>
      <c r="L81" s="182">
        <v>13.1</v>
      </c>
      <c r="M81" s="182">
        <f t="shared" ref="M81:M86" si="1358">H81/I81*K81*L81*1.5</f>
        <v>0</v>
      </c>
      <c r="N81" s="183">
        <f t="shared" ref="N81:N86" si="1359">H81/I81*J81*L81*N$4</f>
        <v>14.41</v>
      </c>
      <c r="O81" s="25"/>
      <c r="P81" s="157"/>
      <c r="Q81" s="158"/>
      <c r="R81" s="158"/>
      <c r="S81" s="158"/>
      <c r="T81" s="158"/>
      <c r="U81" s="158"/>
      <c r="V81" s="158"/>
      <c r="W81" s="159"/>
      <c r="X81" s="157"/>
      <c r="Y81" s="158"/>
      <c r="Z81" s="158"/>
      <c r="AA81" s="159"/>
      <c r="AB81" s="157"/>
      <c r="AC81" s="158"/>
      <c r="AD81" s="158"/>
      <c r="AE81" s="158"/>
      <c r="AF81" s="158"/>
      <c r="AG81" s="159"/>
      <c r="AH81" s="157"/>
      <c r="AI81" s="158"/>
      <c r="AJ81" s="158"/>
      <c r="AK81" s="158"/>
      <c r="AL81" s="159"/>
      <c r="AM81" s="157"/>
      <c r="AN81" s="158"/>
      <c r="AO81" s="158"/>
      <c r="AP81" s="158"/>
      <c r="AQ81" s="158"/>
      <c r="AR81" s="158"/>
      <c r="AS81" s="158"/>
      <c r="AT81" s="158"/>
      <c r="AU81" s="158"/>
      <c r="AV81" s="158"/>
      <c r="AW81" s="158"/>
      <c r="AX81" s="158"/>
      <c r="AY81" s="158"/>
      <c r="AZ81" s="159"/>
      <c r="BB81" s="157">
        <f t="shared" ref="BB81:BB86" si="1360">$N81*DX81</f>
        <v>0</v>
      </c>
      <c r="BC81" s="158">
        <f t="shared" ref="BC81:BC86" si="1361">$N81*DY81</f>
        <v>0</v>
      </c>
      <c r="BD81" s="158">
        <f t="shared" ref="BD81:BD86" si="1362">$N81*DZ81</f>
        <v>0</v>
      </c>
      <c r="BE81" s="158">
        <f t="shared" ref="BE81:BE86" si="1363">$N81*EA81</f>
        <v>0</v>
      </c>
      <c r="BF81" s="158">
        <f t="shared" ref="BF81:BF86" si="1364">$N81*EB81</f>
        <v>0</v>
      </c>
      <c r="BG81" s="158">
        <f t="shared" ref="BG81:BG86" si="1365">$N81*EC81</f>
        <v>0</v>
      </c>
      <c r="BH81" s="158">
        <f t="shared" ref="BH81:BH86" si="1366">$N81*ED81</f>
        <v>0</v>
      </c>
      <c r="BI81" s="159">
        <f t="shared" ref="BI81:BI86" si="1367">$N81*EE81</f>
        <v>0</v>
      </c>
      <c r="BJ81" s="157">
        <f t="shared" ref="BJ81:BJ86" si="1368">$N81*EF81</f>
        <v>0</v>
      </c>
      <c r="BK81" s="158">
        <f t="shared" ref="BK81:BK86" si="1369">$N81*EG81</f>
        <v>0</v>
      </c>
      <c r="BL81" s="158">
        <f t="shared" ref="BL81:BL86" si="1370">$N81*EH81</f>
        <v>0</v>
      </c>
      <c r="BM81" s="159">
        <f t="shared" ref="BM81:BM86" si="1371">$N81*EI81</f>
        <v>0</v>
      </c>
      <c r="BN81" s="157">
        <f t="shared" ref="BN81:BN86" si="1372">$N81*EJ81</f>
        <v>0</v>
      </c>
      <c r="BO81" s="158">
        <f t="shared" ref="BO81:BO86" si="1373">$N81*EK81</f>
        <v>0</v>
      </c>
      <c r="BP81" s="158">
        <f t="shared" ref="BP81:BP86" si="1374">$N81*EL81</f>
        <v>0</v>
      </c>
      <c r="BQ81" s="158">
        <f t="shared" ref="BQ81:BQ86" si="1375">$N81*EM81</f>
        <v>0</v>
      </c>
      <c r="BR81" s="158">
        <f t="shared" ref="BR81:BR86" si="1376">$N81*EN81</f>
        <v>0</v>
      </c>
      <c r="BS81" s="159">
        <f t="shared" ref="BS81:BS86" si="1377">$N81*EO81</f>
        <v>0</v>
      </c>
      <c r="BT81" s="157">
        <f t="shared" ref="BT81:BT86" si="1378">$N81*EP81</f>
        <v>0</v>
      </c>
      <c r="BU81" s="158">
        <f t="shared" ref="BU81:BU86" si="1379">$N81*EQ81</f>
        <v>0</v>
      </c>
      <c r="BV81" s="158">
        <f t="shared" ref="BV81:BV86" si="1380">$N81*ER81</f>
        <v>0</v>
      </c>
      <c r="BW81" s="158">
        <f t="shared" ref="BW81:BW86" si="1381">$N81*ES81</f>
        <v>0</v>
      </c>
      <c r="BX81" s="159">
        <f t="shared" ref="BX81:BX86" si="1382">$N81*ET81</f>
        <v>0</v>
      </c>
      <c r="BY81" s="157">
        <f t="shared" ref="BY81:BY86" si="1383">$N81*EU81</f>
        <v>0</v>
      </c>
      <c r="BZ81" s="158">
        <f t="shared" ref="BZ81:BZ86" si="1384">$N81*EV81</f>
        <v>0</v>
      </c>
      <c r="CA81" s="158">
        <f t="shared" ref="CA81:CA86" si="1385">$N81*EW81</f>
        <v>0</v>
      </c>
      <c r="CB81" s="158">
        <f t="shared" ref="CB81:CB86" si="1386">$N81*EX81</f>
        <v>0</v>
      </c>
      <c r="CC81" s="158">
        <f t="shared" ref="CC81:CC86" si="1387">$N81*EY81</f>
        <v>0</v>
      </c>
      <c r="CD81" s="158">
        <f t="shared" ref="CD81:CD86" si="1388">$N81*EZ81</f>
        <v>0</v>
      </c>
      <c r="CE81" s="158">
        <f t="shared" ref="CE81:CE86" si="1389">$N81*FA81</f>
        <v>0</v>
      </c>
      <c r="CF81" s="158">
        <f t="shared" ref="CF81:CF86" si="1390">$N81*FB81</f>
        <v>0</v>
      </c>
      <c r="CG81" s="158">
        <f t="shared" ref="CG81:CG86" si="1391">$N81*FC81</f>
        <v>0</v>
      </c>
      <c r="CH81" s="158">
        <f t="shared" ref="CH81:CH86" si="1392">$N81*FD81</f>
        <v>0</v>
      </c>
      <c r="CI81" s="158">
        <f t="shared" ref="CI81:CI86" si="1393">$N81*FE81</f>
        <v>0</v>
      </c>
      <c r="CJ81" s="159">
        <f t="shared" ref="CJ81:CJ86" si="1394">$N81*FF81</f>
        <v>0</v>
      </c>
      <c r="CL81" s="36">
        <v>5</v>
      </c>
      <c r="CN81" s="157">
        <f t="shared" ref="CN81:DU81" si="1395">AVERAGE(BB81:BB85)*$CL81</f>
        <v>0</v>
      </c>
      <c r="CO81" s="158">
        <f t="shared" si="1395"/>
        <v>0</v>
      </c>
      <c r="CP81" s="158">
        <f t="shared" si="1395"/>
        <v>0</v>
      </c>
      <c r="CQ81" s="158">
        <f t="shared" si="1395"/>
        <v>0</v>
      </c>
      <c r="CR81" s="158">
        <f t="shared" si="1395"/>
        <v>0</v>
      </c>
      <c r="CS81" s="158">
        <f t="shared" si="1395"/>
        <v>0</v>
      </c>
      <c r="CT81" s="158">
        <f t="shared" si="1395"/>
        <v>0</v>
      </c>
      <c r="CU81" s="159">
        <f t="shared" si="1395"/>
        <v>0</v>
      </c>
      <c r="CV81" s="157">
        <f t="shared" si="1395"/>
        <v>0</v>
      </c>
      <c r="CW81" s="158">
        <f t="shared" si="1395"/>
        <v>0</v>
      </c>
      <c r="CX81" s="158">
        <f t="shared" si="1395"/>
        <v>0</v>
      </c>
      <c r="CY81" s="159">
        <f t="shared" si="1395"/>
        <v>0</v>
      </c>
      <c r="CZ81" s="157">
        <f t="shared" si="1395"/>
        <v>0</v>
      </c>
      <c r="DA81" s="158">
        <f t="shared" si="1395"/>
        <v>0</v>
      </c>
      <c r="DB81" s="158">
        <f t="shared" si="1395"/>
        <v>0</v>
      </c>
      <c r="DC81" s="158">
        <f t="shared" si="1395"/>
        <v>0</v>
      </c>
      <c r="DD81" s="158">
        <f t="shared" si="1395"/>
        <v>0</v>
      </c>
      <c r="DE81" s="159">
        <f t="shared" si="1395"/>
        <v>0</v>
      </c>
      <c r="DF81" s="157">
        <f t="shared" si="1395"/>
        <v>0</v>
      </c>
      <c r="DG81" s="158">
        <f t="shared" si="1395"/>
        <v>0</v>
      </c>
      <c r="DH81" s="158">
        <f t="shared" si="1395"/>
        <v>0</v>
      </c>
      <c r="DI81" s="158">
        <f t="shared" si="1395"/>
        <v>0</v>
      </c>
      <c r="DJ81" s="159">
        <f t="shared" si="1395"/>
        <v>0</v>
      </c>
      <c r="DK81" s="157">
        <f t="shared" si="1395"/>
        <v>0</v>
      </c>
      <c r="DL81" s="158">
        <f t="shared" si="1395"/>
        <v>0</v>
      </c>
      <c r="DM81" s="158">
        <f t="shared" si="1395"/>
        <v>0</v>
      </c>
      <c r="DN81" s="158">
        <f t="shared" si="1395"/>
        <v>0</v>
      </c>
      <c r="DO81" s="158">
        <f t="shared" si="1395"/>
        <v>0</v>
      </c>
      <c r="DP81" s="158">
        <f t="shared" si="1395"/>
        <v>0</v>
      </c>
      <c r="DQ81" s="158">
        <f t="shared" si="1395"/>
        <v>0</v>
      </c>
      <c r="DR81" s="158">
        <f t="shared" si="1395"/>
        <v>0</v>
      </c>
      <c r="DS81" s="158">
        <f t="shared" si="1395"/>
        <v>0</v>
      </c>
      <c r="DT81" s="158">
        <f t="shared" si="1395"/>
        <v>0</v>
      </c>
      <c r="DU81" s="158">
        <f t="shared" si="1395"/>
        <v>0</v>
      </c>
      <c r="DV81" s="159">
        <f t="shared" ref="DV81" si="1396">AVERAGE(CJ81:CJ85)*$CL81</f>
        <v>0</v>
      </c>
      <c r="DX81" s="186">
        <f t="shared" ref="DX81:DX86" si="1397">P81/$E81</f>
        <v>0</v>
      </c>
      <c r="DY81" s="187">
        <f t="shared" ref="DY81:DY86" si="1398">Q81/$E81</f>
        <v>0</v>
      </c>
      <c r="DZ81" s="187">
        <f t="shared" ref="DZ81:DZ86" si="1399">R81/$E81</f>
        <v>0</v>
      </c>
      <c r="EA81" s="187">
        <f t="shared" ref="EA81:EA86" si="1400">S81/$E81</f>
        <v>0</v>
      </c>
      <c r="EB81" s="187">
        <f t="shared" ref="EB81:EB86" si="1401">T81/$E81</f>
        <v>0</v>
      </c>
      <c r="EC81" s="187">
        <f t="shared" ref="EC81:EC86" si="1402">U81/$E81</f>
        <v>0</v>
      </c>
      <c r="ED81" s="187">
        <f t="shared" ref="ED81:ED86" si="1403">V81/$E81</f>
        <v>0</v>
      </c>
      <c r="EE81" s="188">
        <f t="shared" ref="EE81:EE86" si="1404">W81/$E81</f>
        <v>0</v>
      </c>
      <c r="EF81" s="186">
        <f t="shared" ref="EF81:EF86" si="1405">X81/$E81</f>
        <v>0</v>
      </c>
      <c r="EG81" s="187">
        <f t="shared" ref="EG81:EG86" si="1406">Y81/$E81</f>
        <v>0</v>
      </c>
      <c r="EH81" s="187">
        <f t="shared" ref="EH81:EH86" si="1407">Z81/$E81</f>
        <v>0</v>
      </c>
      <c r="EI81" s="188">
        <f t="shared" ref="EI81:EI86" si="1408">AA81/$E81</f>
        <v>0</v>
      </c>
      <c r="EJ81" s="186">
        <f t="shared" ref="EJ81:EJ86" si="1409">AB81/$E81</f>
        <v>0</v>
      </c>
      <c r="EK81" s="187">
        <f t="shared" ref="EK81:EK86" si="1410">AC81/$E81</f>
        <v>0</v>
      </c>
      <c r="EL81" s="187">
        <f t="shared" ref="EL81:EL86" si="1411">AD81/$E81</f>
        <v>0</v>
      </c>
      <c r="EM81" s="187">
        <f t="shared" ref="EM81:EM86" si="1412">AE81/$E81</f>
        <v>0</v>
      </c>
      <c r="EN81" s="187">
        <f t="shared" ref="EN81:EN86" si="1413">AF81/$E81</f>
        <v>0</v>
      </c>
      <c r="EO81" s="188">
        <f t="shared" ref="EO81:EO86" si="1414">AG81/$E81</f>
        <v>0</v>
      </c>
      <c r="EP81" s="186">
        <f t="shared" ref="EP81:EP86" si="1415">AH81/$E81</f>
        <v>0</v>
      </c>
      <c r="EQ81" s="187">
        <f t="shared" ref="EQ81:EQ86" si="1416">AI81/$E81</f>
        <v>0</v>
      </c>
      <c r="ER81" s="187">
        <f t="shared" ref="ER81:ER86" si="1417">AJ81/$E81</f>
        <v>0</v>
      </c>
      <c r="ES81" s="187">
        <f t="shared" ref="ES81:ES86" si="1418">AK81/$E81</f>
        <v>0</v>
      </c>
      <c r="ET81" s="188">
        <f t="shared" ref="ET81:ET86" si="1419">AL81/$E81</f>
        <v>0</v>
      </c>
      <c r="EU81" s="186">
        <f t="shared" ref="EU81:EU86" si="1420">AM81/$E81</f>
        <v>0</v>
      </c>
      <c r="EV81" s="187">
        <f t="shared" ref="EV81:EV86" si="1421">AN81/$E81</f>
        <v>0</v>
      </c>
      <c r="EW81" s="187">
        <f t="shared" ref="EW81:EW86" si="1422">AO81/$E81</f>
        <v>0</v>
      </c>
      <c r="EX81" s="187">
        <f t="shared" ref="EX81:EX86" si="1423">AP81/$E81</f>
        <v>0</v>
      </c>
      <c r="EY81" s="187">
        <f t="shared" ref="EY81:EY86" si="1424">AQ81/$E81</f>
        <v>0</v>
      </c>
      <c r="EZ81" s="187">
        <f t="shared" ref="EZ81:EZ86" si="1425">AR81/$E81</f>
        <v>0</v>
      </c>
      <c r="FA81" s="187">
        <f t="shared" ref="FA81:FA86" si="1426">AS81/$E81</f>
        <v>0</v>
      </c>
      <c r="FB81" s="187">
        <f t="shared" ref="FB81:FB86" si="1427">AT81/$E81</f>
        <v>0</v>
      </c>
      <c r="FC81" s="187">
        <f t="shared" ref="FC81:FC86" si="1428">AU81/$E81</f>
        <v>0</v>
      </c>
      <c r="FD81" s="187">
        <f t="shared" ref="FD81:FD86" si="1429">AV81/$E81</f>
        <v>0</v>
      </c>
      <c r="FE81" s="187">
        <f t="shared" ref="FE81:FE86" si="1430">AY81/$E81</f>
        <v>0</v>
      </c>
      <c r="FF81" s="188">
        <f t="shared" ref="FF81:FF86" si="1431">AZ81/$E81</f>
        <v>0</v>
      </c>
    </row>
    <row r="82" spans="2:162" x14ac:dyDescent="0.25">
      <c r="B82" s="127">
        <f t="shared" ref="B82:B87" si="1432">B81+1</f>
        <v>45559</v>
      </c>
      <c r="C82" s="266"/>
      <c r="D82" s="53"/>
      <c r="E82" s="129"/>
      <c r="F82" s="25"/>
      <c r="G82" s="25"/>
      <c r="H82" s="150"/>
      <c r="I82" s="24"/>
      <c r="J82" s="151"/>
      <c r="K82" s="151"/>
      <c r="L82" s="152"/>
      <c r="M82" s="152"/>
      <c r="N82" s="153"/>
      <c r="O82" s="25"/>
      <c r="P82" s="95"/>
      <c r="Q82" s="41"/>
      <c r="R82" s="41"/>
      <c r="S82" s="41"/>
      <c r="T82" s="41"/>
      <c r="U82" s="41"/>
      <c r="V82" s="41"/>
      <c r="W82" s="42"/>
      <c r="X82" s="95"/>
      <c r="Y82" s="41"/>
      <c r="Z82" s="41"/>
      <c r="AA82" s="42"/>
      <c r="AB82" s="95"/>
      <c r="AC82" s="41"/>
      <c r="AD82" s="41"/>
      <c r="AE82" s="41"/>
      <c r="AF82" s="41"/>
      <c r="AG82" s="42"/>
      <c r="AH82" s="95"/>
      <c r="AI82" s="41"/>
      <c r="AJ82" s="41"/>
      <c r="AK82" s="41"/>
      <c r="AL82" s="42"/>
      <c r="AM82" s="95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2"/>
      <c r="BB82" s="95"/>
      <c r="BC82" s="41"/>
      <c r="BD82" s="41"/>
      <c r="BE82" s="41"/>
      <c r="BF82" s="41"/>
      <c r="BG82" s="41"/>
      <c r="BH82" s="41"/>
      <c r="BI82" s="42"/>
      <c r="BJ82" s="95"/>
      <c r="BK82" s="41"/>
      <c r="BL82" s="41"/>
      <c r="BM82" s="42"/>
      <c r="BN82" s="95"/>
      <c r="BO82" s="41"/>
      <c r="BP82" s="41"/>
      <c r="BQ82" s="41"/>
      <c r="BR82" s="41"/>
      <c r="BS82" s="42"/>
      <c r="BT82" s="95"/>
      <c r="BU82" s="41"/>
      <c r="BV82" s="41"/>
      <c r="BW82" s="41"/>
      <c r="BX82" s="42"/>
      <c r="BY82" s="95"/>
      <c r="BZ82" s="41"/>
      <c r="CA82" s="41"/>
      <c r="CB82" s="41"/>
      <c r="CC82" s="41"/>
      <c r="CD82" s="41"/>
      <c r="CE82" s="41"/>
      <c r="CF82" s="41"/>
      <c r="CG82" s="41"/>
      <c r="CH82" s="41"/>
      <c r="CI82" s="41"/>
      <c r="CJ82" s="42"/>
      <c r="CL82" s="36"/>
      <c r="CN82" s="95"/>
      <c r="CO82" s="41"/>
      <c r="CP82" s="41"/>
      <c r="CQ82" s="41"/>
      <c r="CR82" s="41"/>
      <c r="CS82" s="41"/>
      <c r="CT82" s="41"/>
      <c r="CU82" s="42"/>
      <c r="CV82" s="95"/>
      <c r="CW82" s="41"/>
      <c r="CX82" s="41"/>
      <c r="CY82" s="42"/>
      <c r="CZ82" s="95"/>
      <c r="DA82" s="41"/>
      <c r="DB82" s="41"/>
      <c r="DC82" s="41"/>
      <c r="DD82" s="41"/>
      <c r="DE82" s="42"/>
      <c r="DF82" s="95"/>
      <c r="DG82" s="41"/>
      <c r="DH82" s="41"/>
      <c r="DI82" s="41"/>
      <c r="DJ82" s="42"/>
      <c r="DK82" s="95"/>
      <c r="DL82" s="41"/>
      <c r="DM82" s="41"/>
      <c r="DN82" s="41"/>
      <c r="DO82" s="41"/>
      <c r="DP82" s="41"/>
      <c r="DQ82" s="41"/>
      <c r="DR82" s="41"/>
      <c r="DS82" s="41"/>
      <c r="DT82" s="41"/>
      <c r="DU82" s="41"/>
      <c r="DV82" s="42"/>
      <c r="DX82" s="138"/>
      <c r="DY82" s="34"/>
      <c r="DZ82" s="34"/>
      <c r="EA82" s="34"/>
      <c r="EB82" s="34"/>
      <c r="EC82" s="34"/>
      <c r="ED82" s="34"/>
      <c r="EE82" s="139"/>
      <c r="EF82" s="138"/>
      <c r="EG82" s="34"/>
      <c r="EH82" s="34"/>
      <c r="EI82" s="139"/>
      <c r="EJ82" s="138"/>
      <c r="EK82" s="34"/>
      <c r="EL82" s="34"/>
      <c r="EM82" s="34"/>
      <c r="EN82" s="34"/>
      <c r="EO82" s="139"/>
      <c r="EP82" s="138"/>
      <c r="EQ82" s="34"/>
      <c r="ER82" s="34"/>
      <c r="ES82" s="34"/>
      <c r="ET82" s="139"/>
      <c r="EU82" s="138"/>
      <c r="EV82" s="34"/>
      <c r="EW82" s="34"/>
      <c r="EX82" s="34"/>
      <c r="EY82" s="34"/>
      <c r="EZ82" s="34"/>
      <c r="FA82" s="34"/>
      <c r="FB82" s="34"/>
      <c r="FC82" s="34"/>
      <c r="FD82" s="34"/>
      <c r="FE82" s="34"/>
      <c r="FF82" s="139"/>
    </row>
    <row r="83" spans="2:162" x14ac:dyDescent="0.25">
      <c r="B83" s="127">
        <f t="shared" si="1432"/>
        <v>45560</v>
      </c>
      <c r="C83" s="266"/>
      <c r="D83" s="53">
        <v>4</v>
      </c>
      <c r="E83" s="129">
        <v>27.44</v>
      </c>
      <c r="F83" s="25"/>
      <c r="G83" s="25"/>
      <c r="H83" s="150">
        <v>4</v>
      </c>
      <c r="I83" s="24">
        <v>2</v>
      </c>
      <c r="J83" s="151">
        <f>3/5</f>
        <v>0.6</v>
      </c>
      <c r="K83" s="151"/>
      <c r="L83" s="152">
        <v>13</v>
      </c>
      <c r="M83" s="152">
        <f>H83/I83*K83*L83*1.5</f>
        <v>0</v>
      </c>
      <c r="N83" s="153">
        <f>H83/I83*J83*L83*N$4</f>
        <v>17.16</v>
      </c>
      <c r="O83" s="25"/>
      <c r="P83" s="95"/>
      <c r="Q83" s="41"/>
      <c r="R83" s="41"/>
      <c r="S83" s="41"/>
      <c r="T83" s="41"/>
      <c r="U83" s="41"/>
      <c r="V83" s="41"/>
      <c r="W83" s="42"/>
      <c r="X83" s="95"/>
      <c r="Y83" s="41"/>
      <c r="Z83" s="41"/>
      <c r="AA83" s="42"/>
      <c r="AB83" s="95"/>
      <c r="AC83" s="41"/>
      <c r="AD83" s="41"/>
      <c r="AE83" s="41"/>
      <c r="AF83" s="41"/>
      <c r="AG83" s="42"/>
      <c r="AH83" s="95"/>
      <c r="AI83" s="41"/>
      <c r="AJ83" s="41"/>
      <c r="AK83" s="41"/>
      <c r="AL83" s="42"/>
      <c r="AM83" s="95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2"/>
      <c r="BB83" s="95"/>
      <c r="BC83" s="41"/>
      <c r="BD83" s="41"/>
      <c r="BE83" s="41"/>
      <c r="BF83" s="41"/>
      <c r="BG83" s="41"/>
      <c r="BH83" s="41"/>
      <c r="BI83" s="42"/>
      <c r="BJ83" s="95"/>
      <c r="BK83" s="41"/>
      <c r="BL83" s="41"/>
      <c r="BM83" s="42"/>
      <c r="BN83" s="95"/>
      <c r="BO83" s="41"/>
      <c r="BP83" s="41"/>
      <c r="BQ83" s="41"/>
      <c r="BR83" s="41"/>
      <c r="BS83" s="42"/>
      <c r="BT83" s="95"/>
      <c r="BU83" s="41"/>
      <c r="BV83" s="41"/>
      <c r="BW83" s="41"/>
      <c r="BX83" s="42"/>
      <c r="BY83" s="95"/>
      <c r="BZ83" s="41"/>
      <c r="CA83" s="41"/>
      <c r="CB83" s="41"/>
      <c r="CC83" s="41"/>
      <c r="CD83" s="41"/>
      <c r="CE83" s="41"/>
      <c r="CF83" s="41"/>
      <c r="CG83" s="41"/>
      <c r="CH83" s="41"/>
      <c r="CI83" s="41"/>
      <c r="CJ83" s="42"/>
      <c r="CL83" s="36"/>
      <c r="CN83" s="95"/>
      <c r="CO83" s="41"/>
      <c r="CP83" s="41"/>
      <c r="CQ83" s="41"/>
      <c r="CR83" s="41"/>
      <c r="CS83" s="41"/>
      <c r="CT83" s="41"/>
      <c r="CU83" s="42"/>
      <c r="CV83" s="95"/>
      <c r="CW83" s="41"/>
      <c r="CX83" s="41"/>
      <c r="CY83" s="42"/>
      <c r="CZ83" s="95"/>
      <c r="DA83" s="41"/>
      <c r="DB83" s="41"/>
      <c r="DC83" s="41"/>
      <c r="DD83" s="41"/>
      <c r="DE83" s="42"/>
      <c r="DF83" s="95"/>
      <c r="DG83" s="41"/>
      <c r="DH83" s="41"/>
      <c r="DI83" s="41"/>
      <c r="DJ83" s="42"/>
      <c r="DK83" s="95"/>
      <c r="DL83" s="41"/>
      <c r="DM83" s="41"/>
      <c r="DN83" s="41"/>
      <c r="DO83" s="41"/>
      <c r="DP83" s="41"/>
      <c r="DQ83" s="41"/>
      <c r="DR83" s="41"/>
      <c r="DS83" s="41"/>
      <c r="DT83" s="41"/>
      <c r="DU83" s="41"/>
      <c r="DV83" s="42"/>
      <c r="DX83" s="138">
        <f t="shared" ref="DX83" si="1433">P83/$E83</f>
        <v>0</v>
      </c>
      <c r="DY83" s="34">
        <f t="shared" ref="DY83" si="1434">Q83/$E83</f>
        <v>0</v>
      </c>
      <c r="DZ83" s="34">
        <f t="shared" ref="DZ83" si="1435">R83/$E83</f>
        <v>0</v>
      </c>
      <c r="EA83" s="34">
        <f t="shared" ref="EA83" si="1436">S83/$E83</f>
        <v>0</v>
      </c>
      <c r="EB83" s="34">
        <f t="shared" ref="EB83" si="1437">T83/$E83</f>
        <v>0</v>
      </c>
      <c r="EC83" s="34">
        <f t="shared" ref="EC83" si="1438">U83/$E83</f>
        <v>0</v>
      </c>
      <c r="ED83" s="34">
        <f t="shared" ref="ED83" si="1439">V83/$E83</f>
        <v>0</v>
      </c>
      <c r="EE83" s="139">
        <f t="shared" ref="EE83" si="1440">W83/$E83</f>
        <v>0</v>
      </c>
      <c r="EF83" s="138">
        <f t="shared" ref="EF83" si="1441">X83/$E83</f>
        <v>0</v>
      </c>
      <c r="EG83" s="34">
        <f t="shared" ref="EG83" si="1442">Y83/$E83</f>
        <v>0</v>
      </c>
      <c r="EH83" s="34">
        <f t="shared" ref="EH83" si="1443">Z83/$E83</f>
        <v>0</v>
      </c>
      <c r="EI83" s="139">
        <f t="shared" ref="EI83" si="1444">AA83/$E83</f>
        <v>0</v>
      </c>
      <c r="EJ83" s="138">
        <f t="shared" ref="EJ83" si="1445">AB83/$E83</f>
        <v>0</v>
      </c>
      <c r="EK83" s="34">
        <f t="shared" ref="EK83" si="1446">AC83/$E83</f>
        <v>0</v>
      </c>
      <c r="EL83" s="34">
        <f t="shared" ref="EL83" si="1447">AD83/$E83</f>
        <v>0</v>
      </c>
      <c r="EM83" s="34">
        <f t="shared" ref="EM83" si="1448">AE83/$E83</f>
        <v>0</v>
      </c>
      <c r="EN83" s="34">
        <f t="shared" ref="EN83" si="1449">AF83/$E83</f>
        <v>0</v>
      </c>
      <c r="EO83" s="139">
        <f t="shared" ref="EO83" si="1450">AG83/$E83</f>
        <v>0</v>
      </c>
      <c r="EP83" s="138">
        <f t="shared" ref="EP83" si="1451">AH83/$E83</f>
        <v>0</v>
      </c>
      <c r="EQ83" s="34">
        <f t="shared" ref="EQ83" si="1452">AI83/$E83</f>
        <v>0</v>
      </c>
      <c r="ER83" s="34">
        <f t="shared" ref="ER83" si="1453">AJ83/$E83</f>
        <v>0</v>
      </c>
      <c r="ES83" s="34">
        <f t="shared" ref="ES83" si="1454">AK83/$E83</f>
        <v>0</v>
      </c>
      <c r="ET83" s="139">
        <f t="shared" ref="ET83" si="1455">AL83/$E83</f>
        <v>0</v>
      </c>
      <c r="EU83" s="138">
        <f t="shared" ref="EU83" si="1456">AM83/$E83</f>
        <v>0</v>
      </c>
      <c r="EV83" s="34">
        <f t="shared" ref="EV83" si="1457">AN83/$E83</f>
        <v>0</v>
      </c>
      <c r="EW83" s="34">
        <f t="shared" ref="EW83" si="1458">AO83/$E83</f>
        <v>0</v>
      </c>
      <c r="EX83" s="34">
        <f t="shared" ref="EX83" si="1459">AP83/$E83</f>
        <v>0</v>
      </c>
      <c r="EY83" s="34">
        <f t="shared" ref="EY83" si="1460">AQ83/$E83</f>
        <v>0</v>
      </c>
      <c r="EZ83" s="34">
        <f t="shared" ref="EZ83" si="1461">AR83/$E83</f>
        <v>0</v>
      </c>
      <c r="FA83" s="34">
        <f t="shared" ref="FA83" si="1462">AS83/$E83</f>
        <v>0</v>
      </c>
      <c r="FB83" s="34">
        <f t="shared" ref="FB83" si="1463">AT83/$E83</f>
        <v>0</v>
      </c>
      <c r="FC83" s="34">
        <f t="shared" ref="FC83" si="1464">AU83/$E83</f>
        <v>0</v>
      </c>
      <c r="FD83" s="34">
        <f t="shared" ref="FD83" si="1465">AV83/$E83</f>
        <v>0</v>
      </c>
      <c r="FE83" s="34">
        <f t="shared" ref="FE83" si="1466">AY83/$E83</f>
        <v>0</v>
      </c>
      <c r="FF83" s="139">
        <f t="shared" ref="FF83" si="1467">AZ83/$E83</f>
        <v>0</v>
      </c>
    </row>
    <row r="84" spans="2:162" x14ac:dyDescent="0.25">
      <c r="B84" s="127">
        <f t="shared" si="1432"/>
        <v>45561</v>
      </c>
      <c r="C84" s="266"/>
      <c r="D84" s="53">
        <v>4</v>
      </c>
      <c r="E84" s="129">
        <v>2.7</v>
      </c>
      <c r="F84" s="25"/>
      <c r="G84" s="25"/>
      <c r="H84" s="150">
        <v>4</v>
      </c>
      <c r="I84" s="24">
        <v>2</v>
      </c>
      <c r="J84" s="151">
        <f>1/3</f>
        <v>0.33333333333333331</v>
      </c>
      <c r="K84" s="151"/>
      <c r="L84" s="152">
        <v>12.9</v>
      </c>
      <c r="M84" s="152">
        <f>H84/I84*K84*L84*1.5</f>
        <v>0</v>
      </c>
      <c r="N84" s="153">
        <f>H84/I84*J84*L84*N$4</f>
        <v>9.4600000000000009</v>
      </c>
      <c r="O84" s="25"/>
      <c r="P84" s="95"/>
      <c r="Q84" s="41"/>
      <c r="R84" s="41"/>
      <c r="S84" s="41"/>
      <c r="T84" s="41"/>
      <c r="U84" s="41"/>
      <c r="V84" s="41"/>
      <c r="W84" s="42"/>
      <c r="X84" s="95"/>
      <c r="Y84" s="41"/>
      <c r="Z84" s="41"/>
      <c r="AA84" s="42"/>
      <c r="AB84" s="95"/>
      <c r="AC84" s="41"/>
      <c r="AD84" s="41"/>
      <c r="AE84" s="41"/>
      <c r="AF84" s="41"/>
      <c r="AG84" s="42"/>
      <c r="AH84" s="95"/>
      <c r="AI84" s="41"/>
      <c r="AJ84" s="41"/>
      <c r="AK84" s="41"/>
      <c r="AL84" s="42"/>
      <c r="AM84" s="95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2"/>
      <c r="BB84" s="95">
        <f t="shared" ref="BB84:CJ84" si="1468">$N84*DX84</f>
        <v>0</v>
      </c>
      <c r="BC84" s="41">
        <f t="shared" si="1468"/>
        <v>0</v>
      </c>
      <c r="BD84" s="41">
        <f t="shared" si="1468"/>
        <v>0</v>
      </c>
      <c r="BE84" s="41">
        <f t="shared" si="1468"/>
        <v>0</v>
      </c>
      <c r="BF84" s="41">
        <f t="shared" si="1468"/>
        <v>0</v>
      </c>
      <c r="BG84" s="41">
        <f t="shared" si="1468"/>
        <v>0</v>
      </c>
      <c r="BH84" s="41">
        <f t="shared" si="1468"/>
        <v>0</v>
      </c>
      <c r="BI84" s="42">
        <f t="shared" si="1468"/>
        <v>0</v>
      </c>
      <c r="BJ84" s="95">
        <f t="shared" si="1468"/>
        <v>0</v>
      </c>
      <c r="BK84" s="41">
        <f t="shared" si="1468"/>
        <v>0</v>
      </c>
      <c r="BL84" s="41">
        <f t="shared" si="1468"/>
        <v>0</v>
      </c>
      <c r="BM84" s="42">
        <f t="shared" si="1468"/>
        <v>0</v>
      </c>
      <c r="BN84" s="95">
        <f t="shared" si="1468"/>
        <v>0</v>
      </c>
      <c r="BO84" s="41">
        <f t="shared" si="1468"/>
        <v>0</v>
      </c>
      <c r="BP84" s="41">
        <f t="shared" si="1468"/>
        <v>0</v>
      </c>
      <c r="BQ84" s="41">
        <f t="shared" si="1468"/>
        <v>0</v>
      </c>
      <c r="BR84" s="41">
        <f t="shared" si="1468"/>
        <v>0</v>
      </c>
      <c r="BS84" s="42">
        <f t="shared" si="1468"/>
        <v>0</v>
      </c>
      <c r="BT84" s="95">
        <f t="shared" si="1468"/>
        <v>0</v>
      </c>
      <c r="BU84" s="41">
        <f t="shared" si="1468"/>
        <v>0</v>
      </c>
      <c r="BV84" s="41">
        <f t="shared" si="1468"/>
        <v>0</v>
      </c>
      <c r="BW84" s="41">
        <f t="shared" si="1468"/>
        <v>0</v>
      </c>
      <c r="BX84" s="42">
        <f t="shared" si="1468"/>
        <v>0</v>
      </c>
      <c r="BY84" s="95">
        <f t="shared" si="1468"/>
        <v>0</v>
      </c>
      <c r="BZ84" s="41">
        <f t="shared" si="1468"/>
        <v>0</v>
      </c>
      <c r="CA84" s="41">
        <f t="shared" si="1468"/>
        <v>0</v>
      </c>
      <c r="CB84" s="41">
        <f t="shared" si="1468"/>
        <v>0</v>
      </c>
      <c r="CC84" s="41">
        <f t="shared" si="1468"/>
        <v>0</v>
      </c>
      <c r="CD84" s="41">
        <f t="shared" si="1468"/>
        <v>0</v>
      </c>
      <c r="CE84" s="41">
        <f t="shared" si="1468"/>
        <v>0</v>
      </c>
      <c r="CF84" s="41">
        <f t="shared" si="1468"/>
        <v>0</v>
      </c>
      <c r="CG84" s="41">
        <f t="shared" si="1468"/>
        <v>0</v>
      </c>
      <c r="CH84" s="41">
        <f t="shared" si="1468"/>
        <v>0</v>
      </c>
      <c r="CI84" s="41">
        <f t="shared" si="1468"/>
        <v>0</v>
      </c>
      <c r="CJ84" s="42">
        <f t="shared" si="1468"/>
        <v>0</v>
      </c>
      <c r="CL84" s="36"/>
      <c r="CN84" s="95"/>
      <c r="CO84" s="41"/>
      <c r="CP84" s="41"/>
      <c r="CQ84" s="41"/>
      <c r="CR84" s="41"/>
      <c r="CS84" s="41"/>
      <c r="CT84" s="41"/>
      <c r="CU84" s="42"/>
      <c r="CV84" s="95"/>
      <c r="CW84" s="41"/>
      <c r="CX84" s="41"/>
      <c r="CY84" s="42"/>
      <c r="CZ84" s="95"/>
      <c r="DA84" s="41"/>
      <c r="DB84" s="41"/>
      <c r="DC84" s="41"/>
      <c r="DD84" s="41"/>
      <c r="DE84" s="42"/>
      <c r="DF84" s="95"/>
      <c r="DG84" s="41"/>
      <c r="DH84" s="41"/>
      <c r="DI84" s="41"/>
      <c r="DJ84" s="42"/>
      <c r="DK84" s="95"/>
      <c r="DL84" s="41"/>
      <c r="DM84" s="41"/>
      <c r="DN84" s="41"/>
      <c r="DO84" s="41"/>
      <c r="DP84" s="41"/>
      <c r="DQ84" s="41"/>
      <c r="DR84" s="41"/>
      <c r="DS84" s="41"/>
      <c r="DT84" s="41"/>
      <c r="DU84" s="41"/>
      <c r="DV84" s="42"/>
      <c r="DX84" s="138">
        <f t="shared" si="1397"/>
        <v>0</v>
      </c>
      <c r="DY84" s="34">
        <f t="shared" si="1398"/>
        <v>0</v>
      </c>
      <c r="DZ84" s="34">
        <f t="shared" si="1399"/>
        <v>0</v>
      </c>
      <c r="EA84" s="34">
        <f t="shared" si="1400"/>
        <v>0</v>
      </c>
      <c r="EB84" s="34">
        <f t="shared" si="1401"/>
        <v>0</v>
      </c>
      <c r="EC84" s="34">
        <f t="shared" si="1402"/>
        <v>0</v>
      </c>
      <c r="ED84" s="34">
        <f t="shared" si="1403"/>
        <v>0</v>
      </c>
      <c r="EE84" s="139">
        <f t="shared" si="1404"/>
        <v>0</v>
      </c>
      <c r="EF84" s="138">
        <f t="shared" si="1405"/>
        <v>0</v>
      </c>
      <c r="EG84" s="34">
        <f t="shared" si="1406"/>
        <v>0</v>
      </c>
      <c r="EH84" s="34">
        <f t="shared" si="1407"/>
        <v>0</v>
      </c>
      <c r="EI84" s="139">
        <f t="shared" si="1408"/>
        <v>0</v>
      </c>
      <c r="EJ84" s="138">
        <f t="shared" si="1409"/>
        <v>0</v>
      </c>
      <c r="EK84" s="34">
        <f t="shared" si="1410"/>
        <v>0</v>
      </c>
      <c r="EL84" s="34">
        <f t="shared" si="1411"/>
        <v>0</v>
      </c>
      <c r="EM84" s="34">
        <f t="shared" si="1412"/>
        <v>0</v>
      </c>
      <c r="EN84" s="34">
        <f t="shared" si="1413"/>
        <v>0</v>
      </c>
      <c r="EO84" s="139">
        <f t="shared" si="1414"/>
        <v>0</v>
      </c>
      <c r="EP84" s="138">
        <f t="shared" si="1415"/>
        <v>0</v>
      </c>
      <c r="EQ84" s="34">
        <f t="shared" si="1416"/>
        <v>0</v>
      </c>
      <c r="ER84" s="34">
        <f t="shared" si="1417"/>
        <v>0</v>
      </c>
      <c r="ES84" s="34">
        <f t="shared" si="1418"/>
        <v>0</v>
      </c>
      <c r="ET84" s="139">
        <f t="shared" si="1419"/>
        <v>0</v>
      </c>
      <c r="EU84" s="138">
        <f t="shared" si="1420"/>
        <v>0</v>
      </c>
      <c r="EV84" s="34">
        <f t="shared" si="1421"/>
        <v>0</v>
      </c>
      <c r="EW84" s="34">
        <f t="shared" si="1422"/>
        <v>0</v>
      </c>
      <c r="EX84" s="34">
        <f t="shared" si="1423"/>
        <v>0</v>
      </c>
      <c r="EY84" s="34">
        <f t="shared" si="1424"/>
        <v>0</v>
      </c>
      <c r="EZ84" s="34">
        <f t="shared" si="1425"/>
        <v>0</v>
      </c>
      <c r="FA84" s="34">
        <f t="shared" si="1426"/>
        <v>0</v>
      </c>
      <c r="FB84" s="34">
        <f t="shared" si="1427"/>
        <v>0</v>
      </c>
      <c r="FC84" s="34">
        <f t="shared" si="1428"/>
        <v>0</v>
      </c>
      <c r="FD84" s="34">
        <f t="shared" si="1429"/>
        <v>0</v>
      </c>
      <c r="FE84" s="34">
        <f t="shared" si="1430"/>
        <v>0</v>
      </c>
      <c r="FF84" s="139">
        <f t="shared" si="1431"/>
        <v>0</v>
      </c>
    </row>
    <row r="85" spans="2:162" x14ac:dyDescent="0.25">
      <c r="B85" s="127">
        <f t="shared" si="1432"/>
        <v>45562</v>
      </c>
      <c r="C85" s="266"/>
      <c r="D85" s="53"/>
      <c r="E85" s="129"/>
      <c r="F85" s="25"/>
      <c r="G85" s="25"/>
      <c r="H85" s="150"/>
      <c r="I85" s="24"/>
      <c r="J85" s="151"/>
      <c r="K85" s="151"/>
      <c r="L85" s="152"/>
      <c r="M85" s="152"/>
      <c r="N85" s="153"/>
      <c r="O85" s="25"/>
      <c r="P85" s="95"/>
      <c r="Q85" s="41"/>
      <c r="R85" s="41"/>
      <c r="S85" s="41"/>
      <c r="T85" s="41"/>
      <c r="U85" s="41"/>
      <c r="V85" s="41"/>
      <c r="W85" s="42"/>
      <c r="X85" s="95"/>
      <c r="Y85" s="41"/>
      <c r="Z85" s="41"/>
      <c r="AA85" s="42"/>
      <c r="AB85" s="95"/>
      <c r="AC85" s="41"/>
      <c r="AD85" s="41"/>
      <c r="AE85" s="41"/>
      <c r="AF85" s="41"/>
      <c r="AG85" s="42"/>
      <c r="AH85" s="95"/>
      <c r="AI85" s="41"/>
      <c r="AJ85" s="41"/>
      <c r="AK85" s="41"/>
      <c r="AL85" s="42"/>
      <c r="AM85" s="95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2"/>
      <c r="BB85" s="95"/>
      <c r="BC85" s="41"/>
      <c r="BD85" s="41"/>
      <c r="BE85" s="41"/>
      <c r="BF85" s="41"/>
      <c r="BG85" s="41"/>
      <c r="BH85" s="41"/>
      <c r="BI85" s="42"/>
      <c r="BJ85" s="95"/>
      <c r="BK85" s="41"/>
      <c r="BL85" s="41"/>
      <c r="BM85" s="42"/>
      <c r="BN85" s="95"/>
      <c r="BO85" s="41"/>
      <c r="BP85" s="41"/>
      <c r="BQ85" s="41"/>
      <c r="BR85" s="41"/>
      <c r="BS85" s="42"/>
      <c r="BT85" s="95"/>
      <c r="BU85" s="41"/>
      <c r="BV85" s="41"/>
      <c r="BW85" s="41"/>
      <c r="BX85" s="42"/>
      <c r="BY85" s="95"/>
      <c r="BZ85" s="41"/>
      <c r="CA85" s="41"/>
      <c r="CB85" s="41"/>
      <c r="CC85" s="41"/>
      <c r="CD85" s="41"/>
      <c r="CE85" s="41"/>
      <c r="CF85" s="41"/>
      <c r="CG85" s="41"/>
      <c r="CH85" s="41"/>
      <c r="CI85" s="41"/>
      <c r="CJ85" s="42"/>
      <c r="CL85" s="36"/>
      <c r="CN85" s="95"/>
      <c r="CO85" s="41"/>
      <c r="CP85" s="41"/>
      <c r="CQ85" s="41"/>
      <c r="CR85" s="41"/>
      <c r="CS85" s="41"/>
      <c r="CT85" s="41"/>
      <c r="CU85" s="42"/>
      <c r="CV85" s="95"/>
      <c r="CW85" s="41"/>
      <c r="CX85" s="41"/>
      <c r="CY85" s="42"/>
      <c r="CZ85" s="95"/>
      <c r="DA85" s="41"/>
      <c r="DB85" s="41"/>
      <c r="DC85" s="41"/>
      <c r="DD85" s="41"/>
      <c r="DE85" s="42"/>
      <c r="DF85" s="95"/>
      <c r="DG85" s="41"/>
      <c r="DH85" s="41"/>
      <c r="DI85" s="41"/>
      <c r="DJ85" s="42"/>
      <c r="DK85" s="95"/>
      <c r="DL85" s="41"/>
      <c r="DM85" s="41"/>
      <c r="DN85" s="41"/>
      <c r="DO85" s="41"/>
      <c r="DP85" s="41"/>
      <c r="DQ85" s="41"/>
      <c r="DR85" s="41"/>
      <c r="DS85" s="41"/>
      <c r="DT85" s="41"/>
      <c r="DU85" s="41"/>
      <c r="DV85" s="42"/>
      <c r="DX85" s="138"/>
      <c r="DY85" s="34"/>
      <c r="DZ85" s="34"/>
      <c r="EA85" s="34"/>
      <c r="EB85" s="34"/>
      <c r="EC85" s="34"/>
      <c r="ED85" s="34"/>
      <c r="EE85" s="139"/>
      <c r="EF85" s="138"/>
      <c r="EG85" s="34"/>
      <c r="EH85" s="34"/>
      <c r="EI85" s="139"/>
      <c r="EJ85" s="138"/>
      <c r="EK85" s="34"/>
      <c r="EL85" s="34"/>
      <c r="EM85" s="34"/>
      <c r="EN85" s="34"/>
      <c r="EO85" s="139"/>
      <c r="EP85" s="138"/>
      <c r="EQ85" s="34"/>
      <c r="ER85" s="34"/>
      <c r="ES85" s="34"/>
      <c r="ET85" s="139"/>
      <c r="EU85" s="138"/>
      <c r="EV85" s="34"/>
      <c r="EW85" s="34"/>
      <c r="EX85" s="34"/>
      <c r="EY85" s="34"/>
      <c r="EZ85" s="34"/>
      <c r="FA85" s="34"/>
      <c r="FB85" s="34"/>
      <c r="FC85" s="34"/>
      <c r="FD85" s="34"/>
      <c r="FE85" s="34"/>
      <c r="FF85" s="139"/>
    </row>
    <row r="86" spans="2:162" x14ac:dyDescent="0.25">
      <c r="B86" s="127">
        <f t="shared" si="1432"/>
        <v>45563</v>
      </c>
      <c r="C86" s="266"/>
      <c r="D86" s="53">
        <v>9</v>
      </c>
      <c r="E86" s="129">
        <v>6.48</v>
      </c>
      <c r="F86" s="25"/>
      <c r="G86" s="25"/>
      <c r="H86" s="150">
        <v>9</v>
      </c>
      <c r="I86" s="24">
        <v>2</v>
      </c>
      <c r="J86" s="151">
        <f>4/8</f>
        <v>0.5</v>
      </c>
      <c r="K86" s="151"/>
      <c r="L86" s="152">
        <v>12.8</v>
      </c>
      <c r="M86" s="152">
        <f t="shared" si="1358"/>
        <v>0</v>
      </c>
      <c r="N86" s="153">
        <f t="shared" si="1359"/>
        <v>31.680000000000003</v>
      </c>
      <c r="O86" s="25"/>
      <c r="P86" s="95"/>
      <c r="Q86" s="41"/>
      <c r="R86" s="41"/>
      <c r="S86" s="41"/>
      <c r="T86" s="41"/>
      <c r="U86" s="41"/>
      <c r="V86" s="41"/>
      <c r="W86" s="42"/>
      <c r="X86" s="95"/>
      <c r="Y86" s="41"/>
      <c r="Z86" s="41"/>
      <c r="AA86" s="42"/>
      <c r="AB86" s="95"/>
      <c r="AC86" s="41"/>
      <c r="AD86" s="41"/>
      <c r="AE86" s="41"/>
      <c r="AF86" s="41"/>
      <c r="AG86" s="42"/>
      <c r="AH86" s="95"/>
      <c r="AI86" s="41"/>
      <c r="AJ86" s="41"/>
      <c r="AK86" s="41"/>
      <c r="AL86" s="42"/>
      <c r="AM86" s="95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2"/>
      <c r="BB86" s="95">
        <f t="shared" si="1360"/>
        <v>0</v>
      </c>
      <c r="BC86" s="41">
        <f t="shared" si="1361"/>
        <v>0</v>
      </c>
      <c r="BD86" s="41">
        <f t="shared" si="1362"/>
        <v>0</v>
      </c>
      <c r="BE86" s="41">
        <f t="shared" si="1363"/>
        <v>0</v>
      </c>
      <c r="BF86" s="41">
        <f t="shared" si="1364"/>
        <v>0</v>
      </c>
      <c r="BG86" s="41">
        <f t="shared" si="1365"/>
        <v>0</v>
      </c>
      <c r="BH86" s="41">
        <f t="shared" si="1366"/>
        <v>0</v>
      </c>
      <c r="BI86" s="42">
        <f t="shared" si="1367"/>
        <v>0</v>
      </c>
      <c r="BJ86" s="95">
        <f t="shared" si="1368"/>
        <v>0</v>
      </c>
      <c r="BK86" s="41">
        <f t="shared" si="1369"/>
        <v>0</v>
      </c>
      <c r="BL86" s="41">
        <f t="shared" si="1370"/>
        <v>0</v>
      </c>
      <c r="BM86" s="42">
        <f t="shared" si="1371"/>
        <v>0</v>
      </c>
      <c r="BN86" s="95">
        <f t="shared" si="1372"/>
        <v>0</v>
      </c>
      <c r="BO86" s="41">
        <f t="shared" si="1373"/>
        <v>0</v>
      </c>
      <c r="BP86" s="41">
        <f t="shared" si="1374"/>
        <v>0</v>
      </c>
      <c r="BQ86" s="41">
        <f t="shared" si="1375"/>
        <v>0</v>
      </c>
      <c r="BR86" s="41">
        <f t="shared" si="1376"/>
        <v>0</v>
      </c>
      <c r="BS86" s="42">
        <f t="shared" si="1377"/>
        <v>0</v>
      </c>
      <c r="BT86" s="95">
        <f t="shared" si="1378"/>
        <v>0</v>
      </c>
      <c r="BU86" s="41">
        <f t="shared" si="1379"/>
        <v>0</v>
      </c>
      <c r="BV86" s="41">
        <f t="shared" si="1380"/>
        <v>0</v>
      </c>
      <c r="BW86" s="41">
        <f t="shared" si="1381"/>
        <v>0</v>
      </c>
      <c r="BX86" s="42">
        <f t="shared" si="1382"/>
        <v>0</v>
      </c>
      <c r="BY86" s="95">
        <f t="shared" si="1383"/>
        <v>0</v>
      </c>
      <c r="BZ86" s="41">
        <f t="shared" si="1384"/>
        <v>0</v>
      </c>
      <c r="CA86" s="41">
        <f t="shared" si="1385"/>
        <v>0</v>
      </c>
      <c r="CB86" s="41">
        <f t="shared" si="1386"/>
        <v>0</v>
      </c>
      <c r="CC86" s="41">
        <f t="shared" si="1387"/>
        <v>0</v>
      </c>
      <c r="CD86" s="41">
        <f t="shared" si="1388"/>
        <v>0</v>
      </c>
      <c r="CE86" s="41">
        <f t="shared" si="1389"/>
        <v>0</v>
      </c>
      <c r="CF86" s="41">
        <f t="shared" si="1390"/>
        <v>0</v>
      </c>
      <c r="CG86" s="41">
        <f t="shared" si="1391"/>
        <v>0</v>
      </c>
      <c r="CH86" s="41">
        <f t="shared" si="1392"/>
        <v>0</v>
      </c>
      <c r="CI86" s="41">
        <f t="shared" si="1393"/>
        <v>0</v>
      </c>
      <c r="CJ86" s="42">
        <f t="shared" si="1394"/>
        <v>0</v>
      </c>
      <c r="CL86" s="36">
        <v>2</v>
      </c>
      <c r="CN86" s="95">
        <f t="shared" ref="CN86" si="1469">AVERAGE(BB86:BB87)*$CL86</f>
        <v>0</v>
      </c>
      <c r="CO86" s="41">
        <f t="shared" ref="CO86" si="1470">AVERAGE(BC86:BC87)*$CL86</f>
        <v>0</v>
      </c>
      <c r="CP86" s="41">
        <f t="shared" ref="CP86" si="1471">AVERAGE(BD86:BD87)*$CL86</f>
        <v>0</v>
      </c>
      <c r="CQ86" s="41">
        <f t="shared" ref="CQ86" si="1472">AVERAGE(BE86:BE87)*$CL86</f>
        <v>0</v>
      </c>
      <c r="CR86" s="41">
        <f t="shared" ref="CR86" si="1473">AVERAGE(BF86:BF87)*$CL86</f>
        <v>0</v>
      </c>
      <c r="CS86" s="41">
        <f t="shared" ref="CS86" si="1474">AVERAGE(BG86:BG87)*$CL86</f>
        <v>0</v>
      </c>
      <c r="CT86" s="41">
        <f t="shared" ref="CT86" si="1475">AVERAGE(BH86:BH87)*$CL86</f>
        <v>0</v>
      </c>
      <c r="CU86" s="42">
        <f t="shared" ref="CU86" si="1476">AVERAGE(BI86:BI87)*$CL86</f>
        <v>0</v>
      </c>
      <c r="CV86" s="95">
        <f t="shared" ref="CV86" si="1477">AVERAGE(BJ86:BJ87)*$CL86</f>
        <v>0</v>
      </c>
      <c r="CW86" s="41">
        <f t="shared" ref="CW86" si="1478">AVERAGE(BK86:BK87)*$CL86</f>
        <v>0</v>
      </c>
      <c r="CX86" s="41">
        <f t="shared" ref="CX86" si="1479">AVERAGE(BL86:BL87)*$CL86</f>
        <v>0</v>
      </c>
      <c r="CY86" s="42">
        <f t="shared" ref="CY86" si="1480">AVERAGE(BM86:BM87)*$CL86</f>
        <v>0</v>
      </c>
      <c r="CZ86" s="95">
        <f t="shared" ref="CZ86" si="1481">AVERAGE(BN86:BN87)*$CL86</f>
        <v>0</v>
      </c>
      <c r="DA86" s="41">
        <f t="shared" ref="DA86" si="1482">AVERAGE(BO86:BO87)*$CL86</f>
        <v>0</v>
      </c>
      <c r="DB86" s="41">
        <f t="shared" ref="DB86" si="1483">AVERAGE(BP86:BP87)*$CL86</f>
        <v>0</v>
      </c>
      <c r="DC86" s="41">
        <f t="shared" ref="DC86" si="1484">AVERAGE(BQ86:BQ87)*$CL86</f>
        <v>0</v>
      </c>
      <c r="DD86" s="41">
        <f t="shared" ref="DD86" si="1485">AVERAGE(BR86:BR87)*$CL86</f>
        <v>0</v>
      </c>
      <c r="DE86" s="42">
        <f t="shared" ref="DE86" si="1486">AVERAGE(BS86:BS87)*$CL86</f>
        <v>0</v>
      </c>
      <c r="DF86" s="95">
        <f t="shared" ref="DF86" si="1487">AVERAGE(BT86:BT87)*$CL86</f>
        <v>0</v>
      </c>
      <c r="DG86" s="41">
        <f t="shared" ref="DG86" si="1488">AVERAGE(BU86:BU87)*$CL86</f>
        <v>0</v>
      </c>
      <c r="DH86" s="41">
        <f t="shared" ref="DH86" si="1489">AVERAGE(BV86:BV87)*$CL86</f>
        <v>0</v>
      </c>
      <c r="DI86" s="41">
        <f t="shared" ref="DI86" si="1490">AVERAGE(BW86:BW87)*$CL86</f>
        <v>0</v>
      </c>
      <c r="DJ86" s="42">
        <f t="shared" ref="DJ86" si="1491">AVERAGE(BX86:BX87)*$CL86</f>
        <v>0</v>
      </c>
      <c r="DK86" s="95">
        <f t="shared" ref="DK86" si="1492">AVERAGE(BY86:BY87)*$CL86</f>
        <v>0</v>
      </c>
      <c r="DL86" s="41">
        <f t="shared" ref="DL86" si="1493">AVERAGE(BZ86:BZ87)*$CL86</f>
        <v>0</v>
      </c>
      <c r="DM86" s="41">
        <f t="shared" ref="DM86" si="1494">AVERAGE(CA86:CA87)*$CL86</f>
        <v>0</v>
      </c>
      <c r="DN86" s="41">
        <f t="shared" ref="DN86" si="1495">AVERAGE(CB86:CB87)*$CL86</f>
        <v>0</v>
      </c>
      <c r="DO86" s="41">
        <f t="shared" ref="DO86" si="1496">AVERAGE(CC86:CC87)*$CL86</f>
        <v>0</v>
      </c>
      <c r="DP86" s="41">
        <f t="shared" ref="DP86" si="1497">AVERAGE(CD86:CD87)*$CL86</f>
        <v>0</v>
      </c>
      <c r="DQ86" s="41">
        <f t="shared" ref="DQ86" si="1498">AVERAGE(CE86:CE87)*$CL86</f>
        <v>0</v>
      </c>
      <c r="DR86" s="41">
        <f t="shared" ref="DR86" si="1499">AVERAGE(CF86:CF87)*$CL86</f>
        <v>0</v>
      </c>
      <c r="DS86" s="41">
        <f t="shared" ref="DS86" si="1500">AVERAGE(CG86:CG87)*$CL86</f>
        <v>0</v>
      </c>
      <c r="DT86" s="41">
        <f t="shared" ref="DT86" si="1501">AVERAGE(CH86:CH87)*$CL86</f>
        <v>0</v>
      </c>
      <c r="DU86" s="41">
        <f t="shared" ref="DU86" si="1502">AVERAGE(CI86:CI87)*$CL86</f>
        <v>0</v>
      </c>
      <c r="DV86" s="42">
        <f t="shared" ref="DV86" si="1503">AVERAGE(CJ86:CJ87)*$CL86</f>
        <v>0</v>
      </c>
      <c r="DX86" s="138">
        <f t="shared" si="1397"/>
        <v>0</v>
      </c>
      <c r="DY86" s="34">
        <f t="shared" si="1398"/>
        <v>0</v>
      </c>
      <c r="DZ86" s="34">
        <f t="shared" si="1399"/>
        <v>0</v>
      </c>
      <c r="EA86" s="34">
        <f t="shared" si="1400"/>
        <v>0</v>
      </c>
      <c r="EB86" s="34">
        <f t="shared" si="1401"/>
        <v>0</v>
      </c>
      <c r="EC86" s="34">
        <f t="shared" si="1402"/>
        <v>0</v>
      </c>
      <c r="ED86" s="34">
        <f t="shared" si="1403"/>
        <v>0</v>
      </c>
      <c r="EE86" s="139">
        <f t="shared" si="1404"/>
        <v>0</v>
      </c>
      <c r="EF86" s="138">
        <f t="shared" si="1405"/>
        <v>0</v>
      </c>
      <c r="EG86" s="34">
        <f t="shared" si="1406"/>
        <v>0</v>
      </c>
      <c r="EH86" s="34">
        <f t="shared" si="1407"/>
        <v>0</v>
      </c>
      <c r="EI86" s="139">
        <f t="shared" si="1408"/>
        <v>0</v>
      </c>
      <c r="EJ86" s="138">
        <f t="shared" si="1409"/>
        <v>0</v>
      </c>
      <c r="EK86" s="34">
        <f t="shared" si="1410"/>
        <v>0</v>
      </c>
      <c r="EL86" s="34">
        <f t="shared" si="1411"/>
        <v>0</v>
      </c>
      <c r="EM86" s="34">
        <f t="shared" si="1412"/>
        <v>0</v>
      </c>
      <c r="EN86" s="34">
        <f t="shared" si="1413"/>
        <v>0</v>
      </c>
      <c r="EO86" s="139">
        <f t="shared" si="1414"/>
        <v>0</v>
      </c>
      <c r="EP86" s="138">
        <f t="shared" si="1415"/>
        <v>0</v>
      </c>
      <c r="EQ86" s="34">
        <f t="shared" si="1416"/>
        <v>0</v>
      </c>
      <c r="ER86" s="34">
        <f t="shared" si="1417"/>
        <v>0</v>
      </c>
      <c r="ES86" s="34">
        <f t="shared" si="1418"/>
        <v>0</v>
      </c>
      <c r="ET86" s="139">
        <f t="shared" si="1419"/>
        <v>0</v>
      </c>
      <c r="EU86" s="138">
        <f t="shared" si="1420"/>
        <v>0</v>
      </c>
      <c r="EV86" s="34">
        <f t="shared" si="1421"/>
        <v>0</v>
      </c>
      <c r="EW86" s="34">
        <f t="shared" si="1422"/>
        <v>0</v>
      </c>
      <c r="EX86" s="34">
        <f t="shared" si="1423"/>
        <v>0</v>
      </c>
      <c r="EY86" s="34">
        <f t="shared" si="1424"/>
        <v>0</v>
      </c>
      <c r="EZ86" s="34">
        <f t="shared" si="1425"/>
        <v>0</v>
      </c>
      <c r="FA86" s="34">
        <f t="shared" si="1426"/>
        <v>0</v>
      </c>
      <c r="FB86" s="34">
        <f t="shared" si="1427"/>
        <v>0</v>
      </c>
      <c r="FC86" s="34">
        <f t="shared" si="1428"/>
        <v>0</v>
      </c>
      <c r="FD86" s="34">
        <f t="shared" si="1429"/>
        <v>0</v>
      </c>
      <c r="FE86" s="34">
        <f t="shared" si="1430"/>
        <v>0</v>
      </c>
      <c r="FF86" s="139">
        <f t="shared" si="1431"/>
        <v>0</v>
      </c>
    </row>
    <row r="87" spans="2:162" ht="16.5" thickBot="1" x14ac:dyDescent="0.3">
      <c r="B87" s="127">
        <f t="shared" si="1432"/>
        <v>45564</v>
      </c>
      <c r="C87" s="267"/>
      <c r="D87" s="100"/>
      <c r="E87" s="131"/>
      <c r="F87" s="25"/>
      <c r="G87" s="25"/>
      <c r="H87" s="171"/>
      <c r="I87" s="172"/>
      <c r="J87" s="173"/>
      <c r="K87" s="173"/>
      <c r="L87" s="174">
        <v>12.8</v>
      </c>
      <c r="M87" s="174"/>
      <c r="N87" s="175"/>
      <c r="O87" s="25"/>
      <c r="P87" s="96"/>
      <c r="Q87" s="76"/>
      <c r="R87" s="76"/>
      <c r="S87" s="76"/>
      <c r="T87" s="76"/>
      <c r="U87" s="76"/>
      <c r="V87" s="76"/>
      <c r="W87" s="77"/>
      <c r="X87" s="96"/>
      <c r="Y87" s="76"/>
      <c r="Z87" s="76"/>
      <c r="AA87" s="77"/>
      <c r="AB87" s="96"/>
      <c r="AC87" s="76"/>
      <c r="AD87" s="76"/>
      <c r="AE87" s="76"/>
      <c r="AF87" s="76"/>
      <c r="AG87" s="77"/>
      <c r="AH87" s="96"/>
      <c r="AI87" s="76"/>
      <c r="AJ87" s="76"/>
      <c r="AK87" s="76"/>
      <c r="AL87" s="77"/>
      <c r="AM87" s="9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7"/>
      <c r="BB87" s="96"/>
      <c r="BC87" s="76"/>
      <c r="BD87" s="76"/>
      <c r="BE87" s="76"/>
      <c r="BF87" s="76"/>
      <c r="BG87" s="76"/>
      <c r="BH87" s="76"/>
      <c r="BI87" s="77"/>
      <c r="BJ87" s="96"/>
      <c r="BK87" s="76"/>
      <c r="BL87" s="76"/>
      <c r="BM87" s="77"/>
      <c r="BN87" s="96"/>
      <c r="BO87" s="76"/>
      <c r="BP87" s="76"/>
      <c r="BQ87" s="76"/>
      <c r="BR87" s="76"/>
      <c r="BS87" s="77"/>
      <c r="BT87" s="96"/>
      <c r="BU87" s="76"/>
      <c r="BV87" s="76"/>
      <c r="BW87" s="76"/>
      <c r="BX87" s="77"/>
      <c r="BY87" s="96"/>
      <c r="BZ87" s="76"/>
      <c r="CA87" s="76"/>
      <c r="CB87" s="76"/>
      <c r="CC87" s="76"/>
      <c r="CD87" s="76"/>
      <c r="CE87" s="76"/>
      <c r="CF87" s="76"/>
      <c r="CG87" s="76"/>
      <c r="CH87" s="76"/>
      <c r="CI87" s="76"/>
      <c r="CJ87" s="77"/>
      <c r="CN87" s="96"/>
      <c r="CO87" s="76"/>
      <c r="CP87" s="76"/>
      <c r="CQ87" s="76"/>
      <c r="CR87" s="76"/>
      <c r="CS87" s="76"/>
      <c r="CT87" s="76"/>
      <c r="CU87" s="77"/>
      <c r="CV87" s="96"/>
      <c r="CW87" s="76"/>
      <c r="CX87" s="76"/>
      <c r="CY87" s="77"/>
      <c r="CZ87" s="96"/>
      <c r="DA87" s="76"/>
      <c r="DB87" s="76"/>
      <c r="DC87" s="76"/>
      <c r="DD87" s="76"/>
      <c r="DE87" s="77"/>
      <c r="DF87" s="96"/>
      <c r="DG87" s="76"/>
      <c r="DH87" s="76"/>
      <c r="DI87" s="76"/>
      <c r="DJ87" s="77"/>
      <c r="DK87" s="96"/>
      <c r="DL87" s="76"/>
      <c r="DM87" s="76"/>
      <c r="DN87" s="76"/>
      <c r="DO87" s="76"/>
      <c r="DP87" s="76"/>
      <c r="DQ87" s="76"/>
      <c r="DR87" s="76"/>
      <c r="DS87" s="76"/>
      <c r="DT87" s="76"/>
      <c r="DU87" s="76"/>
      <c r="DV87" s="77"/>
      <c r="DX87" s="140"/>
      <c r="DY87" s="141"/>
      <c r="DZ87" s="141"/>
      <c r="EA87" s="141"/>
      <c r="EB87" s="141"/>
      <c r="EC87" s="141"/>
      <c r="ED87" s="141"/>
      <c r="EE87" s="142"/>
      <c r="EF87" s="140"/>
      <c r="EG87" s="141"/>
      <c r="EH87" s="141"/>
      <c r="EI87" s="142"/>
      <c r="EJ87" s="140"/>
      <c r="EK87" s="141"/>
      <c r="EL87" s="141"/>
      <c r="EM87" s="141"/>
      <c r="EN87" s="141"/>
      <c r="EO87" s="142"/>
      <c r="EP87" s="140"/>
      <c r="EQ87" s="141"/>
      <c r="ER87" s="141"/>
      <c r="ES87" s="141"/>
      <c r="ET87" s="142"/>
      <c r="EU87" s="140"/>
      <c r="EV87" s="141"/>
      <c r="EW87" s="141"/>
      <c r="EX87" s="141"/>
      <c r="EY87" s="141"/>
      <c r="EZ87" s="141"/>
      <c r="FA87" s="141"/>
      <c r="FB87" s="141"/>
      <c r="FC87" s="141"/>
      <c r="FD87" s="141"/>
      <c r="FE87" s="141"/>
      <c r="FF87" s="142"/>
    </row>
    <row r="88" spans="2:162" ht="17.25" thickTop="1" thickBot="1" x14ac:dyDescent="0.3">
      <c r="B88" s="178"/>
      <c r="C88" s="268"/>
      <c r="D88" s="101">
        <f t="shared" ref="D88:E88" si="1504">SUM(D81:D87)</f>
        <v>21</v>
      </c>
      <c r="E88" s="134">
        <f t="shared" si="1504"/>
        <v>40.77000000000001</v>
      </c>
      <c r="F88" s="146"/>
      <c r="G88" s="146"/>
      <c r="H88" s="43"/>
      <c r="I88" s="39"/>
      <c r="J88" s="39"/>
      <c r="K88" s="39"/>
      <c r="L88" s="184"/>
      <c r="M88" s="185"/>
      <c r="N88" s="170">
        <f>AVERAGE(N81:N85)*5+AVERAGE(N86:N87)*2</f>
        <v>131.74333333333334</v>
      </c>
      <c r="O88" s="146"/>
      <c r="P88" s="68">
        <f t="shared" ref="P88:AZ88" si="1505">SUM(P81:P87)</f>
        <v>0</v>
      </c>
      <c r="Q88" s="65">
        <f t="shared" si="1505"/>
        <v>0</v>
      </c>
      <c r="R88" s="65">
        <f t="shared" si="1505"/>
        <v>0</v>
      </c>
      <c r="S88" s="65">
        <f t="shared" si="1505"/>
        <v>0</v>
      </c>
      <c r="T88" s="65">
        <f t="shared" si="1505"/>
        <v>0</v>
      </c>
      <c r="U88" s="65">
        <f t="shared" si="1505"/>
        <v>0</v>
      </c>
      <c r="V88" s="65">
        <f t="shared" si="1505"/>
        <v>0</v>
      </c>
      <c r="W88" s="66">
        <f t="shared" si="1505"/>
        <v>0</v>
      </c>
      <c r="X88" s="68">
        <f t="shared" si="1505"/>
        <v>0</v>
      </c>
      <c r="Y88" s="65">
        <f t="shared" si="1505"/>
        <v>0</v>
      </c>
      <c r="Z88" s="65">
        <f t="shared" si="1505"/>
        <v>0</v>
      </c>
      <c r="AA88" s="66">
        <f t="shared" si="1505"/>
        <v>0</v>
      </c>
      <c r="AB88" s="68">
        <f t="shared" si="1505"/>
        <v>0</v>
      </c>
      <c r="AC88" s="65">
        <f t="shared" si="1505"/>
        <v>0</v>
      </c>
      <c r="AD88" s="65">
        <f t="shared" si="1505"/>
        <v>0</v>
      </c>
      <c r="AE88" s="65">
        <f t="shared" si="1505"/>
        <v>0</v>
      </c>
      <c r="AF88" s="65">
        <f t="shared" si="1505"/>
        <v>0</v>
      </c>
      <c r="AG88" s="66">
        <f t="shared" si="1505"/>
        <v>0</v>
      </c>
      <c r="AH88" s="68">
        <f t="shared" si="1505"/>
        <v>0</v>
      </c>
      <c r="AI88" s="65">
        <f t="shared" si="1505"/>
        <v>0</v>
      </c>
      <c r="AJ88" s="65">
        <f t="shared" si="1505"/>
        <v>0</v>
      </c>
      <c r="AK88" s="65">
        <f t="shared" si="1505"/>
        <v>0</v>
      </c>
      <c r="AL88" s="66">
        <f t="shared" si="1505"/>
        <v>0</v>
      </c>
      <c r="AM88" s="68">
        <f t="shared" si="1505"/>
        <v>0</v>
      </c>
      <c r="AN88" s="65">
        <f t="shared" si="1505"/>
        <v>0</v>
      </c>
      <c r="AO88" s="65">
        <f t="shared" si="1505"/>
        <v>0</v>
      </c>
      <c r="AP88" s="65">
        <f t="shared" si="1505"/>
        <v>0</v>
      </c>
      <c r="AQ88" s="65">
        <f t="shared" si="1505"/>
        <v>0</v>
      </c>
      <c r="AR88" s="65">
        <f t="shared" si="1505"/>
        <v>0</v>
      </c>
      <c r="AS88" s="65">
        <f t="shared" si="1505"/>
        <v>0</v>
      </c>
      <c r="AT88" s="65">
        <f t="shared" si="1505"/>
        <v>0</v>
      </c>
      <c r="AU88" s="65">
        <f t="shared" si="1505"/>
        <v>0</v>
      </c>
      <c r="AV88" s="65">
        <f t="shared" si="1505"/>
        <v>0</v>
      </c>
      <c r="AW88" s="65">
        <f t="shared" si="1505"/>
        <v>0</v>
      </c>
      <c r="AX88" s="65">
        <f t="shared" si="1505"/>
        <v>0</v>
      </c>
      <c r="AY88" s="65">
        <f t="shared" si="1505"/>
        <v>0</v>
      </c>
      <c r="AZ88" s="66">
        <f t="shared" si="1505"/>
        <v>0</v>
      </c>
      <c r="BB88" s="68">
        <f t="shared" ref="BB88:CJ88" si="1506">SUM(BB81:BB87)</f>
        <v>0</v>
      </c>
      <c r="BC88" s="65">
        <f t="shared" si="1506"/>
        <v>0</v>
      </c>
      <c r="BD88" s="65">
        <f t="shared" si="1506"/>
        <v>0</v>
      </c>
      <c r="BE88" s="65">
        <f t="shared" si="1506"/>
        <v>0</v>
      </c>
      <c r="BF88" s="65">
        <f t="shared" si="1506"/>
        <v>0</v>
      </c>
      <c r="BG88" s="65">
        <f t="shared" si="1506"/>
        <v>0</v>
      </c>
      <c r="BH88" s="65">
        <f t="shared" si="1506"/>
        <v>0</v>
      </c>
      <c r="BI88" s="66">
        <f t="shared" si="1506"/>
        <v>0</v>
      </c>
      <c r="BJ88" s="68">
        <f t="shared" si="1506"/>
        <v>0</v>
      </c>
      <c r="BK88" s="65">
        <f t="shared" si="1506"/>
        <v>0</v>
      </c>
      <c r="BL88" s="65">
        <f t="shared" si="1506"/>
        <v>0</v>
      </c>
      <c r="BM88" s="66">
        <f t="shared" si="1506"/>
        <v>0</v>
      </c>
      <c r="BN88" s="68">
        <f t="shared" si="1506"/>
        <v>0</v>
      </c>
      <c r="BO88" s="65">
        <f t="shared" si="1506"/>
        <v>0</v>
      </c>
      <c r="BP88" s="65">
        <f t="shared" si="1506"/>
        <v>0</v>
      </c>
      <c r="BQ88" s="65">
        <f t="shared" si="1506"/>
        <v>0</v>
      </c>
      <c r="BR88" s="65">
        <f t="shared" si="1506"/>
        <v>0</v>
      </c>
      <c r="BS88" s="66">
        <f t="shared" si="1506"/>
        <v>0</v>
      </c>
      <c r="BT88" s="68">
        <f t="shared" si="1506"/>
        <v>0</v>
      </c>
      <c r="BU88" s="65">
        <f t="shared" si="1506"/>
        <v>0</v>
      </c>
      <c r="BV88" s="65">
        <f t="shared" si="1506"/>
        <v>0</v>
      </c>
      <c r="BW88" s="65">
        <f t="shared" si="1506"/>
        <v>0</v>
      </c>
      <c r="BX88" s="66">
        <f t="shared" si="1506"/>
        <v>0</v>
      </c>
      <c r="BY88" s="68">
        <f t="shared" si="1506"/>
        <v>0</v>
      </c>
      <c r="BZ88" s="65">
        <f t="shared" si="1506"/>
        <v>0</v>
      </c>
      <c r="CA88" s="65">
        <f t="shared" si="1506"/>
        <v>0</v>
      </c>
      <c r="CB88" s="65">
        <f t="shared" si="1506"/>
        <v>0</v>
      </c>
      <c r="CC88" s="65">
        <f t="shared" si="1506"/>
        <v>0</v>
      </c>
      <c r="CD88" s="65">
        <f t="shared" si="1506"/>
        <v>0</v>
      </c>
      <c r="CE88" s="65">
        <f t="shared" si="1506"/>
        <v>0</v>
      </c>
      <c r="CF88" s="65">
        <f t="shared" si="1506"/>
        <v>0</v>
      </c>
      <c r="CG88" s="65">
        <f t="shared" si="1506"/>
        <v>0</v>
      </c>
      <c r="CH88" s="65">
        <f t="shared" si="1506"/>
        <v>0</v>
      </c>
      <c r="CI88" s="65">
        <f t="shared" si="1506"/>
        <v>0</v>
      </c>
      <c r="CJ88" s="66">
        <f t="shared" si="1506"/>
        <v>0</v>
      </c>
      <c r="CN88" s="68">
        <f t="shared" ref="CN88:DV88" si="1507">SUM(CN81:CN87)</f>
        <v>0</v>
      </c>
      <c r="CO88" s="65">
        <f t="shared" si="1507"/>
        <v>0</v>
      </c>
      <c r="CP88" s="65">
        <f t="shared" si="1507"/>
        <v>0</v>
      </c>
      <c r="CQ88" s="65">
        <f t="shared" si="1507"/>
        <v>0</v>
      </c>
      <c r="CR88" s="65">
        <f t="shared" si="1507"/>
        <v>0</v>
      </c>
      <c r="CS88" s="65">
        <f t="shared" si="1507"/>
        <v>0</v>
      </c>
      <c r="CT88" s="65">
        <f t="shared" si="1507"/>
        <v>0</v>
      </c>
      <c r="CU88" s="66">
        <f t="shared" si="1507"/>
        <v>0</v>
      </c>
      <c r="CV88" s="68">
        <f t="shared" si="1507"/>
        <v>0</v>
      </c>
      <c r="CW88" s="65">
        <f t="shared" si="1507"/>
        <v>0</v>
      </c>
      <c r="CX88" s="65">
        <f t="shared" si="1507"/>
        <v>0</v>
      </c>
      <c r="CY88" s="66">
        <f t="shared" si="1507"/>
        <v>0</v>
      </c>
      <c r="CZ88" s="68">
        <f t="shared" si="1507"/>
        <v>0</v>
      </c>
      <c r="DA88" s="65">
        <f t="shared" si="1507"/>
        <v>0</v>
      </c>
      <c r="DB88" s="65">
        <f t="shared" si="1507"/>
        <v>0</v>
      </c>
      <c r="DC88" s="65">
        <f t="shared" si="1507"/>
        <v>0</v>
      </c>
      <c r="DD88" s="65">
        <f t="shared" si="1507"/>
        <v>0</v>
      </c>
      <c r="DE88" s="66">
        <f t="shared" si="1507"/>
        <v>0</v>
      </c>
      <c r="DF88" s="68">
        <f t="shared" si="1507"/>
        <v>0</v>
      </c>
      <c r="DG88" s="65">
        <f t="shared" si="1507"/>
        <v>0</v>
      </c>
      <c r="DH88" s="65">
        <f t="shared" si="1507"/>
        <v>0</v>
      </c>
      <c r="DI88" s="65">
        <f t="shared" si="1507"/>
        <v>0</v>
      </c>
      <c r="DJ88" s="66">
        <f t="shared" si="1507"/>
        <v>0</v>
      </c>
      <c r="DK88" s="68">
        <f t="shared" si="1507"/>
        <v>0</v>
      </c>
      <c r="DL88" s="65">
        <f t="shared" si="1507"/>
        <v>0</v>
      </c>
      <c r="DM88" s="65">
        <f t="shared" si="1507"/>
        <v>0</v>
      </c>
      <c r="DN88" s="65">
        <f t="shared" si="1507"/>
        <v>0</v>
      </c>
      <c r="DO88" s="65">
        <f t="shared" si="1507"/>
        <v>0</v>
      </c>
      <c r="DP88" s="65">
        <f t="shared" si="1507"/>
        <v>0</v>
      </c>
      <c r="DQ88" s="65">
        <f t="shared" si="1507"/>
        <v>0</v>
      </c>
      <c r="DR88" s="65">
        <f t="shared" si="1507"/>
        <v>0</v>
      </c>
      <c r="DS88" s="65">
        <f t="shared" si="1507"/>
        <v>0</v>
      </c>
      <c r="DT88" s="65">
        <f t="shared" si="1507"/>
        <v>0</v>
      </c>
      <c r="DU88" s="65">
        <f t="shared" si="1507"/>
        <v>0</v>
      </c>
      <c r="DV88" s="66">
        <f t="shared" si="1507"/>
        <v>0</v>
      </c>
      <c r="DX88" s="143">
        <f t="shared" ref="DX88:FF88" si="1508">AVERAGE(DX81:DX87)</f>
        <v>0</v>
      </c>
      <c r="DY88" s="144">
        <f t="shared" si="1508"/>
        <v>0</v>
      </c>
      <c r="DZ88" s="144">
        <f t="shared" si="1508"/>
        <v>0</v>
      </c>
      <c r="EA88" s="144">
        <f t="shared" si="1508"/>
        <v>0</v>
      </c>
      <c r="EB88" s="144">
        <f t="shared" si="1508"/>
        <v>0</v>
      </c>
      <c r="EC88" s="144">
        <f t="shared" si="1508"/>
        <v>0</v>
      </c>
      <c r="ED88" s="144">
        <f t="shared" si="1508"/>
        <v>0</v>
      </c>
      <c r="EE88" s="145">
        <f t="shared" si="1508"/>
        <v>0</v>
      </c>
      <c r="EF88" s="143">
        <f t="shared" si="1508"/>
        <v>0</v>
      </c>
      <c r="EG88" s="144">
        <f t="shared" si="1508"/>
        <v>0</v>
      </c>
      <c r="EH88" s="144">
        <f t="shared" si="1508"/>
        <v>0</v>
      </c>
      <c r="EI88" s="145">
        <f t="shared" si="1508"/>
        <v>0</v>
      </c>
      <c r="EJ88" s="143">
        <f t="shared" si="1508"/>
        <v>0</v>
      </c>
      <c r="EK88" s="144">
        <f t="shared" si="1508"/>
        <v>0</v>
      </c>
      <c r="EL88" s="144">
        <f t="shared" si="1508"/>
        <v>0</v>
      </c>
      <c r="EM88" s="144">
        <f t="shared" si="1508"/>
        <v>0</v>
      </c>
      <c r="EN88" s="144">
        <f t="shared" si="1508"/>
        <v>0</v>
      </c>
      <c r="EO88" s="144">
        <f t="shared" si="1508"/>
        <v>0</v>
      </c>
      <c r="EP88" s="143">
        <f t="shared" si="1508"/>
        <v>0</v>
      </c>
      <c r="EQ88" s="144">
        <f t="shared" si="1508"/>
        <v>0</v>
      </c>
      <c r="ER88" s="144">
        <f t="shared" si="1508"/>
        <v>0</v>
      </c>
      <c r="ES88" s="144">
        <f t="shared" si="1508"/>
        <v>0</v>
      </c>
      <c r="ET88" s="145">
        <f t="shared" si="1508"/>
        <v>0</v>
      </c>
      <c r="EU88" s="143">
        <f t="shared" si="1508"/>
        <v>0</v>
      </c>
      <c r="EV88" s="144">
        <f t="shared" si="1508"/>
        <v>0</v>
      </c>
      <c r="EW88" s="144">
        <f t="shared" si="1508"/>
        <v>0</v>
      </c>
      <c r="EX88" s="144">
        <f t="shared" si="1508"/>
        <v>0</v>
      </c>
      <c r="EY88" s="144">
        <f t="shared" si="1508"/>
        <v>0</v>
      </c>
      <c r="EZ88" s="144">
        <f t="shared" si="1508"/>
        <v>0</v>
      </c>
      <c r="FA88" s="144">
        <f t="shared" si="1508"/>
        <v>0</v>
      </c>
      <c r="FB88" s="144">
        <f t="shared" si="1508"/>
        <v>0</v>
      </c>
      <c r="FC88" s="144">
        <f t="shared" si="1508"/>
        <v>0</v>
      </c>
      <c r="FD88" s="144">
        <f t="shared" si="1508"/>
        <v>0</v>
      </c>
      <c r="FE88" s="144">
        <f t="shared" si="1508"/>
        <v>0</v>
      </c>
      <c r="FF88" s="145">
        <f t="shared" si="1508"/>
        <v>0</v>
      </c>
    </row>
    <row r="89" spans="2:162" ht="16.5" thickBot="1" x14ac:dyDescent="0.3">
      <c r="L89" s="253"/>
    </row>
    <row r="90" spans="2:162" x14ac:dyDescent="0.25">
      <c r="B90" s="176">
        <f>B81+7</f>
        <v>45565</v>
      </c>
      <c r="C90" s="265"/>
      <c r="D90" s="103"/>
      <c r="E90" s="156"/>
      <c r="F90" s="25"/>
      <c r="G90" s="25"/>
      <c r="H90" s="179"/>
      <c r="I90" s="180"/>
      <c r="J90" s="181"/>
      <c r="K90" s="181"/>
      <c r="L90" s="182"/>
      <c r="M90" s="182"/>
      <c r="N90" s="183"/>
      <c r="O90" s="25"/>
      <c r="P90" s="157"/>
      <c r="Q90" s="158"/>
      <c r="R90" s="158"/>
      <c r="S90" s="158"/>
      <c r="T90" s="158"/>
      <c r="U90" s="158"/>
      <c r="V90" s="158"/>
      <c r="W90" s="159"/>
      <c r="X90" s="157"/>
      <c r="Y90" s="158"/>
      <c r="Z90" s="158"/>
      <c r="AA90" s="159"/>
      <c r="AB90" s="157"/>
      <c r="AC90" s="158"/>
      <c r="AD90" s="158"/>
      <c r="AE90" s="158"/>
      <c r="AF90" s="158"/>
      <c r="AG90" s="159"/>
      <c r="AH90" s="157"/>
      <c r="AI90" s="158"/>
      <c r="AJ90" s="158"/>
      <c r="AK90" s="158"/>
      <c r="AL90" s="159"/>
      <c r="AM90" s="157"/>
      <c r="AN90" s="158"/>
      <c r="AO90" s="158"/>
      <c r="AP90" s="158"/>
      <c r="AQ90" s="158"/>
      <c r="AR90" s="158"/>
      <c r="AS90" s="158"/>
      <c r="AT90" s="158"/>
      <c r="AU90" s="158"/>
      <c r="AV90" s="158"/>
      <c r="AW90" s="158"/>
      <c r="AX90" s="158"/>
      <c r="AY90" s="158"/>
      <c r="AZ90" s="159"/>
      <c r="BB90" s="157"/>
      <c r="BC90" s="158"/>
      <c r="BD90" s="158"/>
      <c r="BE90" s="158"/>
      <c r="BF90" s="158"/>
      <c r="BG90" s="158"/>
      <c r="BH90" s="158"/>
      <c r="BI90" s="159"/>
      <c r="BJ90" s="157"/>
      <c r="BK90" s="158"/>
      <c r="BL90" s="158"/>
      <c r="BM90" s="159"/>
      <c r="BN90" s="157"/>
      <c r="BO90" s="158"/>
      <c r="BP90" s="158"/>
      <c r="BQ90" s="158"/>
      <c r="BR90" s="158"/>
      <c r="BS90" s="159"/>
      <c r="BT90" s="157"/>
      <c r="BU90" s="158"/>
      <c r="BV90" s="158"/>
      <c r="BW90" s="158"/>
      <c r="BX90" s="159"/>
      <c r="BY90" s="157"/>
      <c r="BZ90" s="158"/>
      <c r="CA90" s="158"/>
      <c r="CB90" s="158"/>
      <c r="CC90" s="158"/>
      <c r="CD90" s="158"/>
      <c r="CE90" s="158"/>
      <c r="CF90" s="158"/>
      <c r="CG90" s="158"/>
      <c r="CH90" s="158"/>
      <c r="CI90" s="158"/>
      <c r="CJ90" s="159"/>
      <c r="CL90" s="36">
        <v>5</v>
      </c>
      <c r="CN90" s="157">
        <f>AVERAGE(BB90:BB94)*$CL90</f>
        <v>0</v>
      </c>
      <c r="CO90" s="158">
        <f t="shared" ref="CO90" si="1509">AVERAGE(BC90:BC94)*$CL90</f>
        <v>0</v>
      </c>
      <c r="CP90" s="158">
        <f t="shared" ref="CP90" si="1510">AVERAGE(BD90:BD94)*$CL90</f>
        <v>0</v>
      </c>
      <c r="CQ90" s="158">
        <f t="shared" ref="CQ90" si="1511">AVERAGE(BE90:BE94)*$CL90</f>
        <v>0</v>
      </c>
      <c r="CR90" s="158">
        <f t="shared" ref="CR90" si="1512">AVERAGE(BF90:BF94)*$CL90</f>
        <v>0</v>
      </c>
      <c r="CS90" s="158">
        <f t="shared" ref="CS90" si="1513">AVERAGE(BG90:BG94)*$CL90</f>
        <v>0</v>
      </c>
      <c r="CT90" s="158">
        <f t="shared" ref="CT90" si="1514">AVERAGE(BH90:BH94)*$CL90</f>
        <v>0</v>
      </c>
      <c r="CU90" s="159">
        <f t="shared" ref="CU90" si="1515">AVERAGE(BI90:BI94)*$CL90</f>
        <v>0</v>
      </c>
      <c r="CV90" s="157">
        <f t="shared" ref="CV90" si="1516">AVERAGE(BJ90:BJ94)*$CL90</f>
        <v>0</v>
      </c>
      <c r="CW90" s="158">
        <f t="shared" ref="CW90" si="1517">AVERAGE(BK90:BK94)*$CL90</f>
        <v>0</v>
      </c>
      <c r="CX90" s="158">
        <f t="shared" ref="CX90" si="1518">AVERAGE(BL90:BL94)*$CL90</f>
        <v>0</v>
      </c>
      <c r="CY90" s="159">
        <f t="shared" ref="CY90" si="1519">AVERAGE(BM90:BM94)*$CL90</f>
        <v>0</v>
      </c>
      <c r="CZ90" s="157">
        <f t="shared" ref="CZ90" si="1520">AVERAGE(BN90:BN94)*$CL90</f>
        <v>0</v>
      </c>
      <c r="DA90" s="158">
        <f t="shared" ref="DA90" si="1521">AVERAGE(BO90:BO94)*$CL90</f>
        <v>0</v>
      </c>
      <c r="DB90" s="158">
        <f t="shared" ref="DB90" si="1522">AVERAGE(BP90:BP94)*$CL90</f>
        <v>0</v>
      </c>
      <c r="DC90" s="158">
        <f t="shared" ref="DC90" si="1523">AVERAGE(BQ90:BQ94)*$CL90</f>
        <v>0</v>
      </c>
      <c r="DD90" s="158">
        <f t="shared" ref="DD90" si="1524">AVERAGE(BR90:BR94)*$CL90</f>
        <v>0</v>
      </c>
      <c r="DE90" s="159">
        <f t="shared" ref="DE90" si="1525">AVERAGE(BS90:BS94)*$CL90</f>
        <v>0</v>
      </c>
      <c r="DF90" s="157">
        <f t="shared" ref="DF90" si="1526">AVERAGE(BT90:BT94)*$CL90</f>
        <v>0</v>
      </c>
      <c r="DG90" s="158">
        <f t="shared" ref="DG90" si="1527">AVERAGE(BU90:BU94)*$CL90</f>
        <v>0</v>
      </c>
      <c r="DH90" s="158">
        <f t="shared" ref="DH90" si="1528">AVERAGE(BV90:BV94)*$CL90</f>
        <v>0</v>
      </c>
      <c r="DI90" s="158">
        <f t="shared" ref="DI90" si="1529">AVERAGE(BW90:BW94)*$CL90</f>
        <v>0</v>
      </c>
      <c r="DJ90" s="159">
        <f t="shared" ref="DJ90" si="1530">AVERAGE(BX90:BX94)*$CL90</f>
        <v>0</v>
      </c>
      <c r="DK90" s="157">
        <f t="shared" ref="DK90" si="1531">AVERAGE(BY90:BY94)*$CL90</f>
        <v>0</v>
      </c>
      <c r="DL90" s="158">
        <f t="shared" ref="DL90" si="1532">AVERAGE(BZ90:BZ94)*$CL90</f>
        <v>0</v>
      </c>
      <c r="DM90" s="158">
        <f t="shared" ref="DM90" si="1533">AVERAGE(CA90:CA94)*$CL90</f>
        <v>0</v>
      </c>
      <c r="DN90" s="158">
        <f t="shared" ref="DN90" si="1534">AVERAGE(CB90:CB94)*$CL90</f>
        <v>0</v>
      </c>
      <c r="DO90" s="158">
        <f t="shared" ref="DO90" si="1535">AVERAGE(CC90:CC94)*$CL90</f>
        <v>0</v>
      </c>
      <c r="DP90" s="158">
        <f t="shared" ref="DP90" si="1536">AVERAGE(CD90:CD94)*$CL90</f>
        <v>0</v>
      </c>
      <c r="DQ90" s="158">
        <f t="shared" ref="DQ90" si="1537">AVERAGE(CE90:CE94)*$CL90</f>
        <v>0</v>
      </c>
      <c r="DR90" s="158">
        <f t="shared" ref="DR90" si="1538">AVERAGE(CF90:CF94)*$CL90</f>
        <v>0</v>
      </c>
      <c r="DS90" s="158">
        <f t="shared" ref="DS90" si="1539">AVERAGE(CG90:CG94)*$CL90</f>
        <v>0</v>
      </c>
      <c r="DT90" s="158">
        <f t="shared" ref="DT90" si="1540">AVERAGE(CH90:CH94)*$CL90</f>
        <v>0</v>
      </c>
      <c r="DU90" s="158">
        <f t="shared" ref="DU90" si="1541">AVERAGE(CI90:CI94)*$CL90</f>
        <v>0</v>
      </c>
      <c r="DV90" s="159">
        <f t="shared" ref="DV90" si="1542">AVERAGE(CJ90:CJ94)*$CL90</f>
        <v>0</v>
      </c>
      <c r="DX90" s="186"/>
      <c r="DY90" s="187"/>
      <c r="DZ90" s="187"/>
      <c r="EA90" s="187"/>
      <c r="EB90" s="187"/>
      <c r="EC90" s="187"/>
      <c r="ED90" s="187"/>
      <c r="EE90" s="188"/>
      <c r="EF90" s="186"/>
      <c r="EG90" s="187"/>
      <c r="EH90" s="187"/>
      <c r="EI90" s="188"/>
      <c r="EJ90" s="186"/>
      <c r="EK90" s="187"/>
      <c r="EL90" s="187"/>
      <c r="EM90" s="187"/>
      <c r="EN90" s="187"/>
      <c r="EO90" s="188"/>
      <c r="EP90" s="186"/>
      <c r="EQ90" s="187"/>
      <c r="ER90" s="187"/>
      <c r="ES90" s="187"/>
      <c r="ET90" s="188"/>
      <c r="EU90" s="186"/>
      <c r="EV90" s="187"/>
      <c r="EW90" s="187"/>
      <c r="EX90" s="187"/>
      <c r="EY90" s="187"/>
      <c r="EZ90" s="187"/>
      <c r="FA90" s="187"/>
      <c r="FB90" s="187"/>
      <c r="FC90" s="187"/>
      <c r="FD90" s="187"/>
      <c r="FE90" s="187"/>
      <c r="FF90" s="188"/>
    </row>
    <row r="91" spans="2:162" x14ac:dyDescent="0.25">
      <c r="B91" s="127">
        <f t="shared" ref="B91:B96" si="1543">B90+1</f>
        <v>45566</v>
      </c>
      <c r="C91" s="266"/>
      <c r="D91" s="53"/>
      <c r="E91" s="129"/>
      <c r="F91" s="25"/>
      <c r="G91" s="25"/>
      <c r="H91" s="150"/>
      <c r="I91" s="24"/>
      <c r="J91" s="151"/>
      <c r="K91" s="151"/>
      <c r="L91" s="152"/>
      <c r="M91" s="152"/>
      <c r="N91" s="153"/>
      <c r="O91" s="25"/>
      <c r="P91" s="95"/>
      <c r="Q91" s="41"/>
      <c r="R91" s="41"/>
      <c r="S91" s="41"/>
      <c r="T91" s="41"/>
      <c r="U91" s="41"/>
      <c r="V91" s="41"/>
      <c r="W91" s="42"/>
      <c r="X91" s="95"/>
      <c r="Y91" s="41"/>
      <c r="Z91" s="41"/>
      <c r="AA91" s="42"/>
      <c r="AB91" s="95"/>
      <c r="AC91" s="41"/>
      <c r="AD91" s="41"/>
      <c r="AE91" s="41"/>
      <c r="AF91" s="41"/>
      <c r="AG91" s="42"/>
      <c r="AH91" s="95"/>
      <c r="AI91" s="41"/>
      <c r="AJ91" s="41"/>
      <c r="AK91" s="41"/>
      <c r="AL91" s="42"/>
      <c r="AM91" s="95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2"/>
      <c r="BB91" s="95"/>
      <c r="BC91" s="41"/>
      <c r="BD91" s="41"/>
      <c r="BE91" s="41"/>
      <c r="BF91" s="41"/>
      <c r="BG91" s="41"/>
      <c r="BH91" s="41"/>
      <c r="BI91" s="42"/>
      <c r="BJ91" s="95"/>
      <c r="BK91" s="41"/>
      <c r="BL91" s="41"/>
      <c r="BM91" s="42"/>
      <c r="BN91" s="95"/>
      <c r="BO91" s="41"/>
      <c r="BP91" s="41"/>
      <c r="BQ91" s="41"/>
      <c r="BR91" s="41"/>
      <c r="BS91" s="42"/>
      <c r="BT91" s="95"/>
      <c r="BU91" s="41"/>
      <c r="BV91" s="41"/>
      <c r="BW91" s="41"/>
      <c r="BX91" s="42"/>
      <c r="BY91" s="95"/>
      <c r="BZ91" s="41"/>
      <c r="CA91" s="41"/>
      <c r="CB91" s="41"/>
      <c r="CC91" s="41"/>
      <c r="CD91" s="41"/>
      <c r="CE91" s="41"/>
      <c r="CF91" s="41"/>
      <c r="CG91" s="41"/>
      <c r="CH91" s="41"/>
      <c r="CI91" s="41"/>
      <c r="CJ91" s="42"/>
      <c r="CL91" s="36"/>
      <c r="CN91" s="95"/>
      <c r="CO91" s="41"/>
      <c r="CP91" s="41"/>
      <c r="CQ91" s="41"/>
      <c r="CR91" s="41"/>
      <c r="CS91" s="41"/>
      <c r="CT91" s="41"/>
      <c r="CU91" s="42"/>
      <c r="CV91" s="95"/>
      <c r="CW91" s="41"/>
      <c r="CX91" s="41"/>
      <c r="CY91" s="42"/>
      <c r="CZ91" s="95"/>
      <c r="DA91" s="41"/>
      <c r="DB91" s="41"/>
      <c r="DC91" s="41"/>
      <c r="DD91" s="41"/>
      <c r="DE91" s="42"/>
      <c r="DF91" s="95"/>
      <c r="DG91" s="41"/>
      <c r="DH91" s="41"/>
      <c r="DI91" s="41"/>
      <c r="DJ91" s="42"/>
      <c r="DK91" s="95"/>
      <c r="DL91" s="41"/>
      <c r="DM91" s="41"/>
      <c r="DN91" s="41"/>
      <c r="DO91" s="41"/>
      <c r="DP91" s="41"/>
      <c r="DQ91" s="41"/>
      <c r="DR91" s="41"/>
      <c r="DS91" s="41"/>
      <c r="DT91" s="41"/>
      <c r="DU91" s="41"/>
      <c r="DV91" s="42"/>
      <c r="DX91" s="138"/>
      <c r="DY91" s="34"/>
      <c r="DZ91" s="34"/>
      <c r="EA91" s="34"/>
      <c r="EB91" s="34"/>
      <c r="EC91" s="34"/>
      <c r="ED91" s="34"/>
      <c r="EE91" s="139"/>
      <c r="EF91" s="138"/>
      <c r="EG91" s="34"/>
      <c r="EH91" s="34"/>
      <c r="EI91" s="139"/>
      <c r="EJ91" s="138"/>
      <c r="EK91" s="34"/>
      <c r="EL91" s="34"/>
      <c r="EM91" s="34"/>
      <c r="EN91" s="34"/>
      <c r="EO91" s="139"/>
      <c r="EP91" s="138"/>
      <c r="EQ91" s="34"/>
      <c r="ER91" s="34"/>
      <c r="ES91" s="34"/>
      <c r="ET91" s="139"/>
      <c r="EU91" s="138"/>
      <c r="EV91" s="34"/>
      <c r="EW91" s="34"/>
      <c r="EX91" s="34"/>
      <c r="EY91" s="34"/>
      <c r="EZ91" s="34"/>
      <c r="FA91" s="34"/>
      <c r="FB91" s="34"/>
      <c r="FC91" s="34"/>
      <c r="FD91" s="34"/>
      <c r="FE91" s="34"/>
      <c r="FF91" s="139"/>
    </row>
    <row r="92" spans="2:162" x14ac:dyDescent="0.25">
      <c r="B92" s="127">
        <f t="shared" si="1543"/>
        <v>45567</v>
      </c>
      <c r="C92" s="266"/>
      <c r="D92" s="53">
        <v>4</v>
      </c>
      <c r="E92" s="129">
        <v>6.14</v>
      </c>
      <c r="F92" s="25"/>
      <c r="G92" s="25"/>
      <c r="H92" s="150">
        <v>4</v>
      </c>
      <c r="I92" s="24">
        <v>2</v>
      </c>
      <c r="J92" s="151">
        <v>1</v>
      </c>
      <c r="K92" s="151"/>
      <c r="L92" s="152">
        <v>12.6</v>
      </c>
      <c r="M92" s="152">
        <f t="shared" ref="M92:M96" si="1544">H92/I92*K92*L92*1.5</f>
        <v>0</v>
      </c>
      <c r="N92" s="153">
        <f t="shared" ref="N92:N96" si="1545">H92/I92*J92*L92*N$4</f>
        <v>27.720000000000002</v>
      </c>
      <c r="O92" s="25"/>
      <c r="P92" s="95"/>
      <c r="Q92" s="41"/>
      <c r="R92" s="41"/>
      <c r="S92" s="41"/>
      <c r="T92" s="41"/>
      <c r="U92" s="41"/>
      <c r="V92" s="41"/>
      <c r="W92" s="42"/>
      <c r="X92" s="95"/>
      <c r="Y92" s="41"/>
      <c r="Z92" s="41"/>
      <c r="AA92" s="42"/>
      <c r="AB92" s="95"/>
      <c r="AC92" s="41"/>
      <c r="AD92" s="41"/>
      <c r="AE92" s="41"/>
      <c r="AF92" s="41"/>
      <c r="AG92" s="42"/>
      <c r="AH92" s="95"/>
      <c r="AI92" s="41"/>
      <c r="AJ92" s="41"/>
      <c r="AK92" s="41"/>
      <c r="AL92" s="42"/>
      <c r="AM92" s="95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2"/>
      <c r="BB92" s="95">
        <f t="shared" ref="BB92:BB96" si="1546">$N92*DX92</f>
        <v>0</v>
      </c>
      <c r="BC92" s="41">
        <f t="shared" ref="BC92:BC96" si="1547">$N92*DY92</f>
        <v>0</v>
      </c>
      <c r="BD92" s="41">
        <f t="shared" ref="BD92:BD96" si="1548">$N92*DZ92</f>
        <v>0</v>
      </c>
      <c r="BE92" s="41">
        <f t="shared" ref="BE92:BE96" si="1549">$N92*EA92</f>
        <v>0</v>
      </c>
      <c r="BF92" s="41">
        <f t="shared" ref="BF92:BF96" si="1550">$N92*EB92</f>
        <v>0</v>
      </c>
      <c r="BG92" s="41">
        <f t="shared" ref="BG92:BG96" si="1551">$N92*EC92</f>
        <v>0</v>
      </c>
      <c r="BH92" s="41">
        <f t="shared" ref="BH92:BH96" si="1552">$N92*ED92</f>
        <v>0</v>
      </c>
      <c r="BI92" s="42">
        <f t="shared" ref="BI92:BI96" si="1553">$N92*EE92</f>
        <v>0</v>
      </c>
      <c r="BJ92" s="95">
        <f t="shared" ref="BJ92:BJ96" si="1554">$N92*EF92</f>
        <v>0</v>
      </c>
      <c r="BK92" s="41">
        <f t="shared" ref="BK92:BK96" si="1555">$N92*EG92</f>
        <v>0</v>
      </c>
      <c r="BL92" s="41">
        <f t="shared" ref="BL92:BL96" si="1556">$N92*EH92</f>
        <v>0</v>
      </c>
      <c r="BM92" s="42">
        <f t="shared" ref="BM92:BM96" si="1557">$N92*EI92</f>
        <v>0</v>
      </c>
      <c r="BN92" s="95">
        <f t="shared" ref="BN92:BN96" si="1558">$N92*EJ92</f>
        <v>0</v>
      </c>
      <c r="BO92" s="41">
        <f t="shared" ref="BO92:BO96" si="1559">$N92*EK92</f>
        <v>0</v>
      </c>
      <c r="BP92" s="41">
        <f t="shared" ref="BP92:BP96" si="1560">$N92*EL92</f>
        <v>0</v>
      </c>
      <c r="BQ92" s="41">
        <f t="shared" ref="BQ92:BQ96" si="1561">$N92*EM92</f>
        <v>0</v>
      </c>
      <c r="BR92" s="41">
        <f t="shared" ref="BR92:BR96" si="1562">$N92*EN92</f>
        <v>0</v>
      </c>
      <c r="BS92" s="42">
        <f t="shared" ref="BS92:BS96" si="1563">$N92*EO92</f>
        <v>0</v>
      </c>
      <c r="BT92" s="95">
        <f t="shared" ref="BT92:BT96" si="1564">$N92*EP92</f>
        <v>0</v>
      </c>
      <c r="BU92" s="41">
        <f t="shared" ref="BU92:BU96" si="1565">$N92*EQ92</f>
        <v>0</v>
      </c>
      <c r="BV92" s="41">
        <f t="shared" ref="BV92:BV96" si="1566">$N92*ER92</f>
        <v>0</v>
      </c>
      <c r="BW92" s="41">
        <f t="shared" ref="BW92:BW96" si="1567">$N92*ES92</f>
        <v>0</v>
      </c>
      <c r="BX92" s="42">
        <f t="shared" ref="BX92:BX96" si="1568">$N92*ET92</f>
        <v>0</v>
      </c>
      <c r="BY92" s="95">
        <f t="shared" ref="BY92:BY96" si="1569">$N92*EU92</f>
        <v>0</v>
      </c>
      <c r="BZ92" s="41">
        <f t="shared" ref="BZ92:BZ96" si="1570">$N92*EV92</f>
        <v>0</v>
      </c>
      <c r="CA92" s="41">
        <f t="shared" ref="CA92:CA96" si="1571">$N92*EW92</f>
        <v>0</v>
      </c>
      <c r="CB92" s="41">
        <f t="shared" ref="CB92:CB96" si="1572">$N92*EX92</f>
        <v>0</v>
      </c>
      <c r="CC92" s="41">
        <f t="shared" ref="CC92:CC96" si="1573">$N92*EY92</f>
        <v>0</v>
      </c>
      <c r="CD92" s="41">
        <f t="shared" ref="CD92:CD96" si="1574">$N92*EZ92</f>
        <v>0</v>
      </c>
      <c r="CE92" s="41">
        <f t="shared" ref="CE92:CE96" si="1575">$N92*FA92</f>
        <v>0</v>
      </c>
      <c r="CF92" s="41">
        <f t="shared" ref="CF92:CF96" si="1576">$N92*FB92</f>
        <v>0</v>
      </c>
      <c r="CG92" s="41">
        <f t="shared" ref="CG92:CG96" si="1577">$N92*FC92</f>
        <v>0</v>
      </c>
      <c r="CH92" s="41">
        <f t="shared" ref="CH92:CH96" si="1578">$N92*FD92</f>
        <v>0</v>
      </c>
      <c r="CI92" s="41">
        <f t="shared" ref="CI92:CI96" si="1579">$N92*FE92</f>
        <v>0</v>
      </c>
      <c r="CJ92" s="42">
        <f t="shared" ref="CJ92:CJ96" si="1580">$N92*FF92</f>
        <v>0</v>
      </c>
      <c r="CL92" s="36"/>
      <c r="CN92" s="95"/>
      <c r="CO92" s="41"/>
      <c r="CP92" s="41"/>
      <c r="CQ92" s="41"/>
      <c r="CR92" s="41"/>
      <c r="CS92" s="41"/>
      <c r="CT92" s="41"/>
      <c r="CU92" s="42"/>
      <c r="CV92" s="95"/>
      <c r="CW92" s="41"/>
      <c r="CX92" s="41"/>
      <c r="CY92" s="42"/>
      <c r="CZ92" s="95"/>
      <c r="DA92" s="41"/>
      <c r="DB92" s="41"/>
      <c r="DC92" s="41"/>
      <c r="DD92" s="41"/>
      <c r="DE92" s="42"/>
      <c r="DF92" s="95"/>
      <c r="DG92" s="41"/>
      <c r="DH92" s="41"/>
      <c r="DI92" s="41"/>
      <c r="DJ92" s="42"/>
      <c r="DK92" s="95"/>
      <c r="DL92" s="41"/>
      <c r="DM92" s="41"/>
      <c r="DN92" s="41"/>
      <c r="DO92" s="41"/>
      <c r="DP92" s="41"/>
      <c r="DQ92" s="41"/>
      <c r="DR92" s="41"/>
      <c r="DS92" s="41"/>
      <c r="DT92" s="41"/>
      <c r="DU92" s="41"/>
      <c r="DV92" s="42"/>
      <c r="DX92" s="138">
        <f t="shared" ref="DX92:DX96" si="1581">P92/$E92</f>
        <v>0</v>
      </c>
      <c r="DY92" s="34">
        <f t="shared" ref="DY92:DY96" si="1582">Q92/$E92</f>
        <v>0</v>
      </c>
      <c r="DZ92" s="34">
        <f t="shared" ref="DZ92:DZ96" si="1583">R92/$E92</f>
        <v>0</v>
      </c>
      <c r="EA92" s="34">
        <f t="shared" ref="EA92:EA96" si="1584">S92/$E92</f>
        <v>0</v>
      </c>
      <c r="EB92" s="34">
        <f t="shared" ref="EB92:EB96" si="1585">T92/$E92</f>
        <v>0</v>
      </c>
      <c r="EC92" s="34">
        <f t="shared" ref="EC92:EC96" si="1586">U92/$E92</f>
        <v>0</v>
      </c>
      <c r="ED92" s="34">
        <f t="shared" ref="ED92:ED96" si="1587">V92/$E92</f>
        <v>0</v>
      </c>
      <c r="EE92" s="139">
        <f t="shared" ref="EE92:EE96" si="1588">W92/$E92</f>
        <v>0</v>
      </c>
      <c r="EF92" s="138">
        <f t="shared" ref="EF92:EF96" si="1589">X92/$E92</f>
        <v>0</v>
      </c>
      <c r="EG92" s="34">
        <f t="shared" ref="EG92:EG96" si="1590">Y92/$E92</f>
        <v>0</v>
      </c>
      <c r="EH92" s="34">
        <f t="shared" ref="EH92:EH96" si="1591">Z92/$E92</f>
        <v>0</v>
      </c>
      <c r="EI92" s="139">
        <f t="shared" ref="EI92:EI96" si="1592">AA92/$E92</f>
        <v>0</v>
      </c>
      <c r="EJ92" s="138">
        <f t="shared" ref="EJ92:EJ96" si="1593">AB92/$E92</f>
        <v>0</v>
      </c>
      <c r="EK92" s="34">
        <f t="shared" ref="EK92:EK96" si="1594">AC92/$E92</f>
        <v>0</v>
      </c>
      <c r="EL92" s="34">
        <f t="shared" ref="EL92:EL96" si="1595">AD92/$E92</f>
        <v>0</v>
      </c>
      <c r="EM92" s="34">
        <f t="shared" ref="EM92:EM96" si="1596">AE92/$E92</f>
        <v>0</v>
      </c>
      <c r="EN92" s="34">
        <f t="shared" ref="EN92:EN96" si="1597">AF92/$E92</f>
        <v>0</v>
      </c>
      <c r="EO92" s="139">
        <f t="shared" ref="EO92:EO96" si="1598">AG92/$E92</f>
        <v>0</v>
      </c>
      <c r="EP92" s="138">
        <f t="shared" ref="EP92:EP96" si="1599">AH92/$E92</f>
        <v>0</v>
      </c>
      <c r="EQ92" s="34">
        <f t="shared" ref="EQ92:EQ96" si="1600">AI92/$E92</f>
        <v>0</v>
      </c>
      <c r="ER92" s="34">
        <f t="shared" ref="ER92:ER96" si="1601">AJ92/$E92</f>
        <v>0</v>
      </c>
      <c r="ES92" s="34">
        <f t="shared" ref="ES92:ES96" si="1602">AK92/$E92</f>
        <v>0</v>
      </c>
      <c r="ET92" s="139">
        <f t="shared" ref="ET92:ET96" si="1603">AL92/$E92</f>
        <v>0</v>
      </c>
      <c r="EU92" s="138">
        <f t="shared" ref="EU92:EU96" si="1604">AM92/$E92</f>
        <v>0</v>
      </c>
      <c r="EV92" s="34">
        <f t="shared" ref="EV92:EV96" si="1605">AN92/$E92</f>
        <v>0</v>
      </c>
      <c r="EW92" s="34">
        <f t="shared" ref="EW92:EW96" si="1606">AO92/$E92</f>
        <v>0</v>
      </c>
      <c r="EX92" s="34">
        <f t="shared" ref="EX92:EX96" si="1607">AP92/$E92</f>
        <v>0</v>
      </c>
      <c r="EY92" s="34">
        <f t="shared" ref="EY92:EY96" si="1608">AQ92/$E92</f>
        <v>0</v>
      </c>
      <c r="EZ92" s="34">
        <f t="shared" ref="EZ92:EZ96" si="1609">AR92/$E92</f>
        <v>0</v>
      </c>
      <c r="FA92" s="34">
        <f t="shared" ref="FA92:FA96" si="1610">AS92/$E92</f>
        <v>0</v>
      </c>
      <c r="FB92" s="34">
        <f t="shared" ref="FB92:FB96" si="1611">AT92/$E92</f>
        <v>0</v>
      </c>
      <c r="FC92" s="34">
        <f t="shared" ref="FC92:FC96" si="1612">AU92/$E92</f>
        <v>0</v>
      </c>
      <c r="FD92" s="34">
        <f t="shared" ref="FD92:FD96" si="1613">AV92/$E92</f>
        <v>0</v>
      </c>
      <c r="FE92" s="34">
        <f t="shared" ref="FE92:FE96" si="1614">AY92/$E92</f>
        <v>0</v>
      </c>
      <c r="FF92" s="139">
        <f t="shared" ref="FF92:FF96" si="1615">AZ92/$E92</f>
        <v>0</v>
      </c>
    </row>
    <row r="93" spans="2:162" x14ac:dyDescent="0.25">
      <c r="B93" s="127">
        <f t="shared" si="1543"/>
        <v>45568</v>
      </c>
      <c r="C93" s="266"/>
      <c r="D93" s="53"/>
      <c r="E93" s="129"/>
      <c r="F93" s="25"/>
      <c r="G93" s="25"/>
      <c r="H93" s="150"/>
      <c r="I93" s="24"/>
      <c r="J93" s="151"/>
      <c r="K93" s="151"/>
      <c r="L93" s="152"/>
      <c r="M93" s="152"/>
      <c r="N93" s="153"/>
      <c r="O93" s="25"/>
      <c r="P93" s="95"/>
      <c r="Q93" s="41"/>
      <c r="R93" s="41"/>
      <c r="S93" s="41"/>
      <c r="T93" s="41"/>
      <c r="U93" s="41"/>
      <c r="V93" s="41"/>
      <c r="W93" s="42"/>
      <c r="X93" s="95"/>
      <c r="Y93" s="41"/>
      <c r="Z93" s="41"/>
      <c r="AA93" s="42"/>
      <c r="AB93" s="95"/>
      <c r="AC93" s="41"/>
      <c r="AD93" s="41"/>
      <c r="AE93" s="41"/>
      <c r="AF93" s="41"/>
      <c r="AG93" s="42"/>
      <c r="AH93" s="95"/>
      <c r="AI93" s="41"/>
      <c r="AJ93" s="41"/>
      <c r="AK93" s="41"/>
      <c r="AL93" s="42"/>
      <c r="AM93" s="95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2"/>
      <c r="BB93" s="95"/>
      <c r="BC93" s="41"/>
      <c r="BD93" s="41"/>
      <c r="BE93" s="41"/>
      <c r="BF93" s="41"/>
      <c r="BG93" s="41"/>
      <c r="BH93" s="41"/>
      <c r="BI93" s="42"/>
      <c r="BJ93" s="95"/>
      <c r="BK93" s="41"/>
      <c r="BL93" s="41"/>
      <c r="BM93" s="42"/>
      <c r="BN93" s="95"/>
      <c r="BO93" s="41"/>
      <c r="BP93" s="41"/>
      <c r="BQ93" s="41"/>
      <c r="BR93" s="41"/>
      <c r="BS93" s="42"/>
      <c r="BT93" s="95"/>
      <c r="BU93" s="41"/>
      <c r="BV93" s="41"/>
      <c r="BW93" s="41"/>
      <c r="BX93" s="42"/>
      <c r="BY93" s="95"/>
      <c r="BZ93" s="41"/>
      <c r="CA93" s="41"/>
      <c r="CB93" s="41"/>
      <c r="CC93" s="41"/>
      <c r="CD93" s="41"/>
      <c r="CE93" s="41"/>
      <c r="CF93" s="41"/>
      <c r="CG93" s="41"/>
      <c r="CH93" s="41"/>
      <c r="CI93" s="41"/>
      <c r="CJ93" s="42"/>
      <c r="CL93" s="36"/>
      <c r="CN93" s="95"/>
      <c r="CO93" s="41"/>
      <c r="CP93" s="41"/>
      <c r="CQ93" s="41"/>
      <c r="CR93" s="41"/>
      <c r="CS93" s="41"/>
      <c r="CT93" s="41"/>
      <c r="CU93" s="42"/>
      <c r="CV93" s="95"/>
      <c r="CW93" s="41"/>
      <c r="CX93" s="41"/>
      <c r="CY93" s="42"/>
      <c r="CZ93" s="95"/>
      <c r="DA93" s="41"/>
      <c r="DB93" s="41"/>
      <c r="DC93" s="41"/>
      <c r="DD93" s="41"/>
      <c r="DE93" s="42"/>
      <c r="DF93" s="95"/>
      <c r="DG93" s="41"/>
      <c r="DH93" s="41"/>
      <c r="DI93" s="41"/>
      <c r="DJ93" s="42"/>
      <c r="DK93" s="95"/>
      <c r="DL93" s="41"/>
      <c r="DM93" s="41"/>
      <c r="DN93" s="41"/>
      <c r="DO93" s="41"/>
      <c r="DP93" s="41"/>
      <c r="DQ93" s="41"/>
      <c r="DR93" s="41"/>
      <c r="DS93" s="41"/>
      <c r="DT93" s="41"/>
      <c r="DU93" s="41"/>
      <c r="DV93" s="42"/>
      <c r="DX93" s="138"/>
      <c r="DY93" s="34"/>
      <c r="DZ93" s="34"/>
      <c r="EA93" s="34"/>
      <c r="EB93" s="34"/>
      <c r="EC93" s="34"/>
      <c r="ED93" s="34"/>
      <c r="EE93" s="139"/>
      <c r="EF93" s="138"/>
      <c r="EG93" s="34"/>
      <c r="EH93" s="34"/>
      <c r="EI93" s="139"/>
      <c r="EJ93" s="138"/>
      <c r="EK93" s="34"/>
      <c r="EL93" s="34"/>
      <c r="EM93" s="34"/>
      <c r="EN93" s="34"/>
      <c r="EO93" s="139"/>
      <c r="EP93" s="138"/>
      <c r="EQ93" s="34"/>
      <c r="ER93" s="34"/>
      <c r="ES93" s="34"/>
      <c r="ET93" s="139"/>
      <c r="EU93" s="138"/>
      <c r="EV93" s="34"/>
      <c r="EW93" s="34"/>
      <c r="EX93" s="34"/>
      <c r="EY93" s="34"/>
      <c r="EZ93" s="34"/>
      <c r="FA93" s="34"/>
      <c r="FB93" s="34"/>
      <c r="FC93" s="34"/>
      <c r="FD93" s="34"/>
      <c r="FE93" s="34"/>
      <c r="FF93" s="139"/>
    </row>
    <row r="94" spans="2:162" x14ac:dyDescent="0.25">
      <c r="B94" s="127">
        <f t="shared" si="1543"/>
        <v>45569</v>
      </c>
      <c r="C94" s="266"/>
      <c r="D94" s="53">
        <v>3</v>
      </c>
      <c r="E94" s="129">
        <v>11.08</v>
      </c>
      <c r="F94" s="25"/>
      <c r="G94" s="25"/>
      <c r="H94" s="150">
        <v>3</v>
      </c>
      <c r="I94" s="24">
        <v>2</v>
      </c>
      <c r="J94" s="151">
        <f>5/9</f>
        <v>0.55555555555555558</v>
      </c>
      <c r="K94" s="151"/>
      <c r="L94" s="152">
        <v>12.5</v>
      </c>
      <c r="M94" s="152">
        <f t="shared" si="1544"/>
        <v>0</v>
      </c>
      <c r="N94" s="153">
        <f t="shared" si="1545"/>
        <v>11.458333333333336</v>
      </c>
      <c r="O94" s="25"/>
      <c r="P94" s="95"/>
      <c r="Q94" s="41"/>
      <c r="R94" s="41"/>
      <c r="S94" s="41"/>
      <c r="T94" s="41"/>
      <c r="U94" s="41"/>
      <c r="V94" s="41"/>
      <c r="W94" s="42"/>
      <c r="X94" s="95"/>
      <c r="Y94" s="41"/>
      <c r="Z94" s="41"/>
      <c r="AA94" s="42"/>
      <c r="AB94" s="95"/>
      <c r="AC94" s="41"/>
      <c r="AD94" s="41"/>
      <c r="AE94" s="41"/>
      <c r="AF94" s="41"/>
      <c r="AG94" s="42"/>
      <c r="AH94" s="95"/>
      <c r="AI94" s="41"/>
      <c r="AJ94" s="41"/>
      <c r="AK94" s="41"/>
      <c r="AL94" s="42"/>
      <c r="AM94" s="95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2"/>
      <c r="BB94" s="95">
        <f t="shared" si="1546"/>
        <v>0</v>
      </c>
      <c r="BC94" s="41">
        <f t="shared" si="1547"/>
        <v>0</v>
      </c>
      <c r="BD94" s="41">
        <f t="shared" si="1548"/>
        <v>0</v>
      </c>
      <c r="BE94" s="41">
        <f t="shared" si="1549"/>
        <v>0</v>
      </c>
      <c r="BF94" s="41">
        <f t="shared" si="1550"/>
        <v>0</v>
      </c>
      <c r="BG94" s="41">
        <f t="shared" si="1551"/>
        <v>0</v>
      </c>
      <c r="BH94" s="41">
        <f t="shared" si="1552"/>
        <v>0</v>
      </c>
      <c r="BI94" s="42">
        <f t="shared" si="1553"/>
        <v>0</v>
      </c>
      <c r="BJ94" s="95">
        <f t="shared" si="1554"/>
        <v>0</v>
      </c>
      <c r="BK94" s="41">
        <f t="shared" si="1555"/>
        <v>0</v>
      </c>
      <c r="BL94" s="41">
        <f t="shared" si="1556"/>
        <v>0</v>
      </c>
      <c r="BM94" s="42">
        <f t="shared" si="1557"/>
        <v>0</v>
      </c>
      <c r="BN94" s="95">
        <f t="shared" si="1558"/>
        <v>0</v>
      </c>
      <c r="BO94" s="41">
        <f t="shared" si="1559"/>
        <v>0</v>
      </c>
      <c r="BP94" s="41">
        <f t="shared" si="1560"/>
        <v>0</v>
      </c>
      <c r="BQ94" s="41">
        <f t="shared" si="1561"/>
        <v>0</v>
      </c>
      <c r="BR94" s="41">
        <f t="shared" si="1562"/>
        <v>0</v>
      </c>
      <c r="BS94" s="42">
        <f t="shared" si="1563"/>
        <v>0</v>
      </c>
      <c r="BT94" s="95">
        <f t="shared" si="1564"/>
        <v>0</v>
      </c>
      <c r="BU94" s="41">
        <f t="shared" si="1565"/>
        <v>0</v>
      </c>
      <c r="BV94" s="41">
        <f t="shared" si="1566"/>
        <v>0</v>
      </c>
      <c r="BW94" s="41">
        <f t="shared" si="1567"/>
        <v>0</v>
      </c>
      <c r="BX94" s="42">
        <f t="shared" si="1568"/>
        <v>0</v>
      </c>
      <c r="BY94" s="95">
        <f t="shared" si="1569"/>
        <v>0</v>
      </c>
      <c r="BZ94" s="41">
        <f t="shared" si="1570"/>
        <v>0</v>
      </c>
      <c r="CA94" s="41">
        <f t="shared" si="1571"/>
        <v>0</v>
      </c>
      <c r="CB94" s="41">
        <f t="shared" si="1572"/>
        <v>0</v>
      </c>
      <c r="CC94" s="41">
        <f t="shared" si="1573"/>
        <v>0</v>
      </c>
      <c r="CD94" s="41">
        <f t="shared" si="1574"/>
        <v>0</v>
      </c>
      <c r="CE94" s="41">
        <f t="shared" si="1575"/>
        <v>0</v>
      </c>
      <c r="CF94" s="41">
        <f t="shared" si="1576"/>
        <v>0</v>
      </c>
      <c r="CG94" s="41">
        <f t="shared" si="1577"/>
        <v>0</v>
      </c>
      <c r="CH94" s="41">
        <f t="shared" si="1578"/>
        <v>0</v>
      </c>
      <c r="CI94" s="41">
        <f t="shared" si="1579"/>
        <v>0</v>
      </c>
      <c r="CJ94" s="42">
        <f t="shared" si="1580"/>
        <v>0</v>
      </c>
      <c r="CL94" s="36"/>
      <c r="CN94" s="95"/>
      <c r="CO94" s="41"/>
      <c r="CP94" s="41"/>
      <c r="CQ94" s="41"/>
      <c r="CR94" s="41"/>
      <c r="CS94" s="41"/>
      <c r="CT94" s="41"/>
      <c r="CU94" s="42"/>
      <c r="CV94" s="95"/>
      <c r="CW94" s="41"/>
      <c r="CX94" s="41"/>
      <c r="CY94" s="42"/>
      <c r="CZ94" s="95"/>
      <c r="DA94" s="41"/>
      <c r="DB94" s="41"/>
      <c r="DC94" s="41"/>
      <c r="DD94" s="41"/>
      <c r="DE94" s="42"/>
      <c r="DF94" s="95"/>
      <c r="DG94" s="41"/>
      <c r="DH94" s="41"/>
      <c r="DI94" s="41"/>
      <c r="DJ94" s="42"/>
      <c r="DK94" s="95"/>
      <c r="DL94" s="41"/>
      <c r="DM94" s="41"/>
      <c r="DN94" s="41"/>
      <c r="DO94" s="41"/>
      <c r="DP94" s="41"/>
      <c r="DQ94" s="41"/>
      <c r="DR94" s="41"/>
      <c r="DS94" s="41"/>
      <c r="DT94" s="41"/>
      <c r="DU94" s="41"/>
      <c r="DV94" s="42"/>
      <c r="DX94" s="138">
        <f t="shared" si="1581"/>
        <v>0</v>
      </c>
      <c r="DY94" s="34">
        <f t="shared" si="1582"/>
        <v>0</v>
      </c>
      <c r="DZ94" s="34">
        <f t="shared" si="1583"/>
        <v>0</v>
      </c>
      <c r="EA94" s="34">
        <f t="shared" si="1584"/>
        <v>0</v>
      </c>
      <c r="EB94" s="34">
        <f t="shared" si="1585"/>
        <v>0</v>
      </c>
      <c r="EC94" s="34">
        <f t="shared" si="1586"/>
        <v>0</v>
      </c>
      <c r="ED94" s="34">
        <f t="shared" si="1587"/>
        <v>0</v>
      </c>
      <c r="EE94" s="139">
        <f t="shared" si="1588"/>
        <v>0</v>
      </c>
      <c r="EF94" s="138">
        <f t="shared" si="1589"/>
        <v>0</v>
      </c>
      <c r="EG94" s="34">
        <f t="shared" si="1590"/>
        <v>0</v>
      </c>
      <c r="EH94" s="34">
        <f t="shared" si="1591"/>
        <v>0</v>
      </c>
      <c r="EI94" s="139">
        <f t="shared" si="1592"/>
        <v>0</v>
      </c>
      <c r="EJ94" s="138">
        <f t="shared" si="1593"/>
        <v>0</v>
      </c>
      <c r="EK94" s="34">
        <f t="shared" si="1594"/>
        <v>0</v>
      </c>
      <c r="EL94" s="34">
        <f t="shared" si="1595"/>
        <v>0</v>
      </c>
      <c r="EM94" s="34">
        <f t="shared" si="1596"/>
        <v>0</v>
      </c>
      <c r="EN94" s="34">
        <f t="shared" si="1597"/>
        <v>0</v>
      </c>
      <c r="EO94" s="139">
        <f t="shared" si="1598"/>
        <v>0</v>
      </c>
      <c r="EP94" s="138">
        <f t="shared" si="1599"/>
        <v>0</v>
      </c>
      <c r="EQ94" s="34">
        <f t="shared" si="1600"/>
        <v>0</v>
      </c>
      <c r="ER94" s="34">
        <f t="shared" si="1601"/>
        <v>0</v>
      </c>
      <c r="ES94" s="34">
        <f t="shared" si="1602"/>
        <v>0</v>
      </c>
      <c r="ET94" s="139">
        <f t="shared" si="1603"/>
        <v>0</v>
      </c>
      <c r="EU94" s="138">
        <f t="shared" si="1604"/>
        <v>0</v>
      </c>
      <c r="EV94" s="34">
        <f t="shared" si="1605"/>
        <v>0</v>
      </c>
      <c r="EW94" s="34">
        <f t="shared" si="1606"/>
        <v>0</v>
      </c>
      <c r="EX94" s="34">
        <f t="shared" si="1607"/>
        <v>0</v>
      </c>
      <c r="EY94" s="34">
        <f t="shared" si="1608"/>
        <v>0</v>
      </c>
      <c r="EZ94" s="34">
        <f t="shared" si="1609"/>
        <v>0</v>
      </c>
      <c r="FA94" s="34">
        <f t="shared" si="1610"/>
        <v>0</v>
      </c>
      <c r="FB94" s="34">
        <f t="shared" si="1611"/>
        <v>0</v>
      </c>
      <c r="FC94" s="34">
        <f t="shared" si="1612"/>
        <v>0</v>
      </c>
      <c r="FD94" s="34">
        <f t="shared" si="1613"/>
        <v>0</v>
      </c>
      <c r="FE94" s="34">
        <f t="shared" si="1614"/>
        <v>0</v>
      </c>
      <c r="FF94" s="139">
        <f t="shared" si="1615"/>
        <v>0</v>
      </c>
    </row>
    <row r="95" spans="2:162" x14ac:dyDescent="0.25">
      <c r="B95" s="127">
        <f t="shared" si="1543"/>
        <v>45570</v>
      </c>
      <c r="C95" s="266"/>
      <c r="D95" s="53">
        <v>3</v>
      </c>
      <c r="E95" s="129">
        <v>14.33</v>
      </c>
      <c r="F95" s="25"/>
      <c r="G95" s="25"/>
      <c r="H95" s="150">
        <v>3</v>
      </c>
      <c r="I95" s="24">
        <v>2</v>
      </c>
      <c r="J95" s="151">
        <v>1</v>
      </c>
      <c r="K95" s="151"/>
      <c r="L95" s="152">
        <v>12.4</v>
      </c>
      <c r="M95" s="152">
        <f t="shared" si="1544"/>
        <v>0</v>
      </c>
      <c r="N95" s="153">
        <f t="shared" si="1545"/>
        <v>20.460000000000004</v>
      </c>
      <c r="O95" s="25"/>
      <c r="P95" s="95"/>
      <c r="Q95" s="41"/>
      <c r="R95" s="41"/>
      <c r="S95" s="41"/>
      <c r="T95" s="41"/>
      <c r="U95" s="41"/>
      <c r="V95" s="41"/>
      <c r="W95" s="42"/>
      <c r="X95" s="95"/>
      <c r="Y95" s="41"/>
      <c r="Z95" s="41"/>
      <c r="AA95" s="42"/>
      <c r="AB95" s="95"/>
      <c r="AC95" s="41"/>
      <c r="AD95" s="41"/>
      <c r="AE95" s="41"/>
      <c r="AF95" s="41"/>
      <c r="AG95" s="42"/>
      <c r="AH95" s="95"/>
      <c r="AI95" s="41"/>
      <c r="AJ95" s="41"/>
      <c r="AK95" s="41"/>
      <c r="AL95" s="42"/>
      <c r="AM95" s="95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2"/>
      <c r="BB95" s="95">
        <f t="shared" si="1546"/>
        <v>0</v>
      </c>
      <c r="BC95" s="41">
        <f t="shared" si="1547"/>
        <v>0</v>
      </c>
      <c r="BD95" s="41">
        <f t="shared" si="1548"/>
        <v>0</v>
      </c>
      <c r="BE95" s="41">
        <f t="shared" si="1549"/>
        <v>0</v>
      </c>
      <c r="BF95" s="41">
        <f t="shared" si="1550"/>
        <v>0</v>
      </c>
      <c r="BG95" s="41">
        <f t="shared" si="1551"/>
        <v>0</v>
      </c>
      <c r="BH95" s="41">
        <f t="shared" si="1552"/>
        <v>0</v>
      </c>
      <c r="BI95" s="42">
        <f t="shared" si="1553"/>
        <v>0</v>
      </c>
      <c r="BJ95" s="95">
        <f t="shared" si="1554"/>
        <v>0</v>
      </c>
      <c r="BK95" s="41">
        <f t="shared" si="1555"/>
        <v>0</v>
      </c>
      <c r="BL95" s="41">
        <f t="shared" si="1556"/>
        <v>0</v>
      </c>
      <c r="BM95" s="42">
        <f t="shared" si="1557"/>
        <v>0</v>
      </c>
      <c r="BN95" s="95">
        <f t="shared" si="1558"/>
        <v>0</v>
      </c>
      <c r="BO95" s="41">
        <f t="shared" si="1559"/>
        <v>0</v>
      </c>
      <c r="BP95" s="41">
        <f t="shared" si="1560"/>
        <v>0</v>
      </c>
      <c r="BQ95" s="41">
        <f t="shared" si="1561"/>
        <v>0</v>
      </c>
      <c r="BR95" s="41">
        <f t="shared" si="1562"/>
        <v>0</v>
      </c>
      <c r="BS95" s="42">
        <f t="shared" si="1563"/>
        <v>0</v>
      </c>
      <c r="BT95" s="95">
        <f t="shared" si="1564"/>
        <v>0</v>
      </c>
      <c r="BU95" s="41">
        <f t="shared" si="1565"/>
        <v>0</v>
      </c>
      <c r="BV95" s="41">
        <f t="shared" si="1566"/>
        <v>0</v>
      </c>
      <c r="BW95" s="41">
        <f t="shared" si="1567"/>
        <v>0</v>
      </c>
      <c r="BX95" s="42">
        <f t="shared" si="1568"/>
        <v>0</v>
      </c>
      <c r="BY95" s="95">
        <f t="shared" si="1569"/>
        <v>0</v>
      </c>
      <c r="BZ95" s="41">
        <f t="shared" si="1570"/>
        <v>0</v>
      </c>
      <c r="CA95" s="41">
        <f t="shared" si="1571"/>
        <v>0</v>
      </c>
      <c r="CB95" s="41">
        <f t="shared" si="1572"/>
        <v>0</v>
      </c>
      <c r="CC95" s="41">
        <f t="shared" si="1573"/>
        <v>0</v>
      </c>
      <c r="CD95" s="41">
        <f t="shared" si="1574"/>
        <v>0</v>
      </c>
      <c r="CE95" s="41">
        <f t="shared" si="1575"/>
        <v>0</v>
      </c>
      <c r="CF95" s="41">
        <f t="shared" si="1576"/>
        <v>0</v>
      </c>
      <c r="CG95" s="41">
        <f t="shared" si="1577"/>
        <v>0</v>
      </c>
      <c r="CH95" s="41">
        <f t="shared" si="1578"/>
        <v>0</v>
      </c>
      <c r="CI95" s="41">
        <f t="shared" si="1579"/>
        <v>0</v>
      </c>
      <c r="CJ95" s="42">
        <f t="shared" si="1580"/>
        <v>0</v>
      </c>
      <c r="CL95" s="36">
        <v>2</v>
      </c>
      <c r="CN95" s="95">
        <f t="shared" ref="CN95" si="1616">AVERAGE(BB95:BB96)*$CL95</f>
        <v>0</v>
      </c>
      <c r="CO95" s="41">
        <f t="shared" ref="CO95" si="1617">AVERAGE(BC95:BC96)*$CL95</f>
        <v>0</v>
      </c>
      <c r="CP95" s="41">
        <f t="shared" ref="CP95" si="1618">AVERAGE(BD95:BD96)*$CL95</f>
        <v>0</v>
      </c>
      <c r="CQ95" s="41">
        <f t="shared" ref="CQ95" si="1619">AVERAGE(BE95:BE96)*$CL95</f>
        <v>0</v>
      </c>
      <c r="CR95" s="41">
        <f t="shared" ref="CR95" si="1620">AVERAGE(BF95:BF96)*$CL95</f>
        <v>0</v>
      </c>
      <c r="CS95" s="41">
        <f t="shared" ref="CS95" si="1621">AVERAGE(BG95:BG96)*$CL95</f>
        <v>0</v>
      </c>
      <c r="CT95" s="41">
        <f t="shared" ref="CT95" si="1622">AVERAGE(BH95:BH96)*$CL95</f>
        <v>0</v>
      </c>
      <c r="CU95" s="42">
        <f t="shared" ref="CU95" si="1623">AVERAGE(BI95:BI96)*$CL95</f>
        <v>0</v>
      </c>
      <c r="CV95" s="95">
        <f t="shared" ref="CV95" si="1624">AVERAGE(BJ95:BJ96)*$CL95</f>
        <v>0</v>
      </c>
      <c r="CW95" s="41">
        <f t="shared" ref="CW95" si="1625">AVERAGE(BK95:BK96)*$CL95</f>
        <v>0</v>
      </c>
      <c r="CX95" s="41">
        <f t="shared" ref="CX95" si="1626">AVERAGE(BL95:BL96)*$CL95</f>
        <v>0</v>
      </c>
      <c r="CY95" s="42">
        <f t="shared" ref="CY95" si="1627">AVERAGE(BM95:BM96)*$CL95</f>
        <v>0</v>
      </c>
      <c r="CZ95" s="95">
        <f t="shared" ref="CZ95" si="1628">AVERAGE(BN95:BN96)*$CL95</f>
        <v>0</v>
      </c>
      <c r="DA95" s="41">
        <f t="shared" ref="DA95" si="1629">AVERAGE(BO95:BO96)*$CL95</f>
        <v>0</v>
      </c>
      <c r="DB95" s="41">
        <f t="shared" ref="DB95" si="1630">AVERAGE(BP95:BP96)*$CL95</f>
        <v>0</v>
      </c>
      <c r="DC95" s="41">
        <f t="shared" ref="DC95" si="1631">AVERAGE(BQ95:BQ96)*$CL95</f>
        <v>0</v>
      </c>
      <c r="DD95" s="41">
        <f t="shared" ref="DD95" si="1632">AVERAGE(BR95:BR96)*$CL95</f>
        <v>0</v>
      </c>
      <c r="DE95" s="42">
        <f t="shared" ref="DE95" si="1633">AVERAGE(BS95:BS96)*$CL95</f>
        <v>0</v>
      </c>
      <c r="DF95" s="95">
        <f t="shared" ref="DF95" si="1634">AVERAGE(BT95:BT96)*$CL95</f>
        <v>0</v>
      </c>
      <c r="DG95" s="41">
        <f t="shared" ref="DG95" si="1635">AVERAGE(BU95:BU96)*$CL95</f>
        <v>0</v>
      </c>
      <c r="DH95" s="41">
        <f t="shared" ref="DH95" si="1636">AVERAGE(BV95:BV96)*$CL95</f>
        <v>0</v>
      </c>
      <c r="DI95" s="41">
        <f t="shared" ref="DI95" si="1637">AVERAGE(BW95:BW96)*$CL95</f>
        <v>0</v>
      </c>
      <c r="DJ95" s="42">
        <f t="shared" ref="DJ95" si="1638">AVERAGE(BX95:BX96)*$CL95</f>
        <v>0</v>
      </c>
      <c r="DK95" s="95">
        <f t="shared" ref="DK95" si="1639">AVERAGE(BY95:BY96)*$CL95</f>
        <v>0</v>
      </c>
      <c r="DL95" s="41">
        <f t="shared" ref="DL95" si="1640">AVERAGE(BZ95:BZ96)*$CL95</f>
        <v>0</v>
      </c>
      <c r="DM95" s="41">
        <f t="shared" ref="DM95" si="1641">AVERAGE(CA95:CA96)*$CL95</f>
        <v>0</v>
      </c>
      <c r="DN95" s="41">
        <f t="shared" ref="DN95" si="1642">AVERAGE(CB95:CB96)*$CL95</f>
        <v>0</v>
      </c>
      <c r="DO95" s="41">
        <f t="shared" ref="DO95" si="1643">AVERAGE(CC95:CC96)*$CL95</f>
        <v>0</v>
      </c>
      <c r="DP95" s="41">
        <f t="shared" ref="DP95" si="1644">AVERAGE(CD95:CD96)*$CL95</f>
        <v>0</v>
      </c>
      <c r="DQ95" s="41">
        <f t="shared" ref="DQ95" si="1645">AVERAGE(CE95:CE96)*$CL95</f>
        <v>0</v>
      </c>
      <c r="DR95" s="41">
        <f t="shared" ref="DR95" si="1646">AVERAGE(CF95:CF96)*$CL95</f>
        <v>0</v>
      </c>
      <c r="DS95" s="41">
        <f t="shared" ref="DS95" si="1647">AVERAGE(CG95:CG96)*$CL95</f>
        <v>0</v>
      </c>
      <c r="DT95" s="41">
        <f t="shared" ref="DT95" si="1648">AVERAGE(CH95:CH96)*$CL95</f>
        <v>0</v>
      </c>
      <c r="DU95" s="41">
        <f t="shared" ref="DU95" si="1649">AVERAGE(CI95:CI96)*$CL95</f>
        <v>0</v>
      </c>
      <c r="DV95" s="42">
        <f t="shared" ref="DV95" si="1650">AVERAGE(CJ95:CJ96)*$CL95</f>
        <v>0</v>
      </c>
      <c r="DX95" s="138">
        <f t="shared" si="1581"/>
        <v>0</v>
      </c>
      <c r="DY95" s="34">
        <f t="shared" si="1582"/>
        <v>0</v>
      </c>
      <c r="DZ95" s="34">
        <f t="shared" si="1583"/>
        <v>0</v>
      </c>
      <c r="EA95" s="34">
        <f t="shared" si="1584"/>
        <v>0</v>
      </c>
      <c r="EB95" s="34">
        <f t="shared" si="1585"/>
        <v>0</v>
      </c>
      <c r="EC95" s="34">
        <f t="shared" si="1586"/>
        <v>0</v>
      </c>
      <c r="ED95" s="34">
        <f t="shared" si="1587"/>
        <v>0</v>
      </c>
      <c r="EE95" s="139">
        <f t="shared" si="1588"/>
        <v>0</v>
      </c>
      <c r="EF95" s="138">
        <f t="shared" si="1589"/>
        <v>0</v>
      </c>
      <c r="EG95" s="34">
        <f t="shared" si="1590"/>
        <v>0</v>
      </c>
      <c r="EH95" s="34">
        <f t="shared" si="1591"/>
        <v>0</v>
      </c>
      <c r="EI95" s="139">
        <f t="shared" si="1592"/>
        <v>0</v>
      </c>
      <c r="EJ95" s="138">
        <f t="shared" si="1593"/>
        <v>0</v>
      </c>
      <c r="EK95" s="34">
        <f t="shared" si="1594"/>
        <v>0</v>
      </c>
      <c r="EL95" s="34">
        <f t="shared" si="1595"/>
        <v>0</v>
      </c>
      <c r="EM95" s="34">
        <f t="shared" si="1596"/>
        <v>0</v>
      </c>
      <c r="EN95" s="34">
        <f t="shared" si="1597"/>
        <v>0</v>
      </c>
      <c r="EO95" s="139">
        <f t="shared" si="1598"/>
        <v>0</v>
      </c>
      <c r="EP95" s="138">
        <f t="shared" si="1599"/>
        <v>0</v>
      </c>
      <c r="EQ95" s="34">
        <f t="shared" si="1600"/>
        <v>0</v>
      </c>
      <c r="ER95" s="34">
        <f t="shared" si="1601"/>
        <v>0</v>
      </c>
      <c r="ES95" s="34">
        <f t="shared" si="1602"/>
        <v>0</v>
      </c>
      <c r="ET95" s="139">
        <f t="shared" si="1603"/>
        <v>0</v>
      </c>
      <c r="EU95" s="138">
        <f t="shared" si="1604"/>
        <v>0</v>
      </c>
      <c r="EV95" s="34">
        <f t="shared" si="1605"/>
        <v>0</v>
      </c>
      <c r="EW95" s="34">
        <f t="shared" si="1606"/>
        <v>0</v>
      </c>
      <c r="EX95" s="34">
        <f t="shared" si="1607"/>
        <v>0</v>
      </c>
      <c r="EY95" s="34">
        <f t="shared" si="1608"/>
        <v>0</v>
      </c>
      <c r="EZ95" s="34">
        <f t="shared" si="1609"/>
        <v>0</v>
      </c>
      <c r="FA95" s="34">
        <f t="shared" si="1610"/>
        <v>0</v>
      </c>
      <c r="FB95" s="34">
        <f t="shared" si="1611"/>
        <v>0</v>
      </c>
      <c r="FC95" s="34">
        <f t="shared" si="1612"/>
        <v>0</v>
      </c>
      <c r="FD95" s="34">
        <f t="shared" si="1613"/>
        <v>0</v>
      </c>
      <c r="FE95" s="34">
        <f t="shared" si="1614"/>
        <v>0</v>
      </c>
      <c r="FF95" s="139">
        <f t="shared" si="1615"/>
        <v>0</v>
      </c>
    </row>
    <row r="96" spans="2:162" ht="16.5" thickBot="1" x14ac:dyDescent="0.3">
      <c r="B96" s="127">
        <f t="shared" si="1543"/>
        <v>45571</v>
      </c>
      <c r="C96" s="267"/>
      <c r="D96" s="100">
        <v>1</v>
      </c>
      <c r="E96" s="131">
        <v>2.1</v>
      </c>
      <c r="F96" s="25"/>
      <c r="G96" s="25"/>
      <c r="H96" s="171">
        <v>1</v>
      </c>
      <c r="I96" s="172">
        <v>2</v>
      </c>
      <c r="J96" s="173">
        <v>0.5</v>
      </c>
      <c r="K96" s="173"/>
      <c r="L96" s="174">
        <v>12.4</v>
      </c>
      <c r="M96" s="174">
        <f t="shared" si="1544"/>
        <v>0</v>
      </c>
      <c r="N96" s="175">
        <f t="shared" si="1545"/>
        <v>3.4100000000000006</v>
      </c>
      <c r="O96" s="25"/>
      <c r="P96" s="96"/>
      <c r="Q96" s="76"/>
      <c r="R96" s="76"/>
      <c r="S96" s="76"/>
      <c r="T96" s="76"/>
      <c r="U96" s="76"/>
      <c r="V96" s="76"/>
      <c r="W96" s="77"/>
      <c r="X96" s="96"/>
      <c r="Y96" s="76"/>
      <c r="Z96" s="76"/>
      <c r="AA96" s="77"/>
      <c r="AB96" s="96"/>
      <c r="AC96" s="76"/>
      <c r="AD96" s="76"/>
      <c r="AE96" s="76"/>
      <c r="AF96" s="76"/>
      <c r="AG96" s="77"/>
      <c r="AH96" s="96"/>
      <c r="AI96" s="76"/>
      <c r="AJ96" s="76"/>
      <c r="AK96" s="76"/>
      <c r="AL96" s="77"/>
      <c r="AM96" s="9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7"/>
      <c r="BB96" s="96">
        <f t="shared" si="1546"/>
        <v>0</v>
      </c>
      <c r="BC96" s="76">
        <f t="shared" si="1547"/>
        <v>0</v>
      </c>
      <c r="BD96" s="76">
        <f t="shared" si="1548"/>
        <v>0</v>
      </c>
      <c r="BE96" s="76">
        <f t="shared" si="1549"/>
        <v>0</v>
      </c>
      <c r="BF96" s="76">
        <f t="shared" si="1550"/>
        <v>0</v>
      </c>
      <c r="BG96" s="76">
        <f t="shared" si="1551"/>
        <v>0</v>
      </c>
      <c r="BH96" s="76">
        <f t="shared" si="1552"/>
        <v>0</v>
      </c>
      <c r="BI96" s="77">
        <f t="shared" si="1553"/>
        <v>0</v>
      </c>
      <c r="BJ96" s="96">
        <f t="shared" si="1554"/>
        <v>0</v>
      </c>
      <c r="BK96" s="76">
        <f t="shared" si="1555"/>
        <v>0</v>
      </c>
      <c r="BL96" s="76">
        <f t="shared" si="1556"/>
        <v>0</v>
      </c>
      <c r="BM96" s="77">
        <f t="shared" si="1557"/>
        <v>0</v>
      </c>
      <c r="BN96" s="96">
        <f t="shared" si="1558"/>
        <v>0</v>
      </c>
      <c r="BO96" s="76">
        <f t="shared" si="1559"/>
        <v>0</v>
      </c>
      <c r="BP96" s="76">
        <f t="shared" si="1560"/>
        <v>0</v>
      </c>
      <c r="BQ96" s="76">
        <f t="shared" si="1561"/>
        <v>0</v>
      </c>
      <c r="BR96" s="76">
        <f t="shared" si="1562"/>
        <v>0</v>
      </c>
      <c r="BS96" s="77">
        <f t="shared" si="1563"/>
        <v>0</v>
      </c>
      <c r="BT96" s="96">
        <f t="shared" si="1564"/>
        <v>0</v>
      </c>
      <c r="BU96" s="76">
        <f t="shared" si="1565"/>
        <v>0</v>
      </c>
      <c r="BV96" s="76">
        <f t="shared" si="1566"/>
        <v>0</v>
      </c>
      <c r="BW96" s="76">
        <f t="shared" si="1567"/>
        <v>0</v>
      </c>
      <c r="BX96" s="77">
        <f t="shared" si="1568"/>
        <v>0</v>
      </c>
      <c r="BY96" s="96">
        <f t="shared" si="1569"/>
        <v>0</v>
      </c>
      <c r="BZ96" s="76">
        <f t="shared" si="1570"/>
        <v>0</v>
      </c>
      <c r="CA96" s="76">
        <f t="shared" si="1571"/>
        <v>0</v>
      </c>
      <c r="CB96" s="76">
        <f t="shared" si="1572"/>
        <v>0</v>
      </c>
      <c r="CC96" s="76">
        <f t="shared" si="1573"/>
        <v>0</v>
      </c>
      <c r="CD96" s="76">
        <f t="shared" si="1574"/>
        <v>0</v>
      </c>
      <c r="CE96" s="76">
        <f t="shared" si="1575"/>
        <v>0</v>
      </c>
      <c r="CF96" s="76">
        <f t="shared" si="1576"/>
        <v>0</v>
      </c>
      <c r="CG96" s="76">
        <f t="shared" si="1577"/>
        <v>0</v>
      </c>
      <c r="CH96" s="76">
        <f t="shared" si="1578"/>
        <v>0</v>
      </c>
      <c r="CI96" s="76">
        <f t="shared" si="1579"/>
        <v>0</v>
      </c>
      <c r="CJ96" s="77">
        <f t="shared" si="1580"/>
        <v>0</v>
      </c>
      <c r="CN96" s="96"/>
      <c r="CO96" s="76"/>
      <c r="CP96" s="76"/>
      <c r="CQ96" s="76"/>
      <c r="CR96" s="76"/>
      <c r="CS96" s="76"/>
      <c r="CT96" s="76"/>
      <c r="CU96" s="77"/>
      <c r="CV96" s="96"/>
      <c r="CW96" s="76"/>
      <c r="CX96" s="76"/>
      <c r="CY96" s="77"/>
      <c r="CZ96" s="96"/>
      <c r="DA96" s="76"/>
      <c r="DB96" s="76"/>
      <c r="DC96" s="76"/>
      <c r="DD96" s="76"/>
      <c r="DE96" s="77"/>
      <c r="DF96" s="96"/>
      <c r="DG96" s="76"/>
      <c r="DH96" s="76"/>
      <c r="DI96" s="76"/>
      <c r="DJ96" s="77"/>
      <c r="DK96" s="96"/>
      <c r="DL96" s="76"/>
      <c r="DM96" s="76"/>
      <c r="DN96" s="76"/>
      <c r="DO96" s="76"/>
      <c r="DP96" s="76"/>
      <c r="DQ96" s="76"/>
      <c r="DR96" s="76"/>
      <c r="DS96" s="76"/>
      <c r="DT96" s="76"/>
      <c r="DU96" s="76"/>
      <c r="DV96" s="77"/>
      <c r="DX96" s="140">
        <f t="shared" si="1581"/>
        <v>0</v>
      </c>
      <c r="DY96" s="141">
        <f t="shared" si="1582"/>
        <v>0</v>
      </c>
      <c r="DZ96" s="141">
        <f t="shared" si="1583"/>
        <v>0</v>
      </c>
      <c r="EA96" s="141">
        <f t="shared" si="1584"/>
        <v>0</v>
      </c>
      <c r="EB96" s="141">
        <f t="shared" si="1585"/>
        <v>0</v>
      </c>
      <c r="EC96" s="141">
        <f t="shared" si="1586"/>
        <v>0</v>
      </c>
      <c r="ED96" s="141">
        <f t="shared" si="1587"/>
        <v>0</v>
      </c>
      <c r="EE96" s="142">
        <f t="shared" si="1588"/>
        <v>0</v>
      </c>
      <c r="EF96" s="140">
        <f t="shared" si="1589"/>
        <v>0</v>
      </c>
      <c r="EG96" s="141">
        <f t="shared" si="1590"/>
        <v>0</v>
      </c>
      <c r="EH96" s="141">
        <f t="shared" si="1591"/>
        <v>0</v>
      </c>
      <c r="EI96" s="142">
        <f t="shared" si="1592"/>
        <v>0</v>
      </c>
      <c r="EJ96" s="140">
        <f t="shared" si="1593"/>
        <v>0</v>
      </c>
      <c r="EK96" s="141">
        <f t="shared" si="1594"/>
        <v>0</v>
      </c>
      <c r="EL96" s="141">
        <f t="shared" si="1595"/>
        <v>0</v>
      </c>
      <c r="EM96" s="141">
        <f t="shared" si="1596"/>
        <v>0</v>
      </c>
      <c r="EN96" s="141">
        <f t="shared" si="1597"/>
        <v>0</v>
      </c>
      <c r="EO96" s="142">
        <f t="shared" si="1598"/>
        <v>0</v>
      </c>
      <c r="EP96" s="140">
        <f t="shared" si="1599"/>
        <v>0</v>
      </c>
      <c r="EQ96" s="141">
        <f t="shared" si="1600"/>
        <v>0</v>
      </c>
      <c r="ER96" s="141">
        <f t="shared" si="1601"/>
        <v>0</v>
      </c>
      <c r="ES96" s="141">
        <f t="shared" si="1602"/>
        <v>0</v>
      </c>
      <c r="ET96" s="142">
        <f t="shared" si="1603"/>
        <v>0</v>
      </c>
      <c r="EU96" s="140">
        <f t="shared" si="1604"/>
        <v>0</v>
      </c>
      <c r="EV96" s="141">
        <f t="shared" si="1605"/>
        <v>0</v>
      </c>
      <c r="EW96" s="141">
        <f t="shared" si="1606"/>
        <v>0</v>
      </c>
      <c r="EX96" s="141">
        <f t="shared" si="1607"/>
        <v>0</v>
      </c>
      <c r="EY96" s="141">
        <f t="shared" si="1608"/>
        <v>0</v>
      </c>
      <c r="EZ96" s="141">
        <f t="shared" si="1609"/>
        <v>0</v>
      </c>
      <c r="FA96" s="141">
        <f t="shared" si="1610"/>
        <v>0</v>
      </c>
      <c r="FB96" s="141">
        <f t="shared" si="1611"/>
        <v>0</v>
      </c>
      <c r="FC96" s="141">
        <f t="shared" si="1612"/>
        <v>0</v>
      </c>
      <c r="FD96" s="141">
        <f t="shared" si="1613"/>
        <v>0</v>
      </c>
      <c r="FE96" s="141">
        <f t="shared" si="1614"/>
        <v>0</v>
      </c>
      <c r="FF96" s="142">
        <f t="shared" si="1615"/>
        <v>0</v>
      </c>
    </row>
    <row r="97" spans="2:162" ht="17.25" thickTop="1" thickBot="1" x14ac:dyDescent="0.3">
      <c r="B97" s="178"/>
      <c r="C97" s="268"/>
      <c r="D97" s="101">
        <f t="shared" ref="D97:E97" si="1651">SUM(D90:D96)</f>
        <v>11</v>
      </c>
      <c r="E97" s="134">
        <f t="shared" si="1651"/>
        <v>33.65</v>
      </c>
      <c r="F97" s="146"/>
      <c r="G97" s="146"/>
      <c r="H97" s="43"/>
      <c r="I97" s="39"/>
      <c r="J97" s="39"/>
      <c r="K97" s="39"/>
      <c r="L97" s="184"/>
      <c r="M97" s="185"/>
      <c r="N97" s="170">
        <f>AVERAGE(N90:N94)*5+AVERAGE(N95:N96)*2</f>
        <v>121.81583333333336</v>
      </c>
      <c r="O97" s="146"/>
      <c r="P97" s="68">
        <f t="shared" ref="P97:AZ97" si="1652">SUM(P90:P96)</f>
        <v>0</v>
      </c>
      <c r="Q97" s="65">
        <f t="shared" si="1652"/>
        <v>0</v>
      </c>
      <c r="R97" s="65">
        <f t="shared" si="1652"/>
        <v>0</v>
      </c>
      <c r="S97" s="65">
        <f t="shared" si="1652"/>
        <v>0</v>
      </c>
      <c r="T97" s="65">
        <f t="shared" si="1652"/>
        <v>0</v>
      </c>
      <c r="U97" s="65">
        <f t="shared" si="1652"/>
        <v>0</v>
      </c>
      <c r="V97" s="65">
        <f t="shared" si="1652"/>
        <v>0</v>
      </c>
      <c r="W97" s="66">
        <f t="shared" si="1652"/>
        <v>0</v>
      </c>
      <c r="X97" s="68">
        <f t="shared" si="1652"/>
        <v>0</v>
      </c>
      <c r="Y97" s="65">
        <f t="shared" si="1652"/>
        <v>0</v>
      </c>
      <c r="Z97" s="65">
        <f t="shared" si="1652"/>
        <v>0</v>
      </c>
      <c r="AA97" s="66">
        <f t="shared" si="1652"/>
        <v>0</v>
      </c>
      <c r="AB97" s="68">
        <f t="shared" si="1652"/>
        <v>0</v>
      </c>
      <c r="AC97" s="65">
        <f t="shared" si="1652"/>
        <v>0</v>
      </c>
      <c r="AD97" s="65">
        <f t="shared" si="1652"/>
        <v>0</v>
      </c>
      <c r="AE97" s="65">
        <f t="shared" si="1652"/>
        <v>0</v>
      </c>
      <c r="AF97" s="65">
        <f t="shared" si="1652"/>
        <v>0</v>
      </c>
      <c r="AG97" s="66">
        <f t="shared" si="1652"/>
        <v>0</v>
      </c>
      <c r="AH97" s="68">
        <f t="shared" si="1652"/>
        <v>0</v>
      </c>
      <c r="AI97" s="65">
        <f t="shared" si="1652"/>
        <v>0</v>
      </c>
      <c r="AJ97" s="65">
        <f t="shared" si="1652"/>
        <v>0</v>
      </c>
      <c r="AK97" s="65">
        <f t="shared" si="1652"/>
        <v>0</v>
      </c>
      <c r="AL97" s="66">
        <f t="shared" si="1652"/>
        <v>0</v>
      </c>
      <c r="AM97" s="68">
        <f t="shared" si="1652"/>
        <v>0</v>
      </c>
      <c r="AN97" s="65">
        <f t="shared" si="1652"/>
        <v>0</v>
      </c>
      <c r="AO97" s="65">
        <f t="shared" si="1652"/>
        <v>0</v>
      </c>
      <c r="AP97" s="65">
        <f t="shared" si="1652"/>
        <v>0</v>
      </c>
      <c r="AQ97" s="65">
        <f t="shared" si="1652"/>
        <v>0</v>
      </c>
      <c r="AR97" s="65">
        <f t="shared" si="1652"/>
        <v>0</v>
      </c>
      <c r="AS97" s="65">
        <f t="shared" si="1652"/>
        <v>0</v>
      </c>
      <c r="AT97" s="65">
        <f t="shared" si="1652"/>
        <v>0</v>
      </c>
      <c r="AU97" s="65">
        <f t="shared" si="1652"/>
        <v>0</v>
      </c>
      <c r="AV97" s="65">
        <f t="shared" si="1652"/>
        <v>0</v>
      </c>
      <c r="AW97" s="65">
        <f t="shared" si="1652"/>
        <v>0</v>
      </c>
      <c r="AX97" s="65">
        <f t="shared" si="1652"/>
        <v>0</v>
      </c>
      <c r="AY97" s="65">
        <f t="shared" si="1652"/>
        <v>0</v>
      </c>
      <c r="AZ97" s="66">
        <f t="shared" si="1652"/>
        <v>0</v>
      </c>
      <c r="BB97" s="68">
        <f t="shared" ref="BB97:CJ97" si="1653">SUM(BB90:BB96)</f>
        <v>0</v>
      </c>
      <c r="BC97" s="65">
        <f t="shared" si="1653"/>
        <v>0</v>
      </c>
      <c r="BD97" s="65">
        <f t="shared" si="1653"/>
        <v>0</v>
      </c>
      <c r="BE97" s="65">
        <f t="shared" si="1653"/>
        <v>0</v>
      </c>
      <c r="BF97" s="65">
        <f t="shared" si="1653"/>
        <v>0</v>
      </c>
      <c r="BG97" s="65">
        <f t="shared" si="1653"/>
        <v>0</v>
      </c>
      <c r="BH97" s="65">
        <f t="shared" si="1653"/>
        <v>0</v>
      </c>
      <c r="BI97" s="66">
        <f t="shared" si="1653"/>
        <v>0</v>
      </c>
      <c r="BJ97" s="68">
        <f t="shared" si="1653"/>
        <v>0</v>
      </c>
      <c r="BK97" s="65">
        <f t="shared" si="1653"/>
        <v>0</v>
      </c>
      <c r="BL97" s="65">
        <f t="shared" si="1653"/>
        <v>0</v>
      </c>
      <c r="BM97" s="66">
        <f t="shared" si="1653"/>
        <v>0</v>
      </c>
      <c r="BN97" s="68">
        <f t="shared" si="1653"/>
        <v>0</v>
      </c>
      <c r="BO97" s="65">
        <f t="shared" si="1653"/>
        <v>0</v>
      </c>
      <c r="BP97" s="65">
        <f t="shared" si="1653"/>
        <v>0</v>
      </c>
      <c r="BQ97" s="65">
        <f t="shared" si="1653"/>
        <v>0</v>
      </c>
      <c r="BR97" s="65">
        <f t="shared" si="1653"/>
        <v>0</v>
      </c>
      <c r="BS97" s="66">
        <f t="shared" si="1653"/>
        <v>0</v>
      </c>
      <c r="BT97" s="68">
        <f t="shared" si="1653"/>
        <v>0</v>
      </c>
      <c r="BU97" s="65">
        <f t="shared" si="1653"/>
        <v>0</v>
      </c>
      <c r="BV97" s="65">
        <f t="shared" si="1653"/>
        <v>0</v>
      </c>
      <c r="BW97" s="65">
        <f t="shared" si="1653"/>
        <v>0</v>
      </c>
      <c r="BX97" s="66">
        <f t="shared" si="1653"/>
        <v>0</v>
      </c>
      <c r="BY97" s="68">
        <f t="shared" si="1653"/>
        <v>0</v>
      </c>
      <c r="BZ97" s="65">
        <f t="shared" si="1653"/>
        <v>0</v>
      </c>
      <c r="CA97" s="65">
        <f t="shared" si="1653"/>
        <v>0</v>
      </c>
      <c r="CB97" s="65">
        <f t="shared" si="1653"/>
        <v>0</v>
      </c>
      <c r="CC97" s="65">
        <f t="shared" si="1653"/>
        <v>0</v>
      </c>
      <c r="CD97" s="65">
        <f t="shared" si="1653"/>
        <v>0</v>
      </c>
      <c r="CE97" s="65">
        <f t="shared" si="1653"/>
        <v>0</v>
      </c>
      <c r="CF97" s="65">
        <f t="shared" si="1653"/>
        <v>0</v>
      </c>
      <c r="CG97" s="65">
        <f t="shared" si="1653"/>
        <v>0</v>
      </c>
      <c r="CH97" s="65">
        <f t="shared" si="1653"/>
        <v>0</v>
      </c>
      <c r="CI97" s="65">
        <f t="shared" si="1653"/>
        <v>0</v>
      </c>
      <c r="CJ97" s="66">
        <f t="shared" si="1653"/>
        <v>0</v>
      </c>
      <c r="CN97" s="68">
        <f t="shared" ref="CN97:DV97" si="1654">SUM(CN90:CN96)</f>
        <v>0</v>
      </c>
      <c r="CO97" s="65">
        <f t="shared" si="1654"/>
        <v>0</v>
      </c>
      <c r="CP97" s="65">
        <f t="shared" si="1654"/>
        <v>0</v>
      </c>
      <c r="CQ97" s="65">
        <f t="shared" si="1654"/>
        <v>0</v>
      </c>
      <c r="CR97" s="65">
        <f t="shared" si="1654"/>
        <v>0</v>
      </c>
      <c r="CS97" s="65">
        <f t="shared" si="1654"/>
        <v>0</v>
      </c>
      <c r="CT97" s="65">
        <f t="shared" si="1654"/>
        <v>0</v>
      </c>
      <c r="CU97" s="66">
        <f t="shared" si="1654"/>
        <v>0</v>
      </c>
      <c r="CV97" s="68">
        <f t="shared" si="1654"/>
        <v>0</v>
      </c>
      <c r="CW97" s="65">
        <f t="shared" si="1654"/>
        <v>0</v>
      </c>
      <c r="CX97" s="65">
        <f t="shared" si="1654"/>
        <v>0</v>
      </c>
      <c r="CY97" s="66">
        <f t="shared" si="1654"/>
        <v>0</v>
      </c>
      <c r="CZ97" s="68">
        <f t="shared" si="1654"/>
        <v>0</v>
      </c>
      <c r="DA97" s="65">
        <f t="shared" si="1654"/>
        <v>0</v>
      </c>
      <c r="DB97" s="65">
        <f t="shared" si="1654"/>
        <v>0</v>
      </c>
      <c r="DC97" s="65">
        <f t="shared" si="1654"/>
        <v>0</v>
      </c>
      <c r="DD97" s="65">
        <f t="shared" si="1654"/>
        <v>0</v>
      </c>
      <c r="DE97" s="66">
        <f t="shared" si="1654"/>
        <v>0</v>
      </c>
      <c r="DF97" s="68">
        <f t="shared" si="1654"/>
        <v>0</v>
      </c>
      <c r="DG97" s="65">
        <f t="shared" si="1654"/>
        <v>0</v>
      </c>
      <c r="DH97" s="65">
        <f t="shared" si="1654"/>
        <v>0</v>
      </c>
      <c r="DI97" s="65">
        <f t="shared" si="1654"/>
        <v>0</v>
      </c>
      <c r="DJ97" s="66">
        <f t="shared" si="1654"/>
        <v>0</v>
      </c>
      <c r="DK97" s="68">
        <f t="shared" si="1654"/>
        <v>0</v>
      </c>
      <c r="DL97" s="65">
        <f t="shared" si="1654"/>
        <v>0</v>
      </c>
      <c r="DM97" s="65">
        <f t="shared" si="1654"/>
        <v>0</v>
      </c>
      <c r="DN97" s="65">
        <f t="shared" si="1654"/>
        <v>0</v>
      </c>
      <c r="DO97" s="65">
        <f t="shared" si="1654"/>
        <v>0</v>
      </c>
      <c r="DP97" s="65">
        <f t="shared" si="1654"/>
        <v>0</v>
      </c>
      <c r="DQ97" s="65">
        <f t="shared" si="1654"/>
        <v>0</v>
      </c>
      <c r="DR97" s="65">
        <f t="shared" si="1654"/>
        <v>0</v>
      </c>
      <c r="DS97" s="65">
        <f t="shared" si="1654"/>
        <v>0</v>
      </c>
      <c r="DT97" s="65">
        <f t="shared" si="1654"/>
        <v>0</v>
      </c>
      <c r="DU97" s="65">
        <f t="shared" si="1654"/>
        <v>0</v>
      </c>
      <c r="DV97" s="66">
        <f t="shared" si="1654"/>
        <v>0</v>
      </c>
      <c r="DX97" s="143">
        <f t="shared" ref="DX97:FF97" si="1655">AVERAGE(DX90:DX96)</f>
        <v>0</v>
      </c>
      <c r="DY97" s="144">
        <f t="shared" si="1655"/>
        <v>0</v>
      </c>
      <c r="DZ97" s="144">
        <f t="shared" si="1655"/>
        <v>0</v>
      </c>
      <c r="EA97" s="144">
        <f t="shared" si="1655"/>
        <v>0</v>
      </c>
      <c r="EB97" s="144">
        <f t="shared" si="1655"/>
        <v>0</v>
      </c>
      <c r="EC97" s="144">
        <f t="shared" si="1655"/>
        <v>0</v>
      </c>
      <c r="ED97" s="144">
        <f t="shared" si="1655"/>
        <v>0</v>
      </c>
      <c r="EE97" s="145">
        <f t="shared" si="1655"/>
        <v>0</v>
      </c>
      <c r="EF97" s="143">
        <f t="shared" si="1655"/>
        <v>0</v>
      </c>
      <c r="EG97" s="144">
        <f t="shared" si="1655"/>
        <v>0</v>
      </c>
      <c r="EH97" s="144">
        <f t="shared" si="1655"/>
        <v>0</v>
      </c>
      <c r="EI97" s="145">
        <f t="shared" si="1655"/>
        <v>0</v>
      </c>
      <c r="EJ97" s="143">
        <f t="shared" si="1655"/>
        <v>0</v>
      </c>
      <c r="EK97" s="144">
        <f t="shared" si="1655"/>
        <v>0</v>
      </c>
      <c r="EL97" s="144">
        <f t="shared" si="1655"/>
        <v>0</v>
      </c>
      <c r="EM97" s="144">
        <f t="shared" si="1655"/>
        <v>0</v>
      </c>
      <c r="EN97" s="144">
        <f t="shared" si="1655"/>
        <v>0</v>
      </c>
      <c r="EO97" s="144">
        <f t="shared" si="1655"/>
        <v>0</v>
      </c>
      <c r="EP97" s="143">
        <f t="shared" si="1655"/>
        <v>0</v>
      </c>
      <c r="EQ97" s="144">
        <f t="shared" si="1655"/>
        <v>0</v>
      </c>
      <c r="ER97" s="144">
        <f t="shared" si="1655"/>
        <v>0</v>
      </c>
      <c r="ES97" s="144">
        <f t="shared" si="1655"/>
        <v>0</v>
      </c>
      <c r="ET97" s="145">
        <f t="shared" si="1655"/>
        <v>0</v>
      </c>
      <c r="EU97" s="143">
        <f t="shared" si="1655"/>
        <v>0</v>
      </c>
      <c r="EV97" s="144">
        <f t="shared" si="1655"/>
        <v>0</v>
      </c>
      <c r="EW97" s="144">
        <f t="shared" si="1655"/>
        <v>0</v>
      </c>
      <c r="EX97" s="144">
        <f t="shared" si="1655"/>
        <v>0</v>
      </c>
      <c r="EY97" s="144">
        <f t="shared" si="1655"/>
        <v>0</v>
      </c>
      <c r="EZ97" s="144">
        <f t="shared" si="1655"/>
        <v>0</v>
      </c>
      <c r="FA97" s="144">
        <f t="shared" si="1655"/>
        <v>0</v>
      </c>
      <c r="FB97" s="144">
        <f t="shared" si="1655"/>
        <v>0</v>
      </c>
      <c r="FC97" s="144">
        <f t="shared" si="1655"/>
        <v>0</v>
      </c>
      <c r="FD97" s="144">
        <f t="shared" si="1655"/>
        <v>0</v>
      </c>
      <c r="FE97" s="144">
        <f t="shared" si="1655"/>
        <v>0</v>
      </c>
      <c r="FF97" s="145">
        <f t="shared" si="1655"/>
        <v>0</v>
      </c>
    </row>
    <row r="98" spans="2:162" ht="16.5" thickBot="1" x14ac:dyDescent="0.3">
      <c r="L98" s="253"/>
    </row>
    <row r="99" spans="2:162" ht="16.5" thickBot="1" x14ac:dyDescent="0.3">
      <c r="B99" s="176">
        <f>B90+7</f>
        <v>45572</v>
      </c>
      <c r="C99" s="265"/>
      <c r="D99" s="103">
        <v>6</v>
      </c>
      <c r="E99" s="156">
        <v>10.15</v>
      </c>
      <c r="F99" s="25"/>
      <c r="G99" s="25"/>
      <c r="H99" s="179">
        <v>6</v>
      </c>
      <c r="I99" s="180">
        <v>3</v>
      </c>
      <c r="J99" s="181">
        <v>1</v>
      </c>
      <c r="K99" s="181"/>
      <c r="L99" s="182">
        <v>12.3</v>
      </c>
      <c r="M99" s="182">
        <f t="shared" ref="M99:M105" si="1656">H99/I99*K99*L99*1.5</f>
        <v>0</v>
      </c>
      <c r="N99" s="183">
        <f t="shared" ref="N99:N105" si="1657">H99/I99*J99*L99*N$4</f>
        <v>27.060000000000002</v>
      </c>
      <c r="O99" s="25"/>
      <c r="P99" s="157"/>
      <c r="Q99" s="158"/>
      <c r="R99" s="158"/>
      <c r="S99" s="158"/>
      <c r="T99" s="158"/>
      <c r="U99" s="158"/>
      <c r="V99" s="158">
        <v>1</v>
      </c>
      <c r="W99" s="159"/>
      <c r="X99" s="157"/>
      <c r="Y99" s="158"/>
      <c r="Z99" s="158"/>
      <c r="AA99" s="159"/>
      <c r="AB99" s="157"/>
      <c r="AC99" s="158"/>
      <c r="AD99" s="158"/>
      <c r="AE99" s="158"/>
      <c r="AF99" s="158"/>
      <c r="AG99" s="159"/>
      <c r="AH99" s="157"/>
      <c r="AI99" s="158"/>
      <c r="AJ99" s="158"/>
      <c r="AK99" s="158"/>
      <c r="AL99" s="159"/>
      <c r="AM99" s="157"/>
      <c r="AN99" s="158"/>
      <c r="AO99" s="158"/>
      <c r="AP99" s="158"/>
      <c r="AQ99" s="158"/>
      <c r="AR99" s="158"/>
      <c r="AS99" s="158"/>
      <c r="AT99" s="158"/>
      <c r="AU99" s="158"/>
      <c r="AV99" s="158"/>
      <c r="AW99" s="158"/>
      <c r="AX99" s="158"/>
      <c r="AY99" s="158"/>
      <c r="AZ99" s="159"/>
      <c r="BB99" s="157">
        <f t="shared" ref="BB99:BB105" si="1658">$N99*DX99</f>
        <v>0</v>
      </c>
      <c r="BC99" s="158">
        <f t="shared" ref="BC99:BC105" si="1659">$N99*DY99</f>
        <v>0</v>
      </c>
      <c r="BD99" s="158">
        <f t="shared" ref="BD99:BD105" si="1660">$N99*DZ99</f>
        <v>0</v>
      </c>
      <c r="BE99" s="158">
        <f t="shared" ref="BE99:BE105" si="1661">$N99*EA99</f>
        <v>0</v>
      </c>
      <c r="BF99" s="158">
        <f t="shared" ref="BF99:BF105" si="1662">$N99*EB99</f>
        <v>0</v>
      </c>
      <c r="BG99" s="158">
        <f t="shared" ref="BG99:BG105" si="1663">$N99*EC99</f>
        <v>0</v>
      </c>
      <c r="BH99" s="158">
        <f t="shared" ref="BH99:BH105" si="1664">$N99*ED99</f>
        <v>2.6660098522167486</v>
      </c>
      <c r="BI99" s="159">
        <f t="shared" ref="BI99:BI105" si="1665">$N99*EE99</f>
        <v>0</v>
      </c>
      <c r="BJ99" s="157">
        <f t="shared" ref="BJ99:BJ105" si="1666">$N99*EF99</f>
        <v>0</v>
      </c>
      <c r="BK99" s="158">
        <f t="shared" ref="BK99:BK105" si="1667">$N99*EG99</f>
        <v>0</v>
      </c>
      <c r="BL99" s="158">
        <f t="shared" ref="BL99:BL105" si="1668">$N99*EH99</f>
        <v>0</v>
      </c>
      <c r="BM99" s="159">
        <f t="shared" ref="BM99:BM105" si="1669">$N99*EI99</f>
        <v>0</v>
      </c>
      <c r="BN99" s="157">
        <f t="shared" ref="BN99:BN105" si="1670">$N99*EJ99</f>
        <v>0</v>
      </c>
      <c r="BO99" s="158">
        <f t="shared" ref="BO99:BO105" si="1671">$N99*EK99</f>
        <v>0</v>
      </c>
      <c r="BP99" s="158">
        <f t="shared" ref="BP99:BP105" si="1672">$N99*EL99</f>
        <v>0</v>
      </c>
      <c r="BQ99" s="158">
        <f t="shared" ref="BQ99:BQ105" si="1673">$N99*EM99</f>
        <v>0</v>
      </c>
      <c r="BR99" s="158">
        <f t="shared" ref="BR99:BR105" si="1674">$N99*EN99</f>
        <v>0</v>
      </c>
      <c r="BS99" s="159">
        <f t="shared" ref="BS99:BS105" si="1675">$N99*EO99</f>
        <v>0</v>
      </c>
      <c r="BT99" s="157">
        <f t="shared" ref="BT99:BT105" si="1676">$N99*EP99</f>
        <v>0</v>
      </c>
      <c r="BU99" s="158">
        <f t="shared" ref="BU99:BU105" si="1677">$N99*EQ99</f>
        <v>0</v>
      </c>
      <c r="BV99" s="158">
        <f t="shared" ref="BV99:BV105" si="1678">$N99*ER99</f>
        <v>0</v>
      </c>
      <c r="BW99" s="158">
        <f t="shared" ref="BW99:BW105" si="1679">$N99*ES99</f>
        <v>0</v>
      </c>
      <c r="BX99" s="159">
        <f t="shared" ref="BX99:BX105" si="1680">$N99*ET99</f>
        <v>0</v>
      </c>
      <c r="BY99" s="157">
        <f t="shared" ref="BY99:BY105" si="1681">$N99*EU99</f>
        <v>0</v>
      </c>
      <c r="BZ99" s="158">
        <f t="shared" ref="BZ99:BZ105" si="1682">$N99*EV99</f>
        <v>0</v>
      </c>
      <c r="CA99" s="158">
        <f t="shared" ref="CA99:CA105" si="1683">$N99*EW99</f>
        <v>0</v>
      </c>
      <c r="CB99" s="158">
        <f t="shared" ref="CB99:CB105" si="1684">$N99*EX99</f>
        <v>0</v>
      </c>
      <c r="CC99" s="158">
        <f t="shared" ref="CC99:CC105" si="1685">$N99*EY99</f>
        <v>0</v>
      </c>
      <c r="CD99" s="158">
        <f t="shared" ref="CD99:CD105" si="1686">$N99*EZ99</f>
        <v>0</v>
      </c>
      <c r="CE99" s="158">
        <f t="shared" ref="CE99:CE105" si="1687">$N99*FA99</f>
        <v>0</v>
      </c>
      <c r="CF99" s="158">
        <f t="shared" ref="CF99:CF105" si="1688">$N99*FB99</f>
        <v>0</v>
      </c>
      <c r="CG99" s="158">
        <f t="shared" ref="CG99:CG105" si="1689">$N99*FC99</f>
        <v>0</v>
      </c>
      <c r="CH99" s="158">
        <f t="shared" ref="CH99:CH105" si="1690">$N99*FD99</f>
        <v>0</v>
      </c>
      <c r="CI99" s="158">
        <f t="shared" ref="CI99:CI105" si="1691">$N99*FE99</f>
        <v>0</v>
      </c>
      <c r="CJ99" s="159">
        <f t="shared" ref="CJ99:CJ105" si="1692">$N99*FF99</f>
        <v>0</v>
      </c>
      <c r="CL99" s="36">
        <v>5</v>
      </c>
      <c r="CN99" s="157">
        <f>AVERAGE(BB99:BB103)*$CL99</f>
        <v>0</v>
      </c>
      <c r="CO99" s="158">
        <f t="shared" ref="CO99" si="1693">AVERAGE(BC99:BC103)*$CL99</f>
        <v>0</v>
      </c>
      <c r="CP99" s="158">
        <f t="shared" ref="CP99" si="1694">AVERAGE(BD99:BD103)*$CL99</f>
        <v>0</v>
      </c>
      <c r="CQ99" s="158">
        <f t="shared" ref="CQ99" si="1695">AVERAGE(BE99:BE103)*$CL99</f>
        <v>0</v>
      </c>
      <c r="CR99" s="158">
        <f t="shared" ref="CR99" si="1696">AVERAGE(BF99:BF103)*$CL99</f>
        <v>0</v>
      </c>
      <c r="CS99" s="158">
        <f t="shared" ref="CS99" si="1697">AVERAGE(BG99:BG103)*$CL99</f>
        <v>0</v>
      </c>
      <c r="CT99" s="158">
        <f t="shared" ref="CT99" si="1698">AVERAGE(BH99:BH103)*$CL99</f>
        <v>4.443349753694581</v>
      </c>
      <c r="CU99" s="159">
        <f t="shared" ref="CU99" si="1699">AVERAGE(BI99:BI103)*$CL99</f>
        <v>0</v>
      </c>
      <c r="CV99" s="157">
        <f t="shared" ref="CV99" si="1700">AVERAGE(BJ99:BJ103)*$CL99</f>
        <v>0</v>
      </c>
      <c r="CW99" s="158">
        <f t="shared" ref="CW99" si="1701">AVERAGE(BK99:BK103)*$CL99</f>
        <v>0</v>
      </c>
      <c r="CX99" s="158">
        <f t="shared" ref="CX99" si="1702">AVERAGE(BL99:BL103)*$CL99</f>
        <v>0</v>
      </c>
      <c r="CY99" s="159">
        <f t="shared" ref="CY99" si="1703">AVERAGE(BM99:BM103)*$CL99</f>
        <v>0</v>
      </c>
      <c r="CZ99" s="157">
        <f t="shared" ref="CZ99" si="1704">AVERAGE(BN99:BN103)*$CL99</f>
        <v>0</v>
      </c>
      <c r="DA99" s="158">
        <f t="shared" ref="DA99" si="1705">AVERAGE(BO99:BO103)*$CL99</f>
        <v>0</v>
      </c>
      <c r="DB99" s="158">
        <f t="shared" ref="DB99" si="1706">AVERAGE(BP99:BP103)*$CL99</f>
        <v>0</v>
      </c>
      <c r="DC99" s="158">
        <f t="shared" ref="DC99" si="1707">AVERAGE(BQ99:BQ103)*$CL99</f>
        <v>0</v>
      </c>
      <c r="DD99" s="158">
        <f t="shared" ref="DD99" si="1708">AVERAGE(BR99:BR103)*$CL99</f>
        <v>0</v>
      </c>
      <c r="DE99" s="159">
        <f t="shared" ref="DE99" si="1709">AVERAGE(BS99:BS103)*$CL99</f>
        <v>0</v>
      </c>
      <c r="DF99" s="157">
        <f t="shared" ref="DF99" si="1710">AVERAGE(BT99:BT103)*$CL99</f>
        <v>0</v>
      </c>
      <c r="DG99" s="158">
        <f t="shared" ref="DG99" si="1711">AVERAGE(BU99:BU103)*$CL99</f>
        <v>0</v>
      </c>
      <c r="DH99" s="158">
        <f t="shared" ref="DH99" si="1712">AVERAGE(BV99:BV103)*$CL99</f>
        <v>0</v>
      </c>
      <c r="DI99" s="158">
        <f t="shared" ref="DI99" si="1713">AVERAGE(BW99:BW103)*$CL99</f>
        <v>0</v>
      </c>
      <c r="DJ99" s="159">
        <f t="shared" ref="DJ99" si="1714">AVERAGE(BX99:BX103)*$CL99</f>
        <v>0</v>
      </c>
      <c r="DK99" s="157">
        <f t="shared" ref="DK99" si="1715">AVERAGE(BY99:BY103)*$CL99</f>
        <v>0</v>
      </c>
      <c r="DL99" s="158">
        <f t="shared" ref="DL99" si="1716">AVERAGE(BZ99:BZ103)*$CL99</f>
        <v>0</v>
      </c>
      <c r="DM99" s="158">
        <f t="shared" ref="DM99" si="1717">AVERAGE(CA99:CA103)*$CL99</f>
        <v>0</v>
      </c>
      <c r="DN99" s="158">
        <f t="shared" ref="DN99" si="1718">AVERAGE(CB99:CB103)*$CL99</f>
        <v>0</v>
      </c>
      <c r="DO99" s="158">
        <f t="shared" ref="DO99" si="1719">AVERAGE(CC99:CC103)*$CL99</f>
        <v>0</v>
      </c>
      <c r="DP99" s="158">
        <f t="shared" ref="DP99" si="1720">AVERAGE(CD99:CD103)*$CL99</f>
        <v>0</v>
      </c>
      <c r="DQ99" s="158">
        <f t="shared" ref="DQ99" si="1721">AVERAGE(CE99:CE103)*$CL99</f>
        <v>0</v>
      </c>
      <c r="DR99" s="158">
        <f t="shared" ref="DR99" si="1722">AVERAGE(CF99:CF103)*$CL99</f>
        <v>0</v>
      </c>
      <c r="DS99" s="158">
        <f t="shared" ref="DS99" si="1723">AVERAGE(CG99:CG103)*$CL99</f>
        <v>0</v>
      </c>
      <c r="DT99" s="158">
        <f t="shared" ref="DT99" si="1724">AVERAGE(CH99:CH103)*$CL99</f>
        <v>0</v>
      </c>
      <c r="DU99" s="158">
        <f t="shared" ref="DU99" si="1725">AVERAGE(CI99:CI103)*$CL99</f>
        <v>0</v>
      </c>
      <c r="DV99" s="159">
        <f t="shared" ref="DV99" si="1726">AVERAGE(CJ99:CJ103)*$CL99</f>
        <v>0</v>
      </c>
      <c r="DX99" s="138">
        <f t="shared" ref="DX99" si="1727">P99/$E99</f>
        <v>0</v>
      </c>
      <c r="DY99" s="34">
        <f t="shared" ref="DY99" si="1728">Q99/$E99</f>
        <v>0</v>
      </c>
      <c r="DZ99" s="34">
        <f t="shared" ref="DZ99" si="1729">R99/$E99</f>
        <v>0</v>
      </c>
      <c r="EA99" s="34">
        <f t="shared" ref="EA99" si="1730">S99/$E99</f>
        <v>0</v>
      </c>
      <c r="EB99" s="34">
        <f t="shared" ref="EB99" si="1731">T99/$E99</f>
        <v>0</v>
      </c>
      <c r="EC99" s="34">
        <f t="shared" ref="EC99" si="1732">U99/$E99</f>
        <v>0</v>
      </c>
      <c r="ED99" s="34">
        <f t="shared" ref="ED99" si="1733">V99/$E99</f>
        <v>9.852216748768472E-2</v>
      </c>
      <c r="EE99" s="139">
        <f t="shared" ref="EE99" si="1734">W99/$E99</f>
        <v>0</v>
      </c>
      <c r="EF99" s="138">
        <f t="shared" ref="EF99" si="1735">X99/$E99</f>
        <v>0</v>
      </c>
      <c r="EG99" s="34">
        <f t="shared" ref="EG99" si="1736">Y99/$E99</f>
        <v>0</v>
      </c>
      <c r="EH99" s="34">
        <f t="shared" ref="EH99" si="1737">Z99/$E99</f>
        <v>0</v>
      </c>
      <c r="EI99" s="139">
        <f t="shared" ref="EI99" si="1738">AA99/$E99</f>
        <v>0</v>
      </c>
      <c r="EJ99" s="138">
        <f t="shared" ref="EJ99" si="1739">AB99/$E99</f>
        <v>0</v>
      </c>
      <c r="EK99" s="34">
        <f t="shared" ref="EK99" si="1740">AC99/$E99</f>
        <v>0</v>
      </c>
      <c r="EL99" s="34">
        <f t="shared" ref="EL99" si="1741">AD99/$E99</f>
        <v>0</v>
      </c>
      <c r="EM99" s="34">
        <f t="shared" ref="EM99" si="1742">AE99/$E99</f>
        <v>0</v>
      </c>
      <c r="EN99" s="34">
        <f t="shared" ref="EN99" si="1743">AF99/$E99</f>
        <v>0</v>
      </c>
      <c r="EO99" s="139">
        <f t="shared" ref="EO99" si="1744">AG99/$E99</f>
        <v>0</v>
      </c>
      <c r="EP99" s="138">
        <f t="shared" ref="EP99" si="1745">AH99/$E99</f>
        <v>0</v>
      </c>
      <c r="EQ99" s="34">
        <f t="shared" ref="EQ99" si="1746">AI99/$E99</f>
        <v>0</v>
      </c>
      <c r="ER99" s="34">
        <f t="shared" ref="ER99" si="1747">AJ99/$E99</f>
        <v>0</v>
      </c>
      <c r="ES99" s="34">
        <f t="shared" ref="ES99" si="1748">AK99/$E99</f>
        <v>0</v>
      </c>
      <c r="ET99" s="139">
        <f t="shared" ref="ET99" si="1749">AL99/$E99</f>
        <v>0</v>
      </c>
      <c r="EU99" s="138">
        <f t="shared" ref="EU99" si="1750">AM99/$E99</f>
        <v>0</v>
      </c>
      <c r="EV99" s="34">
        <f t="shared" ref="EV99" si="1751">AN99/$E99</f>
        <v>0</v>
      </c>
      <c r="EW99" s="34">
        <f t="shared" ref="EW99" si="1752">AO99/$E99</f>
        <v>0</v>
      </c>
      <c r="EX99" s="34">
        <f t="shared" ref="EX99" si="1753">AP99/$E99</f>
        <v>0</v>
      </c>
      <c r="EY99" s="34">
        <f t="shared" ref="EY99" si="1754">AQ99/$E99</f>
        <v>0</v>
      </c>
      <c r="EZ99" s="34">
        <f t="shared" ref="EZ99" si="1755">AR99/$E99</f>
        <v>0</v>
      </c>
      <c r="FA99" s="34">
        <f t="shared" ref="FA99" si="1756">AS99/$E99</f>
        <v>0</v>
      </c>
      <c r="FB99" s="34">
        <f t="shared" ref="FB99" si="1757">AT99/$E99</f>
        <v>0</v>
      </c>
      <c r="FC99" s="34">
        <f t="shared" ref="FC99" si="1758">AU99/$E99</f>
        <v>0</v>
      </c>
      <c r="FD99" s="34">
        <f t="shared" ref="FD99" si="1759">AV99/$E99</f>
        <v>0</v>
      </c>
      <c r="FE99" s="34">
        <f t="shared" ref="FE99" si="1760">AY99/$E99</f>
        <v>0</v>
      </c>
      <c r="FF99" s="139">
        <f t="shared" ref="FF99" si="1761">AZ99/$E99</f>
        <v>0</v>
      </c>
    </row>
    <row r="100" spans="2:162" x14ac:dyDescent="0.25">
      <c r="B100" s="127">
        <f t="shared" ref="B100:B105" si="1762">B99+1</f>
        <v>45573</v>
      </c>
      <c r="C100" s="266"/>
      <c r="D100" s="53">
        <v>14</v>
      </c>
      <c r="E100" s="129">
        <v>22.97</v>
      </c>
      <c r="F100" s="25"/>
      <c r="G100" s="25"/>
      <c r="H100" s="150">
        <v>6</v>
      </c>
      <c r="I100" s="24">
        <v>3</v>
      </c>
      <c r="J100" s="151">
        <v>1</v>
      </c>
      <c r="K100" s="151"/>
      <c r="L100" s="152">
        <v>12.2</v>
      </c>
      <c r="M100" s="182">
        <f t="shared" ref="M100" si="1763">H100/I100*K100*L100*1.5</f>
        <v>0</v>
      </c>
      <c r="N100" s="183">
        <f t="shared" ref="N100" si="1764">H100/I100*J100*L100*N$4</f>
        <v>26.84</v>
      </c>
      <c r="O100" s="25"/>
      <c r="P100" s="95"/>
      <c r="Q100" s="41"/>
      <c r="R100" s="41"/>
      <c r="S100" s="41"/>
      <c r="T100" s="41"/>
      <c r="U100" s="41"/>
      <c r="V100" s="41"/>
      <c r="W100" s="42"/>
      <c r="X100" s="95"/>
      <c r="Y100" s="41"/>
      <c r="Z100" s="41"/>
      <c r="AA100" s="42"/>
      <c r="AB100" s="95"/>
      <c r="AC100" s="41"/>
      <c r="AD100" s="41"/>
      <c r="AE100" s="41"/>
      <c r="AF100" s="41"/>
      <c r="AG100" s="42"/>
      <c r="AH100" s="95"/>
      <c r="AI100" s="41"/>
      <c r="AJ100" s="41"/>
      <c r="AK100" s="41"/>
      <c r="AL100" s="42"/>
      <c r="AM100" s="95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2"/>
      <c r="BB100" s="157">
        <f t="shared" ref="BB100" si="1765">$N100*DX100</f>
        <v>0</v>
      </c>
      <c r="BC100" s="158">
        <f t="shared" ref="BC100" si="1766">$N100*DY100</f>
        <v>0</v>
      </c>
      <c r="BD100" s="158">
        <f t="shared" ref="BD100" si="1767">$N100*DZ100</f>
        <v>0</v>
      </c>
      <c r="BE100" s="158">
        <f t="shared" ref="BE100" si="1768">$N100*EA100</f>
        <v>0</v>
      </c>
      <c r="BF100" s="158">
        <f t="shared" ref="BF100" si="1769">$N100*EB100</f>
        <v>0</v>
      </c>
      <c r="BG100" s="158">
        <f t="shared" ref="BG100" si="1770">$N100*EC100</f>
        <v>0</v>
      </c>
      <c r="BH100" s="158">
        <f t="shared" ref="BH100" si="1771">$N100*ED100</f>
        <v>0</v>
      </c>
      <c r="BI100" s="159">
        <f t="shared" ref="BI100" si="1772">$N100*EE100</f>
        <v>0</v>
      </c>
      <c r="BJ100" s="157">
        <f t="shared" ref="BJ100" si="1773">$N100*EF100</f>
        <v>0</v>
      </c>
      <c r="BK100" s="158">
        <f t="shared" ref="BK100" si="1774">$N100*EG100</f>
        <v>0</v>
      </c>
      <c r="BL100" s="158">
        <f t="shared" ref="BL100" si="1775">$N100*EH100</f>
        <v>0</v>
      </c>
      <c r="BM100" s="159">
        <f t="shared" ref="BM100" si="1776">$N100*EI100</f>
        <v>0</v>
      </c>
      <c r="BN100" s="157">
        <f t="shared" ref="BN100" si="1777">$N100*EJ100</f>
        <v>0</v>
      </c>
      <c r="BO100" s="158">
        <f t="shared" ref="BO100" si="1778">$N100*EK100</f>
        <v>0</v>
      </c>
      <c r="BP100" s="158">
        <f t="shared" ref="BP100" si="1779">$N100*EL100</f>
        <v>0</v>
      </c>
      <c r="BQ100" s="158">
        <f t="shared" ref="BQ100" si="1780">$N100*EM100</f>
        <v>0</v>
      </c>
      <c r="BR100" s="158">
        <f t="shared" ref="BR100" si="1781">$N100*EN100</f>
        <v>0</v>
      </c>
      <c r="BS100" s="159">
        <f t="shared" ref="BS100" si="1782">$N100*EO100</f>
        <v>0</v>
      </c>
      <c r="BT100" s="157">
        <f t="shared" ref="BT100" si="1783">$N100*EP100</f>
        <v>0</v>
      </c>
      <c r="BU100" s="158">
        <f t="shared" ref="BU100" si="1784">$N100*EQ100</f>
        <v>0</v>
      </c>
      <c r="BV100" s="158">
        <f t="shared" ref="BV100" si="1785">$N100*ER100</f>
        <v>0</v>
      </c>
      <c r="BW100" s="158">
        <f t="shared" ref="BW100" si="1786">$N100*ES100</f>
        <v>0</v>
      </c>
      <c r="BX100" s="159">
        <f t="shared" ref="BX100" si="1787">$N100*ET100</f>
        <v>0</v>
      </c>
      <c r="BY100" s="157">
        <f t="shared" ref="BY100" si="1788">$N100*EU100</f>
        <v>0</v>
      </c>
      <c r="BZ100" s="158">
        <f t="shared" ref="BZ100" si="1789">$N100*EV100</f>
        <v>0</v>
      </c>
      <c r="CA100" s="158">
        <f t="shared" ref="CA100" si="1790">$N100*EW100</f>
        <v>0</v>
      </c>
      <c r="CB100" s="158">
        <f t="shared" ref="CB100" si="1791">$N100*EX100</f>
        <v>0</v>
      </c>
      <c r="CC100" s="158">
        <f t="shared" ref="CC100" si="1792">$N100*EY100</f>
        <v>0</v>
      </c>
      <c r="CD100" s="158">
        <f t="shared" ref="CD100" si="1793">$N100*EZ100</f>
        <v>0</v>
      </c>
      <c r="CE100" s="158">
        <f t="shared" ref="CE100" si="1794">$N100*FA100</f>
        <v>0</v>
      </c>
      <c r="CF100" s="158">
        <f t="shared" ref="CF100" si="1795">$N100*FB100</f>
        <v>0</v>
      </c>
      <c r="CG100" s="158">
        <f t="shared" ref="CG100" si="1796">$N100*FC100</f>
        <v>0</v>
      </c>
      <c r="CH100" s="158">
        <f t="shared" ref="CH100" si="1797">$N100*FD100</f>
        <v>0</v>
      </c>
      <c r="CI100" s="158">
        <f t="shared" ref="CI100" si="1798">$N100*FE100</f>
        <v>0</v>
      </c>
      <c r="CJ100" s="159">
        <f t="shared" ref="CJ100" si="1799">$N100*FF100</f>
        <v>0</v>
      </c>
      <c r="CL100" s="36"/>
      <c r="CN100" s="95"/>
      <c r="CO100" s="41"/>
      <c r="CP100" s="41"/>
      <c r="CQ100" s="41"/>
      <c r="CR100" s="41"/>
      <c r="CS100" s="41"/>
      <c r="CT100" s="41"/>
      <c r="CU100" s="42"/>
      <c r="CV100" s="95"/>
      <c r="CW100" s="41"/>
      <c r="CX100" s="41"/>
      <c r="CY100" s="42"/>
      <c r="CZ100" s="95"/>
      <c r="DA100" s="41"/>
      <c r="DB100" s="41"/>
      <c r="DC100" s="41"/>
      <c r="DD100" s="41"/>
      <c r="DE100" s="42"/>
      <c r="DF100" s="95"/>
      <c r="DG100" s="41"/>
      <c r="DH100" s="41"/>
      <c r="DI100" s="41"/>
      <c r="DJ100" s="42"/>
      <c r="DK100" s="95"/>
      <c r="DL100" s="41"/>
      <c r="DM100" s="41"/>
      <c r="DN100" s="41"/>
      <c r="DO100" s="41"/>
      <c r="DP100" s="41"/>
      <c r="DQ100" s="41"/>
      <c r="DR100" s="41"/>
      <c r="DS100" s="41"/>
      <c r="DT100" s="41"/>
      <c r="DU100" s="41"/>
      <c r="DV100" s="42"/>
      <c r="DX100" s="138">
        <f t="shared" ref="DX100" si="1800">P100/$E100</f>
        <v>0</v>
      </c>
      <c r="DY100" s="34">
        <f t="shared" ref="DY100" si="1801">Q100/$E100</f>
        <v>0</v>
      </c>
      <c r="DZ100" s="34">
        <f t="shared" ref="DZ100" si="1802">R100/$E100</f>
        <v>0</v>
      </c>
      <c r="EA100" s="34">
        <f t="shared" ref="EA100" si="1803">S100/$E100</f>
        <v>0</v>
      </c>
      <c r="EB100" s="34">
        <f t="shared" ref="EB100" si="1804">T100/$E100</f>
        <v>0</v>
      </c>
      <c r="EC100" s="34">
        <f t="shared" ref="EC100" si="1805">U100/$E100</f>
        <v>0</v>
      </c>
      <c r="ED100" s="34">
        <f t="shared" ref="ED100" si="1806">V100/$E100</f>
        <v>0</v>
      </c>
      <c r="EE100" s="139">
        <f t="shared" ref="EE100" si="1807">W100/$E100</f>
        <v>0</v>
      </c>
      <c r="EF100" s="138">
        <f t="shared" ref="EF100" si="1808">X100/$E100</f>
        <v>0</v>
      </c>
      <c r="EG100" s="34">
        <f t="shared" ref="EG100" si="1809">Y100/$E100</f>
        <v>0</v>
      </c>
      <c r="EH100" s="34">
        <f t="shared" ref="EH100" si="1810">Z100/$E100</f>
        <v>0</v>
      </c>
      <c r="EI100" s="139">
        <f t="shared" ref="EI100" si="1811">AA100/$E100</f>
        <v>0</v>
      </c>
      <c r="EJ100" s="138">
        <f t="shared" ref="EJ100" si="1812">AB100/$E100</f>
        <v>0</v>
      </c>
      <c r="EK100" s="34">
        <f t="shared" ref="EK100" si="1813">AC100/$E100</f>
        <v>0</v>
      </c>
      <c r="EL100" s="34">
        <f t="shared" ref="EL100" si="1814">AD100/$E100</f>
        <v>0</v>
      </c>
      <c r="EM100" s="34">
        <f t="shared" ref="EM100" si="1815">AE100/$E100</f>
        <v>0</v>
      </c>
      <c r="EN100" s="34">
        <f t="shared" ref="EN100" si="1816">AF100/$E100</f>
        <v>0</v>
      </c>
      <c r="EO100" s="139">
        <f t="shared" ref="EO100" si="1817">AG100/$E100</f>
        <v>0</v>
      </c>
      <c r="EP100" s="138">
        <f t="shared" ref="EP100" si="1818">AH100/$E100</f>
        <v>0</v>
      </c>
      <c r="EQ100" s="34">
        <f t="shared" ref="EQ100" si="1819">AI100/$E100</f>
        <v>0</v>
      </c>
      <c r="ER100" s="34">
        <f t="shared" ref="ER100" si="1820">AJ100/$E100</f>
        <v>0</v>
      </c>
      <c r="ES100" s="34">
        <f t="shared" ref="ES100" si="1821">AK100/$E100</f>
        <v>0</v>
      </c>
      <c r="ET100" s="139">
        <f t="shared" ref="ET100" si="1822">AL100/$E100</f>
        <v>0</v>
      </c>
      <c r="EU100" s="138">
        <f t="shared" ref="EU100" si="1823">AM100/$E100</f>
        <v>0</v>
      </c>
      <c r="EV100" s="34">
        <f t="shared" ref="EV100" si="1824">AN100/$E100</f>
        <v>0</v>
      </c>
      <c r="EW100" s="34">
        <f t="shared" ref="EW100" si="1825">AO100/$E100</f>
        <v>0</v>
      </c>
      <c r="EX100" s="34">
        <f t="shared" ref="EX100" si="1826">AP100/$E100</f>
        <v>0</v>
      </c>
      <c r="EY100" s="34">
        <f t="shared" ref="EY100" si="1827">AQ100/$E100</f>
        <v>0</v>
      </c>
      <c r="EZ100" s="34">
        <f t="shared" ref="EZ100" si="1828">AR100/$E100</f>
        <v>0</v>
      </c>
      <c r="FA100" s="34">
        <f t="shared" ref="FA100" si="1829">AS100/$E100</f>
        <v>0</v>
      </c>
      <c r="FB100" s="34">
        <f t="shared" ref="FB100" si="1830">AT100/$E100</f>
        <v>0</v>
      </c>
      <c r="FC100" s="34">
        <f t="shared" ref="FC100" si="1831">AU100/$E100</f>
        <v>0</v>
      </c>
      <c r="FD100" s="34">
        <f t="shared" ref="FD100" si="1832">AV100/$E100</f>
        <v>0</v>
      </c>
      <c r="FE100" s="34">
        <f t="shared" ref="FE100" si="1833">AY100/$E100</f>
        <v>0</v>
      </c>
      <c r="FF100" s="139">
        <f t="shared" ref="FF100" si="1834">AZ100/$E100</f>
        <v>0</v>
      </c>
    </row>
    <row r="101" spans="2:162" x14ac:dyDescent="0.25">
      <c r="B101" s="127">
        <f t="shared" si="1762"/>
        <v>45574</v>
      </c>
      <c r="C101" s="266"/>
      <c r="D101" s="53">
        <v>5</v>
      </c>
      <c r="E101" s="129">
        <v>6.97</v>
      </c>
      <c r="F101" s="25"/>
      <c r="G101" s="25"/>
      <c r="H101" s="150">
        <v>5</v>
      </c>
      <c r="I101" s="24">
        <v>3</v>
      </c>
      <c r="J101" s="151">
        <f>3/4</f>
        <v>0.75</v>
      </c>
      <c r="K101" s="151"/>
      <c r="L101" s="152">
        <v>12.2</v>
      </c>
      <c r="M101" s="152">
        <f t="shared" si="1656"/>
        <v>0</v>
      </c>
      <c r="N101" s="153">
        <f t="shared" si="1657"/>
        <v>16.775000000000002</v>
      </c>
      <c r="O101" s="25"/>
      <c r="P101" s="95"/>
      <c r="Q101" s="41"/>
      <c r="R101" s="41"/>
      <c r="S101" s="41"/>
      <c r="T101" s="41"/>
      <c r="U101" s="41"/>
      <c r="V101" s="41"/>
      <c r="W101" s="42"/>
      <c r="X101" s="95"/>
      <c r="Y101" s="41"/>
      <c r="Z101" s="41"/>
      <c r="AA101" s="42"/>
      <c r="AB101" s="95"/>
      <c r="AC101" s="41"/>
      <c r="AD101" s="41"/>
      <c r="AE101" s="41"/>
      <c r="AF101" s="41"/>
      <c r="AG101" s="42"/>
      <c r="AH101" s="95"/>
      <c r="AI101" s="41"/>
      <c r="AJ101" s="41"/>
      <c r="AK101" s="41"/>
      <c r="AL101" s="42"/>
      <c r="AM101" s="95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2"/>
      <c r="BB101" s="95">
        <f t="shared" si="1658"/>
        <v>0</v>
      </c>
      <c r="BC101" s="41">
        <f t="shared" si="1659"/>
        <v>0</v>
      </c>
      <c r="BD101" s="41">
        <f t="shared" si="1660"/>
        <v>0</v>
      </c>
      <c r="BE101" s="41">
        <f t="shared" si="1661"/>
        <v>0</v>
      </c>
      <c r="BF101" s="41">
        <f t="shared" si="1662"/>
        <v>0</v>
      </c>
      <c r="BG101" s="41">
        <f t="shared" si="1663"/>
        <v>0</v>
      </c>
      <c r="BH101" s="41">
        <f t="shared" si="1664"/>
        <v>0</v>
      </c>
      <c r="BI101" s="42">
        <f t="shared" si="1665"/>
        <v>0</v>
      </c>
      <c r="BJ101" s="95">
        <f t="shared" si="1666"/>
        <v>0</v>
      </c>
      <c r="BK101" s="41">
        <f t="shared" si="1667"/>
        <v>0</v>
      </c>
      <c r="BL101" s="41">
        <f t="shared" si="1668"/>
        <v>0</v>
      </c>
      <c r="BM101" s="42">
        <f t="shared" si="1669"/>
        <v>0</v>
      </c>
      <c r="BN101" s="95">
        <f t="shared" si="1670"/>
        <v>0</v>
      </c>
      <c r="BO101" s="41">
        <f t="shared" si="1671"/>
        <v>0</v>
      </c>
      <c r="BP101" s="41">
        <f t="shared" si="1672"/>
        <v>0</v>
      </c>
      <c r="BQ101" s="41">
        <f t="shared" si="1673"/>
        <v>0</v>
      </c>
      <c r="BR101" s="41">
        <f t="shared" si="1674"/>
        <v>0</v>
      </c>
      <c r="BS101" s="42">
        <f t="shared" si="1675"/>
        <v>0</v>
      </c>
      <c r="BT101" s="95">
        <f t="shared" si="1676"/>
        <v>0</v>
      </c>
      <c r="BU101" s="41">
        <f t="shared" si="1677"/>
        <v>0</v>
      </c>
      <c r="BV101" s="41">
        <f t="shared" si="1678"/>
        <v>0</v>
      </c>
      <c r="BW101" s="41">
        <f t="shared" si="1679"/>
        <v>0</v>
      </c>
      <c r="BX101" s="42">
        <f t="shared" si="1680"/>
        <v>0</v>
      </c>
      <c r="BY101" s="95">
        <f t="shared" si="1681"/>
        <v>0</v>
      </c>
      <c r="BZ101" s="41">
        <f t="shared" si="1682"/>
        <v>0</v>
      </c>
      <c r="CA101" s="41">
        <f t="shared" si="1683"/>
        <v>0</v>
      </c>
      <c r="CB101" s="41">
        <f t="shared" si="1684"/>
        <v>0</v>
      </c>
      <c r="CC101" s="41">
        <f t="shared" si="1685"/>
        <v>0</v>
      </c>
      <c r="CD101" s="41">
        <f t="shared" si="1686"/>
        <v>0</v>
      </c>
      <c r="CE101" s="41">
        <f t="shared" si="1687"/>
        <v>0</v>
      </c>
      <c r="CF101" s="41">
        <f t="shared" si="1688"/>
        <v>0</v>
      </c>
      <c r="CG101" s="41">
        <f t="shared" si="1689"/>
        <v>0</v>
      </c>
      <c r="CH101" s="41">
        <f t="shared" si="1690"/>
        <v>0</v>
      </c>
      <c r="CI101" s="41">
        <f t="shared" si="1691"/>
        <v>0</v>
      </c>
      <c r="CJ101" s="42">
        <f t="shared" si="1692"/>
        <v>0</v>
      </c>
      <c r="CL101" s="36"/>
      <c r="CN101" s="95"/>
      <c r="CO101" s="41"/>
      <c r="CP101" s="41"/>
      <c r="CQ101" s="41"/>
      <c r="CR101" s="41"/>
      <c r="CS101" s="41"/>
      <c r="CT101" s="41"/>
      <c r="CU101" s="42"/>
      <c r="CV101" s="95"/>
      <c r="CW101" s="41"/>
      <c r="CX101" s="41"/>
      <c r="CY101" s="42"/>
      <c r="CZ101" s="95"/>
      <c r="DA101" s="41"/>
      <c r="DB101" s="41"/>
      <c r="DC101" s="41"/>
      <c r="DD101" s="41"/>
      <c r="DE101" s="42"/>
      <c r="DF101" s="95"/>
      <c r="DG101" s="41"/>
      <c r="DH101" s="41"/>
      <c r="DI101" s="41"/>
      <c r="DJ101" s="42"/>
      <c r="DK101" s="95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2"/>
      <c r="DX101" s="138">
        <f t="shared" ref="DX101" si="1835">P101/$E101</f>
        <v>0</v>
      </c>
      <c r="DY101" s="34">
        <f t="shared" ref="DY101" si="1836">Q101/$E101</f>
        <v>0</v>
      </c>
      <c r="DZ101" s="34">
        <f t="shared" ref="DZ101" si="1837">R101/$E101</f>
        <v>0</v>
      </c>
      <c r="EA101" s="34">
        <f t="shared" ref="EA101" si="1838">S101/$E101</f>
        <v>0</v>
      </c>
      <c r="EB101" s="34">
        <f t="shared" ref="EB101" si="1839">T101/$E101</f>
        <v>0</v>
      </c>
      <c r="EC101" s="34">
        <f t="shared" ref="EC101" si="1840">U101/$E101</f>
        <v>0</v>
      </c>
      <c r="ED101" s="34">
        <f t="shared" ref="ED101" si="1841">V101/$E101</f>
        <v>0</v>
      </c>
      <c r="EE101" s="139">
        <f t="shared" ref="EE101" si="1842">W101/$E101</f>
        <v>0</v>
      </c>
      <c r="EF101" s="138">
        <f t="shared" ref="EF101" si="1843">X101/$E101</f>
        <v>0</v>
      </c>
      <c r="EG101" s="34">
        <f t="shared" ref="EG101" si="1844">Y101/$E101</f>
        <v>0</v>
      </c>
      <c r="EH101" s="34">
        <f t="shared" ref="EH101" si="1845">Z101/$E101</f>
        <v>0</v>
      </c>
      <c r="EI101" s="139">
        <f t="shared" ref="EI101" si="1846">AA101/$E101</f>
        <v>0</v>
      </c>
      <c r="EJ101" s="138">
        <f t="shared" ref="EJ101" si="1847">AB101/$E101</f>
        <v>0</v>
      </c>
      <c r="EK101" s="34">
        <f t="shared" ref="EK101" si="1848">AC101/$E101</f>
        <v>0</v>
      </c>
      <c r="EL101" s="34">
        <f t="shared" ref="EL101" si="1849">AD101/$E101</f>
        <v>0</v>
      </c>
      <c r="EM101" s="34">
        <f t="shared" ref="EM101" si="1850">AE101/$E101</f>
        <v>0</v>
      </c>
      <c r="EN101" s="34">
        <f t="shared" ref="EN101" si="1851">AF101/$E101</f>
        <v>0</v>
      </c>
      <c r="EO101" s="139">
        <f t="shared" ref="EO101" si="1852">AG101/$E101</f>
        <v>0</v>
      </c>
      <c r="EP101" s="138">
        <f t="shared" ref="EP101" si="1853">AH101/$E101</f>
        <v>0</v>
      </c>
      <c r="EQ101" s="34">
        <f t="shared" ref="EQ101" si="1854">AI101/$E101</f>
        <v>0</v>
      </c>
      <c r="ER101" s="34">
        <f t="shared" ref="ER101" si="1855">AJ101/$E101</f>
        <v>0</v>
      </c>
      <c r="ES101" s="34">
        <f t="shared" ref="ES101" si="1856">AK101/$E101</f>
        <v>0</v>
      </c>
      <c r="ET101" s="139">
        <f t="shared" ref="ET101" si="1857">AL101/$E101</f>
        <v>0</v>
      </c>
      <c r="EU101" s="138">
        <f t="shared" ref="EU101" si="1858">AM101/$E101</f>
        <v>0</v>
      </c>
      <c r="EV101" s="34">
        <f t="shared" ref="EV101" si="1859">AN101/$E101</f>
        <v>0</v>
      </c>
      <c r="EW101" s="34">
        <f t="shared" ref="EW101" si="1860">AO101/$E101</f>
        <v>0</v>
      </c>
      <c r="EX101" s="34">
        <f t="shared" ref="EX101" si="1861">AP101/$E101</f>
        <v>0</v>
      </c>
      <c r="EY101" s="34">
        <f t="shared" ref="EY101" si="1862">AQ101/$E101</f>
        <v>0</v>
      </c>
      <c r="EZ101" s="34">
        <f t="shared" ref="EZ101" si="1863">AR101/$E101</f>
        <v>0</v>
      </c>
      <c r="FA101" s="34">
        <f t="shared" ref="FA101" si="1864">AS101/$E101</f>
        <v>0</v>
      </c>
      <c r="FB101" s="34">
        <f t="shared" ref="FB101" si="1865">AT101/$E101</f>
        <v>0</v>
      </c>
      <c r="FC101" s="34">
        <f t="shared" ref="FC101" si="1866">AU101/$E101</f>
        <v>0</v>
      </c>
      <c r="FD101" s="34">
        <f t="shared" ref="FD101" si="1867">AV101/$E101</f>
        <v>0</v>
      </c>
      <c r="FE101" s="34">
        <f t="shared" ref="FE101" si="1868">AY101/$E101</f>
        <v>0</v>
      </c>
      <c r="FF101" s="139">
        <f t="shared" ref="FF101" si="1869">AZ101/$E101</f>
        <v>0</v>
      </c>
    </row>
    <row r="102" spans="2:162" x14ac:dyDescent="0.25">
      <c r="B102" s="127">
        <f t="shared" si="1762"/>
        <v>45575</v>
      </c>
      <c r="C102" s="266"/>
      <c r="D102" s="53"/>
      <c r="E102" s="129"/>
      <c r="F102" s="25"/>
      <c r="G102" s="25"/>
      <c r="H102" s="150"/>
      <c r="I102" s="24"/>
      <c r="J102" s="151"/>
      <c r="K102" s="151"/>
      <c r="L102" s="152"/>
      <c r="M102" s="152"/>
      <c r="N102" s="153"/>
      <c r="O102" s="25"/>
      <c r="P102" s="95"/>
      <c r="Q102" s="41"/>
      <c r="R102" s="41"/>
      <c r="S102" s="41"/>
      <c r="T102" s="41"/>
      <c r="U102" s="41"/>
      <c r="V102" s="41"/>
      <c r="W102" s="42"/>
      <c r="X102" s="95"/>
      <c r="Y102" s="41"/>
      <c r="Z102" s="41"/>
      <c r="AA102" s="42"/>
      <c r="AB102" s="95"/>
      <c r="AC102" s="41"/>
      <c r="AD102" s="41"/>
      <c r="AE102" s="41"/>
      <c r="AF102" s="41"/>
      <c r="AG102" s="42"/>
      <c r="AH102" s="95"/>
      <c r="AI102" s="41"/>
      <c r="AJ102" s="41"/>
      <c r="AK102" s="41"/>
      <c r="AL102" s="42"/>
      <c r="AM102" s="95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2"/>
      <c r="BB102" s="95"/>
      <c r="BC102" s="41"/>
      <c r="BD102" s="41"/>
      <c r="BE102" s="41"/>
      <c r="BF102" s="41"/>
      <c r="BG102" s="41"/>
      <c r="BH102" s="41"/>
      <c r="BI102" s="42"/>
      <c r="BJ102" s="95"/>
      <c r="BK102" s="41"/>
      <c r="BL102" s="41"/>
      <c r="BM102" s="42"/>
      <c r="BN102" s="95"/>
      <c r="BO102" s="41"/>
      <c r="BP102" s="41"/>
      <c r="BQ102" s="41"/>
      <c r="BR102" s="41"/>
      <c r="BS102" s="42"/>
      <c r="BT102" s="95"/>
      <c r="BU102" s="41"/>
      <c r="BV102" s="41"/>
      <c r="BW102" s="41"/>
      <c r="BX102" s="42"/>
      <c r="BY102" s="95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2"/>
      <c r="CL102" s="36"/>
      <c r="CN102" s="95"/>
      <c r="CO102" s="41"/>
      <c r="CP102" s="41"/>
      <c r="CQ102" s="41"/>
      <c r="CR102" s="41"/>
      <c r="CS102" s="41"/>
      <c r="CT102" s="41"/>
      <c r="CU102" s="42"/>
      <c r="CV102" s="95"/>
      <c r="CW102" s="41"/>
      <c r="CX102" s="41"/>
      <c r="CY102" s="42"/>
      <c r="CZ102" s="95"/>
      <c r="DA102" s="41"/>
      <c r="DB102" s="41"/>
      <c r="DC102" s="41"/>
      <c r="DD102" s="41"/>
      <c r="DE102" s="42"/>
      <c r="DF102" s="95"/>
      <c r="DG102" s="41"/>
      <c r="DH102" s="41"/>
      <c r="DI102" s="41"/>
      <c r="DJ102" s="42"/>
      <c r="DK102" s="95"/>
      <c r="DL102" s="41"/>
      <c r="DM102" s="41"/>
      <c r="DN102" s="41"/>
      <c r="DO102" s="41"/>
      <c r="DP102" s="41"/>
      <c r="DQ102" s="41"/>
      <c r="DR102" s="41"/>
      <c r="DS102" s="41"/>
      <c r="DT102" s="41"/>
      <c r="DU102" s="41"/>
      <c r="DV102" s="42"/>
      <c r="DX102" s="138"/>
      <c r="DY102" s="34"/>
      <c r="DZ102" s="34"/>
      <c r="EA102" s="34"/>
      <c r="EB102" s="34"/>
      <c r="EC102" s="34"/>
      <c r="ED102" s="34"/>
      <c r="EE102" s="139"/>
      <c r="EF102" s="138"/>
      <c r="EG102" s="34"/>
      <c r="EH102" s="34"/>
      <c r="EI102" s="139"/>
      <c r="EJ102" s="138"/>
      <c r="EK102" s="34"/>
      <c r="EL102" s="34"/>
      <c r="EM102" s="34"/>
      <c r="EN102" s="34"/>
      <c r="EO102" s="139"/>
      <c r="EP102" s="138"/>
      <c r="EQ102" s="34"/>
      <c r="ER102" s="34"/>
      <c r="ES102" s="34"/>
      <c r="ET102" s="139"/>
      <c r="EU102" s="138"/>
      <c r="EV102" s="34"/>
      <c r="EW102" s="34"/>
      <c r="EX102" s="34"/>
      <c r="EY102" s="34"/>
      <c r="EZ102" s="34"/>
      <c r="FA102" s="34"/>
      <c r="FB102" s="34"/>
      <c r="FC102" s="34"/>
      <c r="FD102" s="34"/>
      <c r="FE102" s="34"/>
      <c r="FF102" s="139"/>
    </row>
    <row r="103" spans="2:162" x14ac:dyDescent="0.25">
      <c r="B103" s="127">
        <f t="shared" si="1762"/>
        <v>45576</v>
      </c>
      <c r="C103" s="266"/>
      <c r="D103" s="53"/>
      <c r="E103" s="129"/>
      <c r="F103" s="25"/>
      <c r="G103" s="25"/>
      <c r="H103" s="150"/>
      <c r="I103" s="24"/>
      <c r="J103" s="151"/>
      <c r="K103" s="151"/>
      <c r="L103" s="152"/>
      <c r="M103" s="152"/>
      <c r="N103" s="153"/>
      <c r="O103" s="25"/>
      <c r="P103" s="95"/>
      <c r="Q103" s="41"/>
      <c r="R103" s="41"/>
      <c r="S103" s="41"/>
      <c r="T103" s="41"/>
      <c r="U103" s="41"/>
      <c r="V103" s="41"/>
      <c r="W103" s="42"/>
      <c r="X103" s="95"/>
      <c r="Y103" s="41"/>
      <c r="Z103" s="41"/>
      <c r="AA103" s="42"/>
      <c r="AB103" s="95"/>
      <c r="AC103" s="41"/>
      <c r="AD103" s="41"/>
      <c r="AE103" s="41"/>
      <c r="AF103" s="41"/>
      <c r="AG103" s="42"/>
      <c r="AH103" s="95"/>
      <c r="AI103" s="41"/>
      <c r="AJ103" s="41"/>
      <c r="AK103" s="41"/>
      <c r="AL103" s="42"/>
      <c r="AM103" s="95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2"/>
      <c r="BB103" s="95"/>
      <c r="BC103" s="41"/>
      <c r="BD103" s="41"/>
      <c r="BE103" s="41"/>
      <c r="BF103" s="41"/>
      <c r="BG103" s="41"/>
      <c r="BH103" s="41"/>
      <c r="BI103" s="42"/>
      <c r="BJ103" s="95"/>
      <c r="BK103" s="41"/>
      <c r="BL103" s="41"/>
      <c r="BM103" s="42"/>
      <c r="BN103" s="95"/>
      <c r="BO103" s="41"/>
      <c r="BP103" s="41"/>
      <c r="BQ103" s="41"/>
      <c r="BR103" s="41"/>
      <c r="BS103" s="42"/>
      <c r="BT103" s="95"/>
      <c r="BU103" s="41"/>
      <c r="BV103" s="41"/>
      <c r="BW103" s="41"/>
      <c r="BX103" s="42"/>
      <c r="BY103" s="95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2"/>
      <c r="CL103" s="36"/>
      <c r="CN103" s="95"/>
      <c r="CO103" s="41"/>
      <c r="CP103" s="41"/>
      <c r="CQ103" s="41"/>
      <c r="CR103" s="41"/>
      <c r="CS103" s="41"/>
      <c r="CT103" s="41"/>
      <c r="CU103" s="42"/>
      <c r="CV103" s="95"/>
      <c r="CW103" s="41"/>
      <c r="CX103" s="41"/>
      <c r="CY103" s="42"/>
      <c r="CZ103" s="95"/>
      <c r="DA103" s="41"/>
      <c r="DB103" s="41"/>
      <c r="DC103" s="41"/>
      <c r="DD103" s="41"/>
      <c r="DE103" s="42"/>
      <c r="DF103" s="95"/>
      <c r="DG103" s="41"/>
      <c r="DH103" s="41"/>
      <c r="DI103" s="41"/>
      <c r="DJ103" s="42"/>
      <c r="DK103" s="95"/>
      <c r="DL103" s="41"/>
      <c r="DM103" s="41"/>
      <c r="DN103" s="41"/>
      <c r="DO103" s="41"/>
      <c r="DP103" s="41"/>
      <c r="DQ103" s="41"/>
      <c r="DR103" s="41"/>
      <c r="DS103" s="41"/>
      <c r="DT103" s="41"/>
      <c r="DU103" s="41"/>
      <c r="DV103" s="42"/>
      <c r="DX103" s="138"/>
      <c r="DY103" s="34"/>
      <c r="DZ103" s="34"/>
      <c r="EA103" s="34"/>
      <c r="EB103" s="34"/>
      <c r="EC103" s="34"/>
      <c r="ED103" s="34"/>
      <c r="EE103" s="139"/>
      <c r="EF103" s="138"/>
      <c r="EG103" s="34"/>
      <c r="EH103" s="34"/>
      <c r="EI103" s="139"/>
      <c r="EJ103" s="138"/>
      <c r="EK103" s="34"/>
      <c r="EL103" s="34"/>
      <c r="EM103" s="34"/>
      <c r="EN103" s="34"/>
      <c r="EO103" s="139"/>
      <c r="EP103" s="138"/>
      <c r="EQ103" s="34"/>
      <c r="ER103" s="34"/>
      <c r="ES103" s="34"/>
      <c r="ET103" s="139"/>
      <c r="EU103" s="138"/>
      <c r="EV103" s="34"/>
      <c r="EW103" s="34"/>
      <c r="EX103" s="34"/>
      <c r="EY103" s="34"/>
      <c r="EZ103" s="34"/>
      <c r="FA103" s="34"/>
      <c r="FB103" s="34"/>
      <c r="FC103" s="34"/>
      <c r="FD103" s="34"/>
      <c r="FE103" s="34"/>
      <c r="FF103" s="139"/>
    </row>
    <row r="104" spans="2:162" x14ac:dyDescent="0.25">
      <c r="B104" s="127">
        <f t="shared" si="1762"/>
        <v>45577</v>
      </c>
      <c r="C104" s="266"/>
      <c r="D104" s="53">
        <v>5</v>
      </c>
      <c r="E104" s="129">
        <v>8.16</v>
      </c>
      <c r="F104" s="25"/>
      <c r="G104" s="25"/>
      <c r="H104" s="150">
        <v>5</v>
      </c>
      <c r="I104" s="24">
        <v>3</v>
      </c>
      <c r="J104" s="151">
        <f>4/8</f>
        <v>0.5</v>
      </c>
      <c r="K104" s="151"/>
      <c r="L104" s="152">
        <v>12</v>
      </c>
      <c r="M104" s="152">
        <f t="shared" si="1656"/>
        <v>0</v>
      </c>
      <c r="N104" s="153">
        <f t="shared" si="1657"/>
        <v>11</v>
      </c>
      <c r="O104" s="25"/>
      <c r="P104" s="95"/>
      <c r="Q104" s="41"/>
      <c r="R104" s="41"/>
      <c r="S104" s="41"/>
      <c r="T104" s="41"/>
      <c r="U104" s="41"/>
      <c r="V104" s="41"/>
      <c r="W104" s="42"/>
      <c r="X104" s="95"/>
      <c r="Y104" s="41"/>
      <c r="Z104" s="41"/>
      <c r="AA104" s="42"/>
      <c r="AB104" s="95"/>
      <c r="AC104" s="41"/>
      <c r="AD104" s="41"/>
      <c r="AE104" s="41"/>
      <c r="AF104" s="41"/>
      <c r="AG104" s="42"/>
      <c r="AH104" s="95"/>
      <c r="AI104" s="41"/>
      <c r="AJ104" s="41"/>
      <c r="AK104" s="41"/>
      <c r="AL104" s="42"/>
      <c r="AM104" s="95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2"/>
      <c r="BB104" s="95">
        <f t="shared" si="1658"/>
        <v>0</v>
      </c>
      <c r="BC104" s="41">
        <f t="shared" si="1659"/>
        <v>0</v>
      </c>
      <c r="BD104" s="41">
        <f t="shared" si="1660"/>
        <v>0</v>
      </c>
      <c r="BE104" s="41">
        <f t="shared" si="1661"/>
        <v>0</v>
      </c>
      <c r="BF104" s="41">
        <f t="shared" si="1662"/>
        <v>0</v>
      </c>
      <c r="BG104" s="41">
        <f t="shared" si="1663"/>
        <v>0</v>
      </c>
      <c r="BH104" s="41">
        <f t="shared" si="1664"/>
        <v>0</v>
      </c>
      <c r="BI104" s="42">
        <f t="shared" si="1665"/>
        <v>0</v>
      </c>
      <c r="BJ104" s="95">
        <f t="shared" si="1666"/>
        <v>0</v>
      </c>
      <c r="BK104" s="41">
        <f t="shared" si="1667"/>
        <v>0</v>
      </c>
      <c r="BL104" s="41">
        <f t="shared" si="1668"/>
        <v>0</v>
      </c>
      <c r="BM104" s="42">
        <f t="shared" si="1669"/>
        <v>0</v>
      </c>
      <c r="BN104" s="95">
        <f t="shared" si="1670"/>
        <v>0</v>
      </c>
      <c r="BO104" s="41">
        <f t="shared" si="1671"/>
        <v>0</v>
      </c>
      <c r="BP104" s="41">
        <f t="shared" si="1672"/>
        <v>0</v>
      </c>
      <c r="BQ104" s="41">
        <f t="shared" si="1673"/>
        <v>0</v>
      </c>
      <c r="BR104" s="41">
        <f t="shared" si="1674"/>
        <v>0</v>
      </c>
      <c r="BS104" s="42">
        <f t="shared" si="1675"/>
        <v>0</v>
      </c>
      <c r="BT104" s="95">
        <f t="shared" si="1676"/>
        <v>0</v>
      </c>
      <c r="BU104" s="41">
        <f t="shared" si="1677"/>
        <v>0</v>
      </c>
      <c r="BV104" s="41">
        <f t="shared" si="1678"/>
        <v>0</v>
      </c>
      <c r="BW104" s="41">
        <f t="shared" si="1679"/>
        <v>0</v>
      </c>
      <c r="BX104" s="42">
        <f t="shared" si="1680"/>
        <v>0</v>
      </c>
      <c r="BY104" s="95">
        <f t="shared" si="1681"/>
        <v>0</v>
      </c>
      <c r="BZ104" s="41">
        <f t="shared" si="1682"/>
        <v>0</v>
      </c>
      <c r="CA104" s="41">
        <f t="shared" si="1683"/>
        <v>0</v>
      </c>
      <c r="CB104" s="41">
        <f t="shared" si="1684"/>
        <v>0</v>
      </c>
      <c r="CC104" s="41">
        <f t="shared" si="1685"/>
        <v>0</v>
      </c>
      <c r="CD104" s="41">
        <f t="shared" si="1686"/>
        <v>0</v>
      </c>
      <c r="CE104" s="41">
        <f t="shared" si="1687"/>
        <v>0</v>
      </c>
      <c r="CF104" s="41">
        <f t="shared" si="1688"/>
        <v>0</v>
      </c>
      <c r="CG104" s="41">
        <f t="shared" si="1689"/>
        <v>0</v>
      </c>
      <c r="CH104" s="41">
        <f t="shared" si="1690"/>
        <v>0</v>
      </c>
      <c r="CI104" s="41">
        <f t="shared" si="1691"/>
        <v>0</v>
      </c>
      <c r="CJ104" s="42">
        <f t="shared" si="1692"/>
        <v>0</v>
      </c>
      <c r="CL104" s="36">
        <v>2</v>
      </c>
      <c r="CN104" s="95">
        <f t="shared" ref="CN104" si="1870">AVERAGE(BB104:BB105)*$CL104</f>
        <v>0</v>
      </c>
      <c r="CO104" s="41">
        <f t="shared" ref="CO104" si="1871">AVERAGE(BC104:BC105)*$CL104</f>
        <v>0</v>
      </c>
      <c r="CP104" s="41">
        <f t="shared" ref="CP104" si="1872">AVERAGE(BD104:BD105)*$CL104</f>
        <v>0</v>
      </c>
      <c r="CQ104" s="41">
        <f t="shared" ref="CQ104" si="1873">AVERAGE(BE104:BE105)*$CL104</f>
        <v>0</v>
      </c>
      <c r="CR104" s="41">
        <f t="shared" ref="CR104" si="1874">AVERAGE(BF104:BF105)*$CL104</f>
        <v>0</v>
      </c>
      <c r="CS104" s="41">
        <f t="shared" ref="CS104" si="1875">AVERAGE(BG104:BG105)*$CL104</f>
        <v>0</v>
      </c>
      <c r="CT104" s="41">
        <f t="shared" ref="CT104" si="1876">AVERAGE(BH104:BH105)*$CL104</f>
        <v>2.9175334323922737</v>
      </c>
      <c r="CU104" s="42">
        <f t="shared" ref="CU104" si="1877">AVERAGE(BI104:BI105)*$CL104</f>
        <v>0</v>
      </c>
      <c r="CV104" s="95">
        <f t="shared" ref="CV104" si="1878">AVERAGE(BJ104:BJ105)*$CL104</f>
        <v>0</v>
      </c>
      <c r="CW104" s="41">
        <f t="shared" ref="CW104" si="1879">AVERAGE(BK104:BK105)*$CL104</f>
        <v>0</v>
      </c>
      <c r="CX104" s="41">
        <f t="shared" ref="CX104" si="1880">AVERAGE(BL104:BL105)*$CL104</f>
        <v>0</v>
      </c>
      <c r="CY104" s="42">
        <f t="shared" ref="CY104" si="1881">AVERAGE(BM104:BM105)*$CL104</f>
        <v>0</v>
      </c>
      <c r="CZ104" s="95">
        <f t="shared" ref="CZ104" si="1882">AVERAGE(BN104:BN105)*$CL104</f>
        <v>0</v>
      </c>
      <c r="DA104" s="41">
        <f t="shared" ref="DA104" si="1883">AVERAGE(BO104:BO105)*$CL104</f>
        <v>0</v>
      </c>
      <c r="DB104" s="41">
        <f t="shared" ref="DB104" si="1884">AVERAGE(BP104:BP105)*$CL104</f>
        <v>0</v>
      </c>
      <c r="DC104" s="41">
        <f t="shared" ref="DC104" si="1885">AVERAGE(BQ104:BQ105)*$CL104</f>
        <v>0</v>
      </c>
      <c r="DD104" s="41">
        <f t="shared" ref="DD104" si="1886">AVERAGE(BR104:BR105)*$CL104</f>
        <v>0</v>
      </c>
      <c r="DE104" s="42">
        <f t="shared" ref="DE104" si="1887">AVERAGE(BS104:BS105)*$CL104</f>
        <v>0</v>
      </c>
      <c r="DF104" s="95">
        <f t="shared" ref="DF104" si="1888">AVERAGE(BT104:BT105)*$CL104</f>
        <v>0</v>
      </c>
      <c r="DG104" s="41">
        <f t="shared" ref="DG104" si="1889">AVERAGE(BU104:BU105)*$CL104</f>
        <v>0</v>
      </c>
      <c r="DH104" s="41">
        <f t="shared" ref="DH104" si="1890">AVERAGE(BV104:BV105)*$CL104</f>
        <v>0</v>
      </c>
      <c r="DI104" s="41">
        <f t="shared" ref="DI104" si="1891">AVERAGE(BW104:BW105)*$CL104</f>
        <v>0</v>
      </c>
      <c r="DJ104" s="42">
        <f t="shared" ref="DJ104" si="1892">AVERAGE(BX104:BX105)*$CL104</f>
        <v>0</v>
      </c>
      <c r="DK104" s="95">
        <f t="shared" ref="DK104" si="1893">AVERAGE(BY104:BY105)*$CL104</f>
        <v>0</v>
      </c>
      <c r="DL104" s="41">
        <f t="shared" ref="DL104" si="1894">AVERAGE(BZ104:BZ105)*$CL104</f>
        <v>0</v>
      </c>
      <c r="DM104" s="41">
        <f t="shared" ref="DM104" si="1895">AVERAGE(CA104:CA105)*$CL104</f>
        <v>0</v>
      </c>
      <c r="DN104" s="41">
        <f t="shared" ref="DN104" si="1896">AVERAGE(CB104:CB105)*$CL104</f>
        <v>0</v>
      </c>
      <c r="DO104" s="41">
        <f t="shared" ref="DO104" si="1897">AVERAGE(CC104:CC105)*$CL104</f>
        <v>0</v>
      </c>
      <c r="DP104" s="41">
        <f t="shared" ref="DP104" si="1898">AVERAGE(CD104:CD105)*$CL104</f>
        <v>0</v>
      </c>
      <c r="DQ104" s="41">
        <f t="shared" ref="DQ104" si="1899">AVERAGE(CE104:CE105)*$CL104</f>
        <v>0</v>
      </c>
      <c r="DR104" s="41">
        <f t="shared" ref="DR104" si="1900">AVERAGE(CF104:CF105)*$CL104</f>
        <v>0</v>
      </c>
      <c r="DS104" s="41">
        <f t="shared" ref="DS104" si="1901">AVERAGE(CG104:CG105)*$CL104</f>
        <v>0</v>
      </c>
      <c r="DT104" s="41">
        <f t="shared" ref="DT104" si="1902">AVERAGE(CH104:CH105)*$CL104</f>
        <v>0</v>
      </c>
      <c r="DU104" s="41">
        <f t="shared" ref="DU104" si="1903">AVERAGE(CI104:CI105)*$CL104</f>
        <v>0</v>
      </c>
      <c r="DV104" s="42">
        <f t="shared" ref="DV104" si="1904">AVERAGE(CJ104:CJ105)*$CL104</f>
        <v>0</v>
      </c>
      <c r="DX104" s="138">
        <f t="shared" ref="DX104:DX105" si="1905">P104/$E104</f>
        <v>0</v>
      </c>
      <c r="DY104" s="34">
        <f t="shared" ref="DY104:DY105" si="1906">Q104/$E104</f>
        <v>0</v>
      </c>
      <c r="DZ104" s="34">
        <f t="shared" ref="DZ104:DZ105" si="1907">R104/$E104</f>
        <v>0</v>
      </c>
      <c r="EA104" s="34">
        <f t="shared" ref="EA104:EA105" si="1908">S104/$E104</f>
        <v>0</v>
      </c>
      <c r="EB104" s="34">
        <f t="shared" ref="EB104:EB105" si="1909">T104/$E104</f>
        <v>0</v>
      </c>
      <c r="EC104" s="34">
        <f t="shared" ref="EC104:EC105" si="1910">U104/$E104</f>
        <v>0</v>
      </c>
      <c r="ED104" s="34">
        <f t="shared" ref="ED104:ED105" si="1911">V104/$E104</f>
        <v>0</v>
      </c>
      <c r="EE104" s="139">
        <f t="shared" ref="EE104:EE105" si="1912">W104/$E104</f>
        <v>0</v>
      </c>
      <c r="EF104" s="138">
        <f t="shared" ref="EF104:EF105" si="1913">X104/$E104</f>
        <v>0</v>
      </c>
      <c r="EG104" s="34">
        <f t="shared" ref="EG104:EG105" si="1914">Y104/$E104</f>
        <v>0</v>
      </c>
      <c r="EH104" s="34">
        <f t="shared" ref="EH104:EH105" si="1915">Z104/$E104</f>
        <v>0</v>
      </c>
      <c r="EI104" s="139">
        <f t="shared" ref="EI104:EI105" si="1916">AA104/$E104</f>
        <v>0</v>
      </c>
      <c r="EJ104" s="138">
        <f t="shared" ref="EJ104:EJ105" si="1917">AB104/$E104</f>
        <v>0</v>
      </c>
      <c r="EK104" s="34">
        <f t="shared" ref="EK104:EK105" si="1918">AC104/$E104</f>
        <v>0</v>
      </c>
      <c r="EL104" s="34">
        <f t="shared" ref="EL104:EL105" si="1919">AD104/$E104</f>
        <v>0</v>
      </c>
      <c r="EM104" s="34">
        <f t="shared" ref="EM104:EM105" si="1920">AE104/$E104</f>
        <v>0</v>
      </c>
      <c r="EN104" s="34">
        <f t="shared" ref="EN104:EN105" si="1921">AF104/$E104</f>
        <v>0</v>
      </c>
      <c r="EO104" s="139">
        <f t="shared" ref="EO104:EO105" si="1922">AG104/$E104</f>
        <v>0</v>
      </c>
      <c r="EP104" s="138">
        <f t="shared" ref="EP104:EP105" si="1923">AH104/$E104</f>
        <v>0</v>
      </c>
      <c r="EQ104" s="34">
        <f t="shared" ref="EQ104:EQ105" si="1924">AI104/$E104</f>
        <v>0</v>
      </c>
      <c r="ER104" s="34">
        <f t="shared" ref="ER104:ER105" si="1925">AJ104/$E104</f>
        <v>0</v>
      </c>
      <c r="ES104" s="34">
        <f t="shared" ref="ES104:ES105" si="1926">AK104/$E104</f>
        <v>0</v>
      </c>
      <c r="ET104" s="139">
        <f t="shared" ref="ET104:ET105" si="1927">AL104/$E104</f>
        <v>0</v>
      </c>
      <c r="EU104" s="138">
        <f t="shared" ref="EU104:EU105" si="1928">AM104/$E104</f>
        <v>0</v>
      </c>
      <c r="EV104" s="34">
        <f t="shared" ref="EV104:EV105" si="1929">AN104/$E104</f>
        <v>0</v>
      </c>
      <c r="EW104" s="34">
        <f t="shared" ref="EW104:EW105" si="1930">AO104/$E104</f>
        <v>0</v>
      </c>
      <c r="EX104" s="34">
        <f t="shared" ref="EX104:EX105" si="1931">AP104/$E104</f>
        <v>0</v>
      </c>
      <c r="EY104" s="34">
        <f t="shared" ref="EY104:EY105" si="1932">AQ104/$E104</f>
        <v>0</v>
      </c>
      <c r="EZ104" s="34">
        <f t="shared" ref="EZ104:EZ105" si="1933">AR104/$E104</f>
        <v>0</v>
      </c>
      <c r="FA104" s="34">
        <f t="shared" ref="FA104:FA105" si="1934">AS104/$E104</f>
        <v>0</v>
      </c>
      <c r="FB104" s="34">
        <f t="shared" ref="FB104:FB105" si="1935">AT104/$E104</f>
        <v>0</v>
      </c>
      <c r="FC104" s="34">
        <f t="shared" ref="FC104:FC105" si="1936">AU104/$E104</f>
        <v>0</v>
      </c>
      <c r="FD104" s="34">
        <f t="shared" ref="FD104:FD105" si="1937">AV104/$E104</f>
        <v>0</v>
      </c>
      <c r="FE104" s="34">
        <f t="shared" ref="FE104:FE105" si="1938">AY104/$E104</f>
        <v>0</v>
      </c>
      <c r="FF104" s="139">
        <f t="shared" ref="FF104:FF105" si="1939">AZ104/$E104</f>
        <v>0</v>
      </c>
    </row>
    <row r="105" spans="2:162" ht="16.5" thickBot="1" x14ac:dyDescent="0.3">
      <c r="B105" s="127">
        <f t="shared" si="1762"/>
        <v>45578</v>
      </c>
      <c r="C105" s="267"/>
      <c r="D105" s="100">
        <v>9</v>
      </c>
      <c r="E105" s="131">
        <v>13.46</v>
      </c>
      <c r="F105" s="25"/>
      <c r="G105" s="25"/>
      <c r="H105" s="171">
        <v>9</v>
      </c>
      <c r="I105" s="172">
        <v>3</v>
      </c>
      <c r="J105" s="173">
        <v>1</v>
      </c>
      <c r="K105" s="173"/>
      <c r="L105" s="174">
        <v>11.9</v>
      </c>
      <c r="M105" s="174">
        <f t="shared" si="1656"/>
        <v>0</v>
      </c>
      <c r="N105" s="175">
        <f t="shared" si="1657"/>
        <v>39.270000000000003</v>
      </c>
      <c r="O105" s="25"/>
      <c r="P105" s="96"/>
      <c r="Q105" s="76"/>
      <c r="R105" s="76"/>
      <c r="S105" s="76"/>
      <c r="T105" s="76"/>
      <c r="U105" s="76"/>
      <c r="V105" s="76">
        <v>1</v>
      </c>
      <c r="W105" s="77"/>
      <c r="X105" s="96"/>
      <c r="Y105" s="76"/>
      <c r="Z105" s="76"/>
      <c r="AA105" s="77"/>
      <c r="AB105" s="96"/>
      <c r="AC105" s="76"/>
      <c r="AD105" s="76"/>
      <c r="AE105" s="76"/>
      <c r="AF105" s="76"/>
      <c r="AG105" s="77"/>
      <c r="AH105" s="96"/>
      <c r="AI105" s="76"/>
      <c r="AJ105" s="76"/>
      <c r="AK105" s="76"/>
      <c r="AL105" s="77"/>
      <c r="AM105" s="9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7"/>
      <c r="BB105" s="96">
        <f t="shared" si="1658"/>
        <v>0</v>
      </c>
      <c r="BC105" s="76">
        <f t="shared" si="1659"/>
        <v>0</v>
      </c>
      <c r="BD105" s="76">
        <f t="shared" si="1660"/>
        <v>0</v>
      </c>
      <c r="BE105" s="76">
        <f t="shared" si="1661"/>
        <v>0</v>
      </c>
      <c r="BF105" s="76">
        <f t="shared" si="1662"/>
        <v>0</v>
      </c>
      <c r="BG105" s="76">
        <f t="shared" si="1663"/>
        <v>0</v>
      </c>
      <c r="BH105" s="76">
        <f t="shared" si="1664"/>
        <v>2.9175334323922737</v>
      </c>
      <c r="BI105" s="77">
        <f t="shared" si="1665"/>
        <v>0</v>
      </c>
      <c r="BJ105" s="96">
        <f t="shared" si="1666"/>
        <v>0</v>
      </c>
      <c r="BK105" s="76">
        <f t="shared" si="1667"/>
        <v>0</v>
      </c>
      <c r="BL105" s="76">
        <f t="shared" si="1668"/>
        <v>0</v>
      </c>
      <c r="BM105" s="77">
        <f t="shared" si="1669"/>
        <v>0</v>
      </c>
      <c r="BN105" s="96">
        <f t="shared" si="1670"/>
        <v>0</v>
      </c>
      <c r="BO105" s="76">
        <f t="shared" si="1671"/>
        <v>0</v>
      </c>
      <c r="BP105" s="76">
        <f t="shared" si="1672"/>
        <v>0</v>
      </c>
      <c r="BQ105" s="76">
        <f t="shared" si="1673"/>
        <v>0</v>
      </c>
      <c r="BR105" s="76">
        <f t="shared" si="1674"/>
        <v>0</v>
      </c>
      <c r="BS105" s="77">
        <f t="shared" si="1675"/>
        <v>0</v>
      </c>
      <c r="BT105" s="96">
        <f t="shared" si="1676"/>
        <v>0</v>
      </c>
      <c r="BU105" s="76">
        <f t="shared" si="1677"/>
        <v>0</v>
      </c>
      <c r="BV105" s="76">
        <f t="shared" si="1678"/>
        <v>0</v>
      </c>
      <c r="BW105" s="76">
        <f t="shared" si="1679"/>
        <v>0</v>
      </c>
      <c r="BX105" s="77">
        <f t="shared" si="1680"/>
        <v>0</v>
      </c>
      <c r="BY105" s="96">
        <f t="shared" si="1681"/>
        <v>0</v>
      </c>
      <c r="BZ105" s="76">
        <f t="shared" si="1682"/>
        <v>0</v>
      </c>
      <c r="CA105" s="76">
        <f t="shared" si="1683"/>
        <v>0</v>
      </c>
      <c r="CB105" s="76">
        <f t="shared" si="1684"/>
        <v>0</v>
      </c>
      <c r="CC105" s="76">
        <f t="shared" si="1685"/>
        <v>0</v>
      </c>
      <c r="CD105" s="76">
        <f t="shared" si="1686"/>
        <v>0</v>
      </c>
      <c r="CE105" s="76">
        <f t="shared" si="1687"/>
        <v>0</v>
      </c>
      <c r="CF105" s="76">
        <f t="shared" si="1688"/>
        <v>0</v>
      </c>
      <c r="CG105" s="76">
        <f t="shared" si="1689"/>
        <v>0</v>
      </c>
      <c r="CH105" s="76">
        <f t="shared" si="1690"/>
        <v>0</v>
      </c>
      <c r="CI105" s="76">
        <f t="shared" si="1691"/>
        <v>0</v>
      </c>
      <c r="CJ105" s="77">
        <f t="shared" si="1692"/>
        <v>0</v>
      </c>
      <c r="CN105" s="96"/>
      <c r="CO105" s="76"/>
      <c r="CP105" s="76"/>
      <c r="CQ105" s="76"/>
      <c r="CR105" s="76"/>
      <c r="CS105" s="76"/>
      <c r="CT105" s="76"/>
      <c r="CU105" s="77"/>
      <c r="CV105" s="96"/>
      <c r="CW105" s="76"/>
      <c r="CX105" s="76"/>
      <c r="CY105" s="77"/>
      <c r="CZ105" s="96"/>
      <c r="DA105" s="76"/>
      <c r="DB105" s="76"/>
      <c r="DC105" s="76"/>
      <c r="DD105" s="76"/>
      <c r="DE105" s="77"/>
      <c r="DF105" s="96"/>
      <c r="DG105" s="76"/>
      <c r="DH105" s="76"/>
      <c r="DI105" s="76"/>
      <c r="DJ105" s="77"/>
      <c r="DK105" s="96"/>
      <c r="DL105" s="76"/>
      <c r="DM105" s="76"/>
      <c r="DN105" s="76"/>
      <c r="DO105" s="76"/>
      <c r="DP105" s="76"/>
      <c r="DQ105" s="76"/>
      <c r="DR105" s="76"/>
      <c r="DS105" s="76"/>
      <c r="DT105" s="76"/>
      <c r="DU105" s="76"/>
      <c r="DV105" s="77"/>
      <c r="DX105" s="140">
        <f t="shared" si="1905"/>
        <v>0</v>
      </c>
      <c r="DY105" s="141">
        <f t="shared" si="1906"/>
        <v>0</v>
      </c>
      <c r="DZ105" s="141">
        <f t="shared" si="1907"/>
        <v>0</v>
      </c>
      <c r="EA105" s="141">
        <f t="shared" si="1908"/>
        <v>0</v>
      </c>
      <c r="EB105" s="141">
        <f t="shared" si="1909"/>
        <v>0</v>
      </c>
      <c r="EC105" s="141">
        <f t="shared" si="1910"/>
        <v>0</v>
      </c>
      <c r="ED105" s="141">
        <f t="shared" si="1911"/>
        <v>7.4294205052005943E-2</v>
      </c>
      <c r="EE105" s="142">
        <f t="shared" si="1912"/>
        <v>0</v>
      </c>
      <c r="EF105" s="140">
        <f t="shared" si="1913"/>
        <v>0</v>
      </c>
      <c r="EG105" s="141">
        <f t="shared" si="1914"/>
        <v>0</v>
      </c>
      <c r="EH105" s="141">
        <f t="shared" si="1915"/>
        <v>0</v>
      </c>
      <c r="EI105" s="142">
        <f t="shared" si="1916"/>
        <v>0</v>
      </c>
      <c r="EJ105" s="140">
        <f t="shared" si="1917"/>
        <v>0</v>
      </c>
      <c r="EK105" s="141">
        <f t="shared" si="1918"/>
        <v>0</v>
      </c>
      <c r="EL105" s="141">
        <f t="shared" si="1919"/>
        <v>0</v>
      </c>
      <c r="EM105" s="141">
        <f t="shared" si="1920"/>
        <v>0</v>
      </c>
      <c r="EN105" s="141">
        <f t="shared" si="1921"/>
        <v>0</v>
      </c>
      <c r="EO105" s="142">
        <f t="shared" si="1922"/>
        <v>0</v>
      </c>
      <c r="EP105" s="140">
        <f t="shared" si="1923"/>
        <v>0</v>
      </c>
      <c r="EQ105" s="141">
        <f t="shared" si="1924"/>
        <v>0</v>
      </c>
      <c r="ER105" s="141">
        <f t="shared" si="1925"/>
        <v>0</v>
      </c>
      <c r="ES105" s="141">
        <f t="shared" si="1926"/>
        <v>0</v>
      </c>
      <c r="ET105" s="142">
        <f t="shared" si="1927"/>
        <v>0</v>
      </c>
      <c r="EU105" s="140">
        <f t="shared" si="1928"/>
        <v>0</v>
      </c>
      <c r="EV105" s="141">
        <f t="shared" si="1929"/>
        <v>0</v>
      </c>
      <c r="EW105" s="141">
        <f t="shared" si="1930"/>
        <v>0</v>
      </c>
      <c r="EX105" s="141">
        <f t="shared" si="1931"/>
        <v>0</v>
      </c>
      <c r="EY105" s="141">
        <f t="shared" si="1932"/>
        <v>0</v>
      </c>
      <c r="EZ105" s="141">
        <f t="shared" si="1933"/>
        <v>0</v>
      </c>
      <c r="FA105" s="141">
        <f t="shared" si="1934"/>
        <v>0</v>
      </c>
      <c r="FB105" s="141">
        <f t="shared" si="1935"/>
        <v>0</v>
      </c>
      <c r="FC105" s="141">
        <f t="shared" si="1936"/>
        <v>0</v>
      </c>
      <c r="FD105" s="141">
        <f t="shared" si="1937"/>
        <v>0</v>
      </c>
      <c r="FE105" s="141">
        <f t="shared" si="1938"/>
        <v>0</v>
      </c>
      <c r="FF105" s="142">
        <f t="shared" si="1939"/>
        <v>0</v>
      </c>
    </row>
    <row r="106" spans="2:162" ht="17.25" thickTop="1" thickBot="1" x14ac:dyDescent="0.3">
      <c r="B106" s="178"/>
      <c r="C106" s="268"/>
      <c r="D106" s="101">
        <f t="shared" ref="D106:E106" si="1940">SUM(D99:D105)</f>
        <v>39</v>
      </c>
      <c r="E106" s="134">
        <f t="shared" si="1940"/>
        <v>61.71</v>
      </c>
      <c r="F106" s="146"/>
      <c r="G106" s="146"/>
      <c r="H106" s="43"/>
      <c r="I106" s="39"/>
      <c r="J106" s="39"/>
      <c r="K106" s="39"/>
      <c r="L106" s="184"/>
      <c r="M106" s="185"/>
      <c r="N106" s="170">
        <f>AVERAGE(N99:N103)*5+AVERAGE(N104:N105)*2</f>
        <v>168.0616666666667</v>
      </c>
      <c r="O106" s="146"/>
      <c r="P106" s="68">
        <f t="shared" ref="P106:AZ106" si="1941">SUM(P99:P105)</f>
        <v>0</v>
      </c>
      <c r="Q106" s="65">
        <f t="shared" si="1941"/>
        <v>0</v>
      </c>
      <c r="R106" s="65">
        <f t="shared" si="1941"/>
        <v>0</v>
      </c>
      <c r="S106" s="65">
        <f t="shared" si="1941"/>
        <v>0</v>
      </c>
      <c r="T106" s="65">
        <f t="shared" si="1941"/>
        <v>0</v>
      </c>
      <c r="U106" s="65">
        <f t="shared" si="1941"/>
        <v>0</v>
      </c>
      <c r="V106" s="65">
        <f t="shared" si="1941"/>
        <v>2</v>
      </c>
      <c r="W106" s="66">
        <f t="shared" si="1941"/>
        <v>0</v>
      </c>
      <c r="X106" s="68">
        <f t="shared" si="1941"/>
        <v>0</v>
      </c>
      <c r="Y106" s="65">
        <f t="shared" si="1941"/>
        <v>0</v>
      </c>
      <c r="Z106" s="65">
        <f t="shared" si="1941"/>
        <v>0</v>
      </c>
      <c r="AA106" s="66">
        <f t="shared" si="1941"/>
        <v>0</v>
      </c>
      <c r="AB106" s="68">
        <f t="shared" si="1941"/>
        <v>0</v>
      </c>
      <c r="AC106" s="65">
        <f t="shared" si="1941"/>
        <v>0</v>
      </c>
      <c r="AD106" s="65">
        <f t="shared" si="1941"/>
        <v>0</v>
      </c>
      <c r="AE106" s="65">
        <f t="shared" si="1941"/>
        <v>0</v>
      </c>
      <c r="AF106" s="65">
        <f t="shared" si="1941"/>
        <v>0</v>
      </c>
      <c r="AG106" s="66">
        <f t="shared" si="1941"/>
        <v>0</v>
      </c>
      <c r="AH106" s="68">
        <f t="shared" si="1941"/>
        <v>0</v>
      </c>
      <c r="AI106" s="65">
        <f t="shared" si="1941"/>
        <v>0</v>
      </c>
      <c r="AJ106" s="65">
        <f t="shared" si="1941"/>
        <v>0</v>
      </c>
      <c r="AK106" s="65">
        <f t="shared" si="1941"/>
        <v>0</v>
      </c>
      <c r="AL106" s="66">
        <f t="shared" si="1941"/>
        <v>0</v>
      </c>
      <c r="AM106" s="68">
        <f t="shared" si="1941"/>
        <v>0</v>
      </c>
      <c r="AN106" s="65">
        <f t="shared" si="1941"/>
        <v>0</v>
      </c>
      <c r="AO106" s="65">
        <f t="shared" si="1941"/>
        <v>0</v>
      </c>
      <c r="AP106" s="65">
        <f t="shared" si="1941"/>
        <v>0</v>
      </c>
      <c r="AQ106" s="65">
        <f t="shared" si="1941"/>
        <v>0</v>
      </c>
      <c r="AR106" s="65">
        <f t="shared" si="1941"/>
        <v>0</v>
      </c>
      <c r="AS106" s="65">
        <f t="shared" si="1941"/>
        <v>0</v>
      </c>
      <c r="AT106" s="65">
        <f t="shared" si="1941"/>
        <v>0</v>
      </c>
      <c r="AU106" s="65">
        <f t="shared" si="1941"/>
        <v>0</v>
      </c>
      <c r="AV106" s="65">
        <f t="shared" si="1941"/>
        <v>0</v>
      </c>
      <c r="AW106" s="65">
        <f t="shared" si="1941"/>
        <v>0</v>
      </c>
      <c r="AX106" s="65">
        <f t="shared" si="1941"/>
        <v>0</v>
      </c>
      <c r="AY106" s="65">
        <f t="shared" si="1941"/>
        <v>0</v>
      </c>
      <c r="AZ106" s="66">
        <f t="shared" si="1941"/>
        <v>0</v>
      </c>
      <c r="BB106" s="68">
        <f t="shared" ref="BB106:CJ106" si="1942">SUM(BB99:BB105)</f>
        <v>0</v>
      </c>
      <c r="BC106" s="65">
        <f t="shared" si="1942"/>
        <v>0</v>
      </c>
      <c r="BD106" s="65">
        <f t="shared" si="1942"/>
        <v>0</v>
      </c>
      <c r="BE106" s="65">
        <f t="shared" si="1942"/>
        <v>0</v>
      </c>
      <c r="BF106" s="65">
        <f t="shared" si="1942"/>
        <v>0</v>
      </c>
      <c r="BG106" s="65">
        <f t="shared" si="1942"/>
        <v>0</v>
      </c>
      <c r="BH106" s="65">
        <f t="shared" si="1942"/>
        <v>5.5835432846090223</v>
      </c>
      <c r="BI106" s="66">
        <f t="shared" si="1942"/>
        <v>0</v>
      </c>
      <c r="BJ106" s="68">
        <f t="shared" si="1942"/>
        <v>0</v>
      </c>
      <c r="BK106" s="65">
        <f t="shared" si="1942"/>
        <v>0</v>
      </c>
      <c r="BL106" s="65">
        <f t="shared" si="1942"/>
        <v>0</v>
      </c>
      <c r="BM106" s="66">
        <f t="shared" si="1942"/>
        <v>0</v>
      </c>
      <c r="BN106" s="68">
        <f t="shared" si="1942"/>
        <v>0</v>
      </c>
      <c r="BO106" s="65">
        <f t="shared" si="1942"/>
        <v>0</v>
      </c>
      <c r="BP106" s="65">
        <f t="shared" si="1942"/>
        <v>0</v>
      </c>
      <c r="BQ106" s="65">
        <f t="shared" si="1942"/>
        <v>0</v>
      </c>
      <c r="BR106" s="65">
        <f t="shared" si="1942"/>
        <v>0</v>
      </c>
      <c r="BS106" s="66">
        <f t="shared" si="1942"/>
        <v>0</v>
      </c>
      <c r="BT106" s="68">
        <f t="shared" si="1942"/>
        <v>0</v>
      </c>
      <c r="BU106" s="65">
        <f t="shared" si="1942"/>
        <v>0</v>
      </c>
      <c r="BV106" s="65">
        <f t="shared" si="1942"/>
        <v>0</v>
      </c>
      <c r="BW106" s="65">
        <f t="shared" si="1942"/>
        <v>0</v>
      </c>
      <c r="BX106" s="66">
        <f t="shared" si="1942"/>
        <v>0</v>
      </c>
      <c r="BY106" s="68">
        <f t="shared" si="1942"/>
        <v>0</v>
      </c>
      <c r="BZ106" s="65">
        <f t="shared" si="1942"/>
        <v>0</v>
      </c>
      <c r="CA106" s="65">
        <f t="shared" si="1942"/>
        <v>0</v>
      </c>
      <c r="CB106" s="65">
        <f t="shared" si="1942"/>
        <v>0</v>
      </c>
      <c r="CC106" s="65">
        <f t="shared" si="1942"/>
        <v>0</v>
      </c>
      <c r="CD106" s="65">
        <f t="shared" si="1942"/>
        <v>0</v>
      </c>
      <c r="CE106" s="65">
        <f t="shared" si="1942"/>
        <v>0</v>
      </c>
      <c r="CF106" s="65">
        <f t="shared" si="1942"/>
        <v>0</v>
      </c>
      <c r="CG106" s="65">
        <f t="shared" si="1942"/>
        <v>0</v>
      </c>
      <c r="CH106" s="65">
        <f t="shared" si="1942"/>
        <v>0</v>
      </c>
      <c r="CI106" s="65">
        <f t="shared" si="1942"/>
        <v>0</v>
      </c>
      <c r="CJ106" s="66">
        <f t="shared" si="1942"/>
        <v>0</v>
      </c>
      <c r="CN106" s="68">
        <f t="shared" ref="CN106:DV106" si="1943">SUM(CN99:CN105)</f>
        <v>0</v>
      </c>
      <c r="CO106" s="65">
        <f t="shared" si="1943"/>
        <v>0</v>
      </c>
      <c r="CP106" s="65">
        <f t="shared" si="1943"/>
        <v>0</v>
      </c>
      <c r="CQ106" s="65">
        <f t="shared" si="1943"/>
        <v>0</v>
      </c>
      <c r="CR106" s="65">
        <f t="shared" si="1943"/>
        <v>0</v>
      </c>
      <c r="CS106" s="65">
        <f t="shared" si="1943"/>
        <v>0</v>
      </c>
      <c r="CT106" s="65">
        <f t="shared" si="1943"/>
        <v>7.3608831860868547</v>
      </c>
      <c r="CU106" s="66">
        <f t="shared" si="1943"/>
        <v>0</v>
      </c>
      <c r="CV106" s="68">
        <f t="shared" si="1943"/>
        <v>0</v>
      </c>
      <c r="CW106" s="65">
        <f t="shared" si="1943"/>
        <v>0</v>
      </c>
      <c r="CX106" s="65">
        <f t="shared" si="1943"/>
        <v>0</v>
      </c>
      <c r="CY106" s="66">
        <f t="shared" si="1943"/>
        <v>0</v>
      </c>
      <c r="CZ106" s="68">
        <f t="shared" si="1943"/>
        <v>0</v>
      </c>
      <c r="DA106" s="65">
        <f t="shared" si="1943"/>
        <v>0</v>
      </c>
      <c r="DB106" s="65">
        <f t="shared" si="1943"/>
        <v>0</v>
      </c>
      <c r="DC106" s="65">
        <f t="shared" si="1943"/>
        <v>0</v>
      </c>
      <c r="DD106" s="65">
        <f t="shared" si="1943"/>
        <v>0</v>
      </c>
      <c r="DE106" s="66">
        <f t="shared" si="1943"/>
        <v>0</v>
      </c>
      <c r="DF106" s="68">
        <f t="shared" si="1943"/>
        <v>0</v>
      </c>
      <c r="DG106" s="65">
        <f t="shared" si="1943"/>
        <v>0</v>
      </c>
      <c r="DH106" s="65">
        <f t="shared" si="1943"/>
        <v>0</v>
      </c>
      <c r="DI106" s="65">
        <f t="shared" si="1943"/>
        <v>0</v>
      </c>
      <c r="DJ106" s="66">
        <f t="shared" si="1943"/>
        <v>0</v>
      </c>
      <c r="DK106" s="68">
        <f t="shared" si="1943"/>
        <v>0</v>
      </c>
      <c r="DL106" s="65">
        <f t="shared" si="1943"/>
        <v>0</v>
      </c>
      <c r="DM106" s="65">
        <f t="shared" si="1943"/>
        <v>0</v>
      </c>
      <c r="DN106" s="65">
        <f t="shared" si="1943"/>
        <v>0</v>
      </c>
      <c r="DO106" s="65">
        <f t="shared" si="1943"/>
        <v>0</v>
      </c>
      <c r="DP106" s="65">
        <f t="shared" si="1943"/>
        <v>0</v>
      </c>
      <c r="DQ106" s="65">
        <f t="shared" si="1943"/>
        <v>0</v>
      </c>
      <c r="DR106" s="65">
        <f t="shared" si="1943"/>
        <v>0</v>
      </c>
      <c r="DS106" s="65">
        <f t="shared" si="1943"/>
        <v>0</v>
      </c>
      <c r="DT106" s="65">
        <f t="shared" si="1943"/>
        <v>0</v>
      </c>
      <c r="DU106" s="65">
        <f t="shared" si="1943"/>
        <v>0</v>
      </c>
      <c r="DV106" s="66">
        <f t="shared" si="1943"/>
        <v>0</v>
      </c>
      <c r="DX106" s="143">
        <f t="shared" ref="DX106:FF106" si="1944">AVERAGE(DX99:DX105)</f>
        <v>0</v>
      </c>
      <c r="DY106" s="144">
        <f t="shared" si="1944"/>
        <v>0</v>
      </c>
      <c r="DZ106" s="144">
        <f t="shared" si="1944"/>
        <v>0</v>
      </c>
      <c r="EA106" s="144">
        <f t="shared" si="1944"/>
        <v>0</v>
      </c>
      <c r="EB106" s="144">
        <f t="shared" si="1944"/>
        <v>0</v>
      </c>
      <c r="EC106" s="144">
        <f t="shared" si="1944"/>
        <v>0</v>
      </c>
      <c r="ED106" s="144">
        <f t="shared" si="1944"/>
        <v>3.4563274507938134E-2</v>
      </c>
      <c r="EE106" s="145">
        <f t="shared" si="1944"/>
        <v>0</v>
      </c>
      <c r="EF106" s="143">
        <f t="shared" si="1944"/>
        <v>0</v>
      </c>
      <c r="EG106" s="144">
        <f t="shared" si="1944"/>
        <v>0</v>
      </c>
      <c r="EH106" s="144">
        <f t="shared" si="1944"/>
        <v>0</v>
      </c>
      <c r="EI106" s="145">
        <f t="shared" si="1944"/>
        <v>0</v>
      </c>
      <c r="EJ106" s="143">
        <f t="shared" si="1944"/>
        <v>0</v>
      </c>
      <c r="EK106" s="144">
        <f t="shared" si="1944"/>
        <v>0</v>
      </c>
      <c r="EL106" s="144">
        <f t="shared" si="1944"/>
        <v>0</v>
      </c>
      <c r="EM106" s="144">
        <f t="shared" si="1944"/>
        <v>0</v>
      </c>
      <c r="EN106" s="144">
        <f t="shared" si="1944"/>
        <v>0</v>
      </c>
      <c r="EO106" s="144">
        <f t="shared" si="1944"/>
        <v>0</v>
      </c>
      <c r="EP106" s="143">
        <f t="shared" si="1944"/>
        <v>0</v>
      </c>
      <c r="EQ106" s="144">
        <f t="shared" si="1944"/>
        <v>0</v>
      </c>
      <c r="ER106" s="144">
        <f t="shared" si="1944"/>
        <v>0</v>
      </c>
      <c r="ES106" s="144">
        <f t="shared" si="1944"/>
        <v>0</v>
      </c>
      <c r="ET106" s="145">
        <f t="shared" si="1944"/>
        <v>0</v>
      </c>
      <c r="EU106" s="143">
        <f t="shared" si="1944"/>
        <v>0</v>
      </c>
      <c r="EV106" s="144">
        <f t="shared" si="1944"/>
        <v>0</v>
      </c>
      <c r="EW106" s="144">
        <f t="shared" si="1944"/>
        <v>0</v>
      </c>
      <c r="EX106" s="144">
        <f t="shared" si="1944"/>
        <v>0</v>
      </c>
      <c r="EY106" s="144">
        <f t="shared" si="1944"/>
        <v>0</v>
      </c>
      <c r="EZ106" s="144">
        <f t="shared" si="1944"/>
        <v>0</v>
      </c>
      <c r="FA106" s="144">
        <f t="shared" si="1944"/>
        <v>0</v>
      </c>
      <c r="FB106" s="144">
        <f t="shared" si="1944"/>
        <v>0</v>
      </c>
      <c r="FC106" s="144">
        <f t="shared" si="1944"/>
        <v>0</v>
      </c>
      <c r="FD106" s="144">
        <f t="shared" si="1944"/>
        <v>0</v>
      </c>
      <c r="FE106" s="144">
        <f t="shared" si="1944"/>
        <v>0</v>
      </c>
      <c r="FF106" s="145">
        <f t="shared" si="1944"/>
        <v>0</v>
      </c>
    </row>
    <row r="107" spans="2:162" ht="16.5" thickBot="1" x14ac:dyDescent="0.3">
      <c r="L107" s="253"/>
    </row>
    <row r="108" spans="2:162" x14ac:dyDescent="0.25">
      <c r="B108" s="176">
        <f>B99+7</f>
        <v>45579</v>
      </c>
      <c r="C108" s="265"/>
      <c r="D108" s="103"/>
      <c r="E108" s="156"/>
      <c r="F108" s="25"/>
      <c r="G108" s="25"/>
      <c r="H108" s="179"/>
      <c r="I108" s="180"/>
      <c r="J108" s="181"/>
      <c r="K108" s="181"/>
      <c r="L108" s="182"/>
      <c r="M108" s="182"/>
      <c r="N108" s="183"/>
      <c r="O108" s="25"/>
      <c r="P108" s="157"/>
      <c r="Q108" s="158"/>
      <c r="R108" s="158"/>
      <c r="S108" s="158"/>
      <c r="T108" s="158"/>
      <c r="U108" s="158"/>
      <c r="V108" s="158"/>
      <c r="W108" s="159"/>
      <c r="X108" s="157"/>
      <c r="Y108" s="158"/>
      <c r="Z108" s="158"/>
      <c r="AA108" s="159"/>
      <c r="AB108" s="157"/>
      <c r="AC108" s="158"/>
      <c r="AD108" s="158"/>
      <c r="AE108" s="158"/>
      <c r="AF108" s="158"/>
      <c r="AG108" s="159"/>
      <c r="AH108" s="157"/>
      <c r="AI108" s="158"/>
      <c r="AJ108" s="158"/>
      <c r="AK108" s="158"/>
      <c r="AL108" s="159"/>
      <c r="AM108" s="157"/>
      <c r="AN108" s="158"/>
      <c r="AO108" s="158"/>
      <c r="AP108" s="158"/>
      <c r="AQ108" s="158"/>
      <c r="AR108" s="158"/>
      <c r="AS108" s="158"/>
      <c r="AT108" s="158"/>
      <c r="AU108" s="158"/>
      <c r="AV108" s="158"/>
      <c r="AW108" s="158"/>
      <c r="AX108" s="158"/>
      <c r="AY108" s="158"/>
      <c r="AZ108" s="159"/>
      <c r="BB108" s="157"/>
      <c r="BC108" s="158"/>
      <c r="BD108" s="158"/>
      <c r="BE108" s="158"/>
      <c r="BF108" s="158"/>
      <c r="BG108" s="158"/>
      <c r="BH108" s="158"/>
      <c r="BI108" s="159"/>
      <c r="BJ108" s="157"/>
      <c r="BK108" s="158"/>
      <c r="BL108" s="158"/>
      <c r="BM108" s="159"/>
      <c r="BN108" s="157"/>
      <c r="BO108" s="158"/>
      <c r="BP108" s="158"/>
      <c r="BQ108" s="158"/>
      <c r="BR108" s="158"/>
      <c r="BS108" s="159"/>
      <c r="BT108" s="157"/>
      <c r="BU108" s="158"/>
      <c r="BV108" s="158"/>
      <c r="BW108" s="158"/>
      <c r="BX108" s="159"/>
      <c r="BY108" s="157"/>
      <c r="BZ108" s="158"/>
      <c r="CA108" s="158"/>
      <c r="CB108" s="158"/>
      <c r="CC108" s="158"/>
      <c r="CD108" s="158"/>
      <c r="CE108" s="158"/>
      <c r="CF108" s="158"/>
      <c r="CG108" s="158"/>
      <c r="CH108" s="158"/>
      <c r="CI108" s="158"/>
      <c r="CJ108" s="159"/>
      <c r="CL108" s="36">
        <v>5</v>
      </c>
      <c r="CN108" s="157">
        <f>AVERAGE(BB108:BB112)*$CL108</f>
        <v>0</v>
      </c>
      <c r="CO108" s="158">
        <f t="shared" ref="CO108" si="1945">AVERAGE(BC108:BC112)*$CL108</f>
        <v>0</v>
      </c>
      <c r="CP108" s="158">
        <f t="shared" ref="CP108" si="1946">AVERAGE(BD108:BD112)*$CL108</f>
        <v>0</v>
      </c>
      <c r="CQ108" s="158">
        <f t="shared" ref="CQ108" si="1947">AVERAGE(BE108:BE112)*$CL108</f>
        <v>0</v>
      </c>
      <c r="CR108" s="158">
        <f t="shared" ref="CR108" si="1948">AVERAGE(BF108:BF112)*$CL108</f>
        <v>6.6088965915655695</v>
      </c>
      <c r="CS108" s="158">
        <f t="shared" ref="CS108" si="1949">AVERAGE(BG108:BG112)*$CL108</f>
        <v>0</v>
      </c>
      <c r="CT108" s="158">
        <f t="shared" ref="CT108" si="1950">AVERAGE(BH108:BH112)*$CL108</f>
        <v>13.217793183131139</v>
      </c>
      <c r="CU108" s="159">
        <f t="shared" ref="CU108" si="1951">AVERAGE(BI108:BI112)*$CL108</f>
        <v>0</v>
      </c>
      <c r="CV108" s="157">
        <f t="shared" ref="CV108" si="1952">AVERAGE(BJ108:BJ112)*$CL108</f>
        <v>0</v>
      </c>
      <c r="CW108" s="158">
        <f t="shared" ref="CW108" si="1953">AVERAGE(BK108:BK112)*$CL108</f>
        <v>0</v>
      </c>
      <c r="CX108" s="158">
        <f t="shared" ref="CX108" si="1954">AVERAGE(BL108:BL112)*$CL108</f>
        <v>0</v>
      </c>
      <c r="CY108" s="159">
        <f t="shared" ref="CY108" si="1955">AVERAGE(BM108:BM112)*$CL108</f>
        <v>0</v>
      </c>
      <c r="CZ108" s="157">
        <f t="shared" ref="CZ108" si="1956">AVERAGE(BN108:BN112)*$CL108</f>
        <v>0</v>
      </c>
      <c r="DA108" s="158">
        <f t="shared" ref="DA108" si="1957">AVERAGE(BO108:BO112)*$CL108</f>
        <v>0</v>
      </c>
      <c r="DB108" s="158">
        <f t="shared" ref="DB108" si="1958">AVERAGE(BP108:BP112)*$CL108</f>
        <v>0</v>
      </c>
      <c r="DC108" s="158">
        <f t="shared" ref="DC108" si="1959">AVERAGE(BQ108:BQ112)*$CL108</f>
        <v>0</v>
      </c>
      <c r="DD108" s="158">
        <f t="shared" ref="DD108" si="1960">AVERAGE(BR108:BR112)*$CL108</f>
        <v>0</v>
      </c>
      <c r="DE108" s="159">
        <f t="shared" ref="DE108" si="1961">AVERAGE(BS108:BS112)*$CL108</f>
        <v>0</v>
      </c>
      <c r="DF108" s="157">
        <f t="shared" ref="DF108" si="1962">AVERAGE(BT108:BT112)*$CL108</f>
        <v>0</v>
      </c>
      <c r="DG108" s="158">
        <f t="shared" ref="DG108" si="1963">AVERAGE(BU108:BU112)*$CL108</f>
        <v>0</v>
      </c>
      <c r="DH108" s="158">
        <f t="shared" ref="DH108" si="1964">AVERAGE(BV108:BV112)*$CL108</f>
        <v>0</v>
      </c>
      <c r="DI108" s="158">
        <f t="shared" ref="DI108" si="1965">AVERAGE(BW108:BW112)*$CL108</f>
        <v>0</v>
      </c>
      <c r="DJ108" s="159">
        <f t="shared" ref="DJ108" si="1966">AVERAGE(BX108:BX112)*$CL108</f>
        <v>0</v>
      </c>
      <c r="DK108" s="157">
        <f t="shared" ref="DK108" si="1967">AVERAGE(BY108:BY112)*$CL108</f>
        <v>0</v>
      </c>
      <c r="DL108" s="158">
        <f t="shared" ref="DL108" si="1968">AVERAGE(BZ108:BZ112)*$CL108</f>
        <v>0</v>
      </c>
      <c r="DM108" s="158">
        <f t="shared" ref="DM108" si="1969">AVERAGE(CA108:CA112)*$CL108</f>
        <v>0</v>
      </c>
      <c r="DN108" s="158">
        <f t="shared" ref="DN108" si="1970">AVERAGE(CB108:CB112)*$CL108</f>
        <v>0</v>
      </c>
      <c r="DO108" s="158">
        <f t="shared" ref="DO108" si="1971">AVERAGE(CC108:CC112)*$CL108</f>
        <v>0</v>
      </c>
      <c r="DP108" s="158">
        <f t="shared" ref="DP108" si="1972">AVERAGE(CD108:CD112)*$CL108</f>
        <v>0</v>
      </c>
      <c r="DQ108" s="158">
        <f t="shared" ref="DQ108" si="1973">AVERAGE(CE108:CE112)*$CL108</f>
        <v>0</v>
      </c>
      <c r="DR108" s="158">
        <f t="shared" ref="DR108" si="1974">AVERAGE(CF108:CF112)*$CL108</f>
        <v>0</v>
      </c>
      <c r="DS108" s="158">
        <f t="shared" ref="DS108" si="1975">AVERAGE(CG108:CG112)*$CL108</f>
        <v>0</v>
      </c>
      <c r="DT108" s="158">
        <f t="shared" ref="DT108" si="1976">AVERAGE(CH108:CH112)*$CL108</f>
        <v>0</v>
      </c>
      <c r="DU108" s="158">
        <f t="shared" ref="DU108" si="1977">AVERAGE(CI108:CI112)*$CL108</f>
        <v>0</v>
      </c>
      <c r="DV108" s="159">
        <f t="shared" ref="DV108" si="1978">AVERAGE(CJ108:CJ112)*$CL108</f>
        <v>0</v>
      </c>
      <c r="DX108" s="186"/>
      <c r="DY108" s="187"/>
      <c r="DZ108" s="187"/>
      <c r="EA108" s="187"/>
      <c r="EB108" s="187"/>
      <c r="EC108" s="187"/>
      <c r="ED108" s="187"/>
      <c r="EE108" s="188"/>
      <c r="EF108" s="186"/>
      <c r="EG108" s="187"/>
      <c r="EH108" s="187"/>
      <c r="EI108" s="188"/>
      <c r="EJ108" s="186"/>
      <c r="EK108" s="187"/>
      <c r="EL108" s="187"/>
      <c r="EM108" s="187"/>
      <c r="EN108" s="187"/>
      <c r="EO108" s="188"/>
      <c r="EP108" s="186"/>
      <c r="EQ108" s="187"/>
      <c r="ER108" s="187"/>
      <c r="ES108" s="187"/>
      <c r="ET108" s="188"/>
      <c r="EU108" s="186"/>
      <c r="EV108" s="187"/>
      <c r="EW108" s="187"/>
      <c r="EX108" s="187"/>
      <c r="EY108" s="187"/>
      <c r="EZ108" s="187"/>
      <c r="FA108" s="187"/>
      <c r="FB108" s="187"/>
      <c r="FC108" s="187"/>
      <c r="FD108" s="187"/>
      <c r="FE108" s="187"/>
      <c r="FF108" s="188"/>
    </row>
    <row r="109" spans="2:162" x14ac:dyDescent="0.25">
      <c r="B109" s="127">
        <f t="shared" ref="B109:B114" si="1979">B108+1</f>
        <v>45580</v>
      </c>
      <c r="C109" s="266"/>
      <c r="D109" s="53"/>
      <c r="E109" s="129"/>
      <c r="F109" s="25"/>
      <c r="G109" s="25"/>
      <c r="H109" s="150"/>
      <c r="I109" s="24"/>
      <c r="J109" s="151"/>
      <c r="K109" s="151"/>
      <c r="L109" s="152"/>
      <c r="M109" s="152"/>
      <c r="N109" s="153"/>
      <c r="O109" s="25"/>
      <c r="P109" s="95"/>
      <c r="Q109" s="41"/>
      <c r="R109" s="41"/>
      <c r="S109" s="41"/>
      <c r="T109" s="41"/>
      <c r="U109" s="41"/>
      <c r="V109" s="41"/>
      <c r="W109" s="42"/>
      <c r="X109" s="95"/>
      <c r="Y109" s="41"/>
      <c r="Z109" s="41"/>
      <c r="AA109" s="42"/>
      <c r="AB109" s="95"/>
      <c r="AC109" s="41"/>
      <c r="AD109" s="41"/>
      <c r="AE109" s="41"/>
      <c r="AF109" s="41"/>
      <c r="AG109" s="42"/>
      <c r="AH109" s="95"/>
      <c r="AI109" s="41"/>
      <c r="AJ109" s="41"/>
      <c r="AK109" s="41"/>
      <c r="AL109" s="42"/>
      <c r="AM109" s="95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2"/>
      <c r="BB109" s="95"/>
      <c r="BC109" s="41"/>
      <c r="BD109" s="41"/>
      <c r="BE109" s="41"/>
      <c r="BF109" s="41"/>
      <c r="BG109" s="41"/>
      <c r="BH109" s="41"/>
      <c r="BI109" s="42"/>
      <c r="BJ109" s="95"/>
      <c r="BK109" s="41"/>
      <c r="BL109" s="41"/>
      <c r="BM109" s="42"/>
      <c r="BN109" s="95"/>
      <c r="BO109" s="41"/>
      <c r="BP109" s="41"/>
      <c r="BQ109" s="41"/>
      <c r="BR109" s="41"/>
      <c r="BS109" s="42"/>
      <c r="BT109" s="95"/>
      <c r="BU109" s="41"/>
      <c r="BV109" s="41"/>
      <c r="BW109" s="41"/>
      <c r="BX109" s="42"/>
      <c r="BY109" s="95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2"/>
      <c r="CL109" s="36"/>
      <c r="CN109" s="95"/>
      <c r="CO109" s="41"/>
      <c r="CP109" s="41"/>
      <c r="CQ109" s="41"/>
      <c r="CR109" s="41"/>
      <c r="CS109" s="41"/>
      <c r="CT109" s="41"/>
      <c r="CU109" s="42"/>
      <c r="CV109" s="95"/>
      <c r="CW109" s="41"/>
      <c r="CX109" s="41"/>
      <c r="CY109" s="42"/>
      <c r="CZ109" s="95"/>
      <c r="DA109" s="41"/>
      <c r="DB109" s="41"/>
      <c r="DC109" s="41"/>
      <c r="DD109" s="41"/>
      <c r="DE109" s="42"/>
      <c r="DF109" s="95"/>
      <c r="DG109" s="41"/>
      <c r="DH109" s="41"/>
      <c r="DI109" s="41"/>
      <c r="DJ109" s="42"/>
      <c r="DK109" s="95"/>
      <c r="DL109" s="41"/>
      <c r="DM109" s="41"/>
      <c r="DN109" s="41"/>
      <c r="DO109" s="41"/>
      <c r="DP109" s="41"/>
      <c r="DQ109" s="41"/>
      <c r="DR109" s="41"/>
      <c r="DS109" s="41"/>
      <c r="DT109" s="41"/>
      <c r="DU109" s="41"/>
      <c r="DV109" s="42"/>
      <c r="DX109" s="138"/>
      <c r="DY109" s="34"/>
      <c r="DZ109" s="34"/>
      <c r="EA109" s="34"/>
      <c r="EB109" s="34"/>
      <c r="EC109" s="34"/>
      <c r="ED109" s="34"/>
      <c r="EE109" s="139"/>
      <c r="EF109" s="138"/>
      <c r="EG109" s="34"/>
      <c r="EH109" s="34"/>
      <c r="EI109" s="139"/>
      <c r="EJ109" s="138"/>
      <c r="EK109" s="34"/>
      <c r="EL109" s="34"/>
      <c r="EM109" s="34"/>
      <c r="EN109" s="34"/>
      <c r="EO109" s="139"/>
      <c r="EP109" s="138"/>
      <c r="EQ109" s="34"/>
      <c r="ER109" s="34"/>
      <c r="ES109" s="34"/>
      <c r="ET109" s="139"/>
      <c r="EU109" s="138"/>
      <c r="EV109" s="34"/>
      <c r="EW109" s="34"/>
      <c r="EX109" s="34"/>
      <c r="EY109" s="34"/>
      <c r="EZ109" s="34"/>
      <c r="FA109" s="34"/>
      <c r="FB109" s="34"/>
      <c r="FC109" s="34"/>
      <c r="FD109" s="34"/>
      <c r="FE109" s="34"/>
      <c r="FF109" s="139"/>
    </row>
    <row r="110" spans="2:162" x14ac:dyDescent="0.25">
      <c r="B110" s="127">
        <f t="shared" si="1979"/>
        <v>45581</v>
      </c>
      <c r="C110" s="266"/>
      <c r="D110" s="53"/>
      <c r="E110" s="129"/>
      <c r="F110" s="25"/>
      <c r="G110" s="25"/>
      <c r="H110" s="150"/>
      <c r="I110" s="24"/>
      <c r="J110" s="151"/>
      <c r="K110" s="151"/>
      <c r="L110" s="152"/>
      <c r="M110" s="152"/>
      <c r="N110" s="153"/>
      <c r="O110" s="25"/>
      <c r="P110" s="95"/>
      <c r="Q110" s="41"/>
      <c r="R110" s="41"/>
      <c r="S110" s="41"/>
      <c r="T110" s="41"/>
      <c r="U110" s="41"/>
      <c r="V110" s="41"/>
      <c r="W110" s="42"/>
      <c r="X110" s="95"/>
      <c r="Y110" s="41"/>
      <c r="Z110" s="41"/>
      <c r="AA110" s="42"/>
      <c r="AB110" s="95"/>
      <c r="AC110" s="41"/>
      <c r="AD110" s="41"/>
      <c r="AE110" s="41"/>
      <c r="AF110" s="41"/>
      <c r="AG110" s="42"/>
      <c r="AH110" s="95"/>
      <c r="AI110" s="41"/>
      <c r="AJ110" s="41"/>
      <c r="AK110" s="41"/>
      <c r="AL110" s="42"/>
      <c r="AM110" s="95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2"/>
      <c r="BB110" s="95"/>
      <c r="BC110" s="41"/>
      <c r="BD110" s="41"/>
      <c r="BE110" s="41"/>
      <c r="BF110" s="41"/>
      <c r="BG110" s="41"/>
      <c r="BH110" s="41"/>
      <c r="BI110" s="42"/>
      <c r="BJ110" s="95"/>
      <c r="BK110" s="41"/>
      <c r="BL110" s="41"/>
      <c r="BM110" s="42"/>
      <c r="BN110" s="95"/>
      <c r="BO110" s="41"/>
      <c r="BP110" s="41"/>
      <c r="BQ110" s="41"/>
      <c r="BR110" s="41"/>
      <c r="BS110" s="42"/>
      <c r="BT110" s="95"/>
      <c r="BU110" s="41"/>
      <c r="BV110" s="41"/>
      <c r="BW110" s="41"/>
      <c r="BX110" s="42"/>
      <c r="BY110" s="95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2"/>
      <c r="CL110" s="36"/>
      <c r="CN110" s="95"/>
      <c r="CO110" s="41"/>
      <c r="CP110" s="41"/>
      <c r="CQ110" s="41"/>
      <c r="CR110" s="41"/>
      <c r="CS110" s="41"/>
      <c r="CT110" s="41"/>
      <c r="CU110" s="42"/>
      <c r="CV110" s="95"/>
      <c r="CW110" s="41"/>
      <c r="CX110" s="41"/>
      <c r="CY110" s="42"/>
      <c r="CZ110" s="95"/>
      <c r="DA110" s="41"/>
      <c r="DB110" s="41"/>
      <c r="DC110" s="41"/>
      <c r="DD110" s="41"/>
      <c r="DE110" s="42"/>
      <c r="DF110" s="95"/>
      <c r="DG110" s="41"/>
      <c r="DH110" s="41"/>
      <c r="DI110" s="41"/>
      <c r="DJ110" s="42"/>
      <c r="DK110" s="95"/>
      <c r="DL110" s="41"/>
      <c r="DM110" s="41"/>
      <c r="DN110" s="41"/>
      <c r="DO110" s="41"/>
      <c r="DP110" s="41"/>
      <c r="DQ110" s="41"/>
      <c r="DR110" s="41"/>
      <c r="DS110" s="41"/>
      <c r="DT110" s="41"/>
      <c r="DU110" s="41"/>
      <c r="DV110" s="42"/>
      <c r="DX110" s="138"/>
      <c r="DY110" s="34"/>
      <c r="DZ110" s="34"/>
      <c r="EA110" s="34"/>
      <c r="EB110" s="34"/>
      <c r="EC110" s="34"/>
      <c r="ED110" s="34"/>
      <c r="EE110" s="139"/>
      <c r="EF110" s="138"/>
      <c r="EG110" s="34"/>
      <c r="EH110" s="34"/>
      <c r="EI110" s="139"/>
      <c r="EJ110" s="138"/>
      <c r="EK110" s="34"/>
      <c r="EL110" s="34"/>
      <c r="EM110" s="34"/>
      <c r="EN110" s="34"/>
      <c r="EO110" s="139"/>
      <c r="EP110" s="138"/>
      <c r="EQ110" s="34"/>
      <c r="ER110" s="34"/>
      <c r="ES110" s="34"/>
      <c r="ET110" s="139"/>
      <c r="EU110" s="138"/>
      <c r="EV110" s="34"/>
      <c r="EW110" s="34"/>
      <c r="EX110" s="34"/>
      <c r="EY110" s="34"/>
      <c r="EZ110" s="34"/>
      <c r="FA110" s="34"/>
      <c r="FB110" s="34"/>
      <c r="FC110" s="34"/>
      <c r="FD110" s="34"/>
      <c r="FE110" s="34"/>
      <c r="FF110" s="139"/>
    </row>
    <row r="111" spans="2:162" x14ac:dyDescent="0.25">
      <c r="B111" s="127">
        <f t="shared" si="1979"/>
        <v>45582</v>
      </c>
      <c r="C111" s="266"/>
      <c r="D111" s="53"/>
      <c r="E111" s="129"/>
      <c r="F111" s="25"/>
      <c r="G111" s="25"/>
      <c r="H111" s="150"/>
      <c r="I111" s="24"/>
      <c r="J111" s="151"/>
      <c r="K111" s="151"/>
      <c r="L111" s="152"/>
      <c r="M111" s="152"/>
      <c r="N111" s="153"/>
      <c r="O111" s="25"/>
      <c r="P111" s="95"/>
      <c r="Q111" s="41"/>
      <c r="R111" s="41"/>
      <c r="S111" s="41"/>
      <c r="T111" s="41"/>
      <c r="U111" s="41"/>
      <c r="V111" s="41"/>
      <c r="W111" s="42"/>
      <c r="X111" s="95"/>
      <c r="Y111" s="41"/>
      <c r="Z111" s="41"/>
      <c r="AA111" s="42"/>
      <c r="AB111" s="95"/>
      <c r="AC111" s="41"/>
      <c r="AD111" s="41"/>
      <c r="AE111" s="41"/>
      <c r="AF111" s="41"/>
      <c r="AG111" s="42"/>
      <c r="AH111" s="95"/>
      <c r="AI111" s="41"/>
      <c r="AJ111" s="41"/>
      <c r="AK111" s="41"/>
      <c r="AL111" s="42"/>
      <c r="AM111" s="95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2"/>
      <c r="BB111" s="95"/>
      <c r="BC111" s="41"/>
      <c r="BD111" s="41"/>
      <c r="BE111" s="41"/>
      <c r="BF111" s="41"/>
      <c r="BG111" s="41"/>
      <c r="BH111" s="41"/>
      <c r="BI111" s="42"/>
      <c r="BJ111" s="95"/>
      <c r="BK111" s="41"/>
      <c r="BL111" s="41"/>
      <c r="BM111" s="42"/>
      <c r="BN111" s="95"/>
      <c r="BO111" s="41"/>
      <c r="BP111" s="41"/>
      <c r="BQ111" s="41"/>
      <c r="BR111" s="41"/>
      <c r="BS111" s="42"/>
      <c r="BT111" s="95"/>
      <c r="BU111" s="41"/>
      <c r="BV111" s="41"/>
      <c r="BW111" s="41"/>
      <c r="BX111" s="42"/>
      <c r="BY111" s="95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2"/>
      <c r="CL111" s="36"/>
      <c r="CN111" s="95"/>
      <c r="CO111" s="41"/>
      <c r="CP111" s="41"/>
      <c r="CQ111" s="41"/>
      <c r="CR111" s="41"/>
      <c r="CS111" s="41"/>
      <c r="CT111" s="41"/>
      <c r="CU111" s="42"/>
      <c r="CV111" s="95"/>
      <c r="CW111" s="41"/>
      <c r="CX111" s="41"/>
      <c r="CY111" s="42"/>
      <c r="CZ111" s="95"/>
      <c r="DA111" s="41"/>
      <c r="DB111" s="41"/>
      <c r="DC111" s="41"/>
      <c r="DD111" s="41"/>
      <c r="DE111" s="42"/>
      <c r="DF111" s="95"/>
      <c r="DG111" s="41"/>
      <c r="DH111" s="41"/>
      <c r="DI111" s="41"/>
      <c r="DJ111" s="42"/>
      <c r="DK111" s="95"/>
      <c r="DL111" s="41"/>
      <c r="DM111" s="41"/>
      <c r="DN111" s="41"/>
      <c r="DO111" s="41"/>
      <c r="DP111" s="41"/>
      <c r="DQ111" s="41"/>
      <c r="DR111" s="41"/>
      <c r="DS111" s="41"/>
      <c r="DT111" s="41"/>
      <c r="DU111" s="41"/>
      <c r="DV111" s="42"/>
      <c r="DX111" s="138"/>
      <c r="DY111" s="34"/>
      <c r="DZ111" s="34"/>
      <c r="EA111" s="34"/>
      <c r="EB111" s="34"/>
      <c r="EC111" s="34"/>
      <c r="ED111" s="34"/>
      <c r="EE111" s="139"/>
      <c r="EF111" s="138"/>
      <c r="EG111" s="34"/>
      <c r="EH111" s="34"/>
      <c r="EI111" s="139"/>
      <c r="EJ111" s="138"/>
      <c r="EK111" s="34"/>
      <c r="EL111" s="34"/>
      <c r="EM111" s="34"/>
      <c r="EN111" s="34"/>
      <c r="EO111" s="139"/>
      <c r="EP111" s="138"/>
      <c r="EQ111" s="34"/>
      <c r="ER111" s="34"/>
      <c r="ES111" s="34"/>
      <c r="ET111" s="139"/>
      <c r="EU111" s="138"/>
      <c r="EV111" s="34"/>
      <c r="EW111" s="34"/>
      <c r="EX111" s="34"/>
      <c r="EY111" s="34"/>
      <c r="EZ111" s="34"/>
      <c r="FA111" s="34"/>
      <c r="FB111" s="34"/>
      <c r="FC111" s="34"/>
      <c r="FD111" s="34"/>
      <c r="FE111" s="34"/>
      <c r="FF111" s="139"/>
    </row>
    <row r="112" spans="2:162" x14ac:dyDescent="0.25">
      <c r="B112" s="127">
        <f t="shared" si="1979"/>
        <v>45583</v>
      </c>
      <c r="C112" s="266"/>
      <c r="D112" s="53">
        <v>4</v>
      </c>
      <c r="E112" s="129">
        <v>11.54</v>
      </c>
      <c r="F112" s="25"/>
      <c r="G112" s="25"/>
      <c r="H112" s="150">
        <v>4</v>
      </c>
      <c r="I112" s="24">
        <v>3</v>
      </c>
      <c r="J112" s="151">
        <f>8/9</f>
        <v>0.88888888888888884</v>
      </c>
      <c r="K112" s="151"/>
      <c r="L112" s="152">
        <v>11.7</v>
      </c>
      <c r="M112" s="152">
        <f t="shared" ref="M112:M114" si="1980">H112/I112*K112*L112*1.5</f>
        <v>0</v>
      </c>
      <c r="N112" s="153">
        <f t="shared" ref="N112:N114" si="1981">H112/I112*J112*L112*N$4</f>
        <v>15.253333333333334</v>
      </c>
      <c r="O112" s="25"/>
      <c r="P112" s="95"/>
      <c r="Q112" s="41"/>
      <c r="R112" s="41"/>
      <c r="S112" s="41"/>
      <c r="T112" s="41">
        <v>1</v>
      </c>
      <c r="U112" s="41"/>
      <c r="V112" s="41">
        <v>2</v>
      </c>
      <c r="W112" s="42"/>
      <c r="X112" s="95"/>
      <c r="Y112" s="41"/>
      <c r="Z112" s="41"/>
      <c r="AA112" s="42"/>
      <c r="AB112" s="95"/>
      <c r="AC112" s="41"/>
      <c r="AD112" s="41"/>
      <c r="AE112" s="41"/>
      <c r="AF112" s="41"/>
      <c r="AG112" s="42"/>
      <c r="AH112" s="95"/>
      <c r="AI112" s="41"/>
      <c r="AJ112" s="41"/>
      <c r="AK112" s="41"/>
      <c r="AL112" s="42"/>
      <c r="AM112" s="95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2"/>
      <c r="BB112" s="95">
        <f t="shared" ref="BB112:BB114" si="1982">$N112*DX112</f>
        <v>0</v>
      </c>
      <c r="BC112" s="41">
        <f t="shared" ref="BC112:BC114" si="1983">$N112*DY112</f>
        <v>0</v>
      </c>
      <c r="BD112" s="41">
        <f t="shared" ref="BD112:BD114" si="1984">$N112*DZ112</f>
        <v>0</v>
      </c>
      <c r="BE112" s="41">
        <f t="shared" ref="BE112:BE114" si="1985">$N112*EA112</f>
        <v>0</v>
      </c>
      <c r="BF112" s="41">
        <f t="shared" ref="BF112:BF114" si="1986">$N112*EB112</f>
        <v>1.3217793183131139</v>
      </c>
      <c r="BG112" s="41">
        <f t="shared" ref="BG112:BG114" si="1987">$N112*EC112</f>
        <v>0</v>
      </c>
      <c r="BH112" s="41">
        <f t="shared" ref="BH112:BH114" si="1988">$N112*ED112</f>
        <v>2.6435586366262278</v>
      </c>
      <c r="BI112" s="42">
        <f t="shared" ref="BI112:BI114" si="1989">$N112*EE112</f>
        <v>0</v>
      </c>
      <c r="BJ112" s="95">
        <f t="shared" ref="BJ112:BJ114" si="1990">$N112*EF112</f>
        <v>0</v>
      </c>
      <c r="BK112" s="41">
        <f t="shared" ref="BK112:BK114" si="1991">$N112*EG112</f>
        <v>0</v>
      </c>
      <c r="BL112" s="41">
        <f t="shared" ref="BL112:BL114" si="1992">$N112*EH112</f>
        <v>0</v>
      </c>
      <c r="BM112" s="42">
        <f t="shared" ref="BM112:BM114" si="1993">$N112*EI112</f>
        <v>0</v>
      </c>
      <c r="BN112" s="95">
        <f t="shared" ref="BN112:BN114" si="1994">$N112*EJ112</f>
        <v>0</v>
      </c>
      <c r="BO112" s="41">
        <f t="shared" ref="BO112:BO114" si="1995">$N112*EK112</f>
        <v>0</v>
      </c>
      <c r="BP112" s="41">
        <f t="shared" ref="BP112:BP114" si="1996">$N112*EL112</f>
        <v>0</v>
      </c>
      <c r="BQ112" s="41">
        <f t="shared" ref="BQ112:BQ114" si="1997">$N112*EM112</f>
        <v>0</v>
      </c>
      <c r="BR112" s="41">
        <f t="shared" ref="BR112:BR114" si="1998">$N112*EN112</f>
        <v>0</v>
      </c>
      <c r="BS112" s="42">
        <f t="shared" ref="BS112:BS114" si="1999">$N112*EO112</f>
        <v>0</v>
      </c>
      <c r="BT112" s="95">
        <f t="shared" ref="BT112:BT114" si="2000">$N112*EP112</f>
        <v>0</v>
      </c>
      <c r="BU112" s="41">
        <f t="shared" ref="BU112:BU114" si="2001">$N112*EQ112</f>
        <v>0</v>
      </c>
      <c r="BV112" s="41">
        <f t="shared" ref="BV112:BV114" si="2002">$N112*ER112</f>
        <v>0</v>
      </c>
      <c r="BW112" s="41">
        <f t="shared" ref="BW112:BW114" si="2003">$N112*ES112</f>
        <v>0</v>
      </c>
      <c r="BX112" s="42">
        <f t="shared" ref="BX112:BX114" si="2004">$N112*ET112</f>
        <v>0</v>
      </c>
      <c r="BY112" s="95">
        <f t="shared" ref="BY112:BY114" si="2005">$N112*EU112</f>
        <v>0</v>
      </c>
      <c r="BZ112" s="41">
        <f t="shared" ref="BZ112:BZ114" si="2006">$N112*EV112</f>
        <v>0</v>
      </c>
      <c r="CA112" s="41">
        <f t="shared" ref="CA112:CA114" si="2007">$N112*EW112</f>
        <v>0</v>
      </c>
      <c r="CB112" s="41">
        <f t="shared" ref="CB112:CB114" si="2008">$N112*EX112</f>
        <v>0</v>
      </c>
      <c r="CC112" s="41">
        <f t="shared" ref="CC112:CC114" si="2009">$N112*EY112</f>
        <v>0</v>
      </c>
      <c r="CD112" s="41">
        <f t="shared" ref="CD112:CD114" si="2010">$N112*EZ112</f>
        <v>0</v>
      </c>
      <c r="CE112" s="41">
        <f t="shared" ref="CE112:CE114" si="2011">$N112*FA112</f>
        <v>0</v>
      </c>
      <c r="CF112" s="41">
        <f t="shared" ref="CF112:CF114" si="2012">$N112*FB112</f>
        <v>0</v>
      </c>
      <c r="CG112" s="41">
        <f t="shared" ref="CG112:CG114" si="2013">$N112*FC112</f>
        <v>0</v>
      </c>
      <c r="CH112" s="41">
        <f t="shared" ref="CH112:CH114" si="2014">$N112*FD112</f>
        <v>0</v>
      </c>
      <c r="CI112" s="41">
        <f t="shared" ref="CI112:CI114" si="2015">$N112*FE112</f>
        <v>0</v>
      </c>
      <c r="CJ112" s="42">
        <f t="shared" ref="CJ112:CJ114" si="2016">$N112*FF112</f>
        <v>0</v>
      </c>
      <c r="CL112" s="36"/>
      <c r="CN112" s="95"/>
      <c r="CO112" s="41"/>
      <c r="CP112" s="41"/>
      <c r="CQ112" s="41"/>
      <c r="CR112" s="41"/>
      <c r="CS112" s="41"/>
      <c r="CT112" s="41"/>
      <c r="CU112" s="42"/>
      <c r="CV112" s="95"/>
      <c r="CW112" s="41"/>
      <c r="CX112" s="41"/>
      <c r="CY112" s="42"/>
      <c r="CZ112" s="95"/>
      <c r="DA112" s="41"/>
      <c r="DB112" s="41"/>
      <c r="DC112" s="41"/>
      <c r="DD112" s="41"/>
      <c r="DE112" s="42"/>
      <c r="DF112" s="95"/>
      <c r="DG112" s="41"/>
      <c r="DH112" s="41"/>
      <c r="DI112" s="41"/>
      <c r="DJ112" s="42"/>
      <c r="DK112" s="95"/>
      <c r="DL112" s="41"/>
      <c r="DM112" s="41"/>
      <c r="DN112" s="41"/>
      <c r="DO112" s="41"/>
      <c r="DP112" s="41"/>
      <c r="DQ112" s="41"/>
      <c r="DR112" s="41"/>
      <c r="DS112" s="41"/>
      <c r="DT112" s="41"/>
      <c r="DU112" s="41"/>
      <c r="DV112" s="42"/>
      <c r="DX112" s="138">
        <f t="shared" ref="DX112" si="2017">P112/$E112</f>
        <v>0</v>
      </c>
      <c r="DY112" s="34">
        <f t="shared" ref="DY112" si="2018">Q112/$E112</f>
        <v>0</v>
      </c>
      <c r="DZ112" s="34">
        <f t="shared" ref="DZ112" si="2019">R112/$E112</f>
        <v>0</v>
      </c>
      <c r="EA112" s="34">
        <f t="shared" ref="EA112" si="2020">S112/$E112</f>
        <v>0</v>
      </c>
      <c r="EB112" s="34">
        <f t="shared" ref="EB112" si="2021">T112/$E112</f>
        <v>8.6655112651646451E-2</v>
      </c>
      <c r="EC112" s="34">
        <f t="shared" ref="EC112" si="2022">U112/$E112</f>
        <v>0</v>
      </c>
      <c r="ED112" s="34">
        <f t="shared" ref="ED112" si="2023">V112/$E112</f>
        <v>0.1733102253032929</v>
      </c>
      <c r="EE112" s="139">
        <f t="shared" ref="EE112" si="2024">W112/$E112</f>
        <v>0</v>
      </c>
      <c r="EF112" s="138">
        <f t="shared" ref="EF112" si="2025">X112/$E112</f>
        <v>0</v>
      </c>
      <c r="EG112" s="34">
        <f t="shared" ref="EG112" si="2026">Y112/$E112</f>
        <v>0</v>
      </c>
      <c r="EH112" s="34">
        <f t="shared" ref="EH112" si="2027">Z112/$E112</f>
        <v>0</v>
      </c>
      <c r="EI112" s="139">
        <f t="shared" ref="EI112" si="2028">AA112/$E112</f>
        <v>0</v>
      </c>
      <c r="EJ112" s="138">
        <f t="shared" ref="EJ112" si="2029">AB112/$E112</f>
        <v>0</v>
      </c>
      <c r="EK112" s="34">
        <f t="shared" ref="EK112" si="2030">AC112/$E112</f>
        <v>0</v>
      </c>
      <c r="EL112" s="34">
        <f t="shared" ref="EL112" si="2031">AD112/$E112</f>
        <v>0</v>
      </c>
      <c r="EM112" s="34">
        <f t="shared" ref="EM112" si="2032">AE112/$E112</f>
        <v>0</v>
      </c>
      <c r="EN112" s="34">
        <f t="shared" ref="EN112" si="2033">AF112/$E112</f>
        <v>0</v>
      </c>
      <c r="EO112" s="139">
        <f t="shared" ref="EO112" si="2034">AG112/$E112</f>
        <v>0</v>
      </c>
      <c r="EP112" s="138">
        <f t="shared" ref="EP112" si="2035">AH112/$E112</f>
        <v>0</v>
      </c>
      <c r="EQ112" s="34">
        <f t="shared" ref="EQ112" si="2036">AI112/$E112</f>
        <v>0</v>
      </c>
      <c r="ER112" s="34">
        <f t="shared" ref="ER112" si="2037">AJ112/$E112</f>
        <v>0</v>
      </c>
      <c r="ES112" s="34">
        <f t="shared" ref="ES112" si="2038">AK112/$E112</f>
        <v>0</v>
      </c>
      <c r="ET112" s="139">
        <f t="shared" ref="ET112" si="2039">AL112/$E112</f>
        <v>0</v>
      </c>
      <c r="EU112" s="138">
        <f t="shared" ref="EU112" si="2040">AM112/$E112</f>
        <v>0</v>
      </c>
      <c r="EV112" s="34">
        <f t="shared" ref="EV112" si="2041">AN112/$E112</f>
        <v>0</v>
      </c>
      <c r="EW112" s="34">
        <f t="shared" ref="EW112" si="2042">AO112/$E112</f>
        <v>0</v>
      </c>
      <c r="EX112" s="34">
        <f t="shared" ref="EX112" si="2043">AP112/$E112</f>
        <v>0</v>
      </c>
      <c r="EY112" s="34">
        <f t="shared" ref="EY112" si="2044">AQ112/$E112</f>
        <v>0</v>
      </c>
      <c r="EZ112" s="34">
        <f t="shared" ref="EZ112" si="2045">AR112/$E112</f>
        <v>0</v>
      </c>
      <c r="FA112" s="34">
        <f t="shared" ref="FA112" si="2046">AS112/$E112</f>
        <v>0</v>
      </c>
      <c r="FB112" s="34">
        <f t="shared" ref="FB112" si="2047">AT112/$E112</f>
        <v>0</v>
      </c>
      <c r="FC112" s="34">
        <f t="shared" ref="FC112" si="2048">AU112/$E112</f>
        <v>0</v>
      </c>
      <c r="FD112" s="34">
        <f t="shared" ref="FD112" si="2049">AV112/$E112</f>
        <v>0</v>
      </c>
      <c r="FE112" s="34">
        <f t="shared" ref="FE112" si="2050">AY112/$E112</f>
        <v>0</v>
      </c>
      <c r="FF112" s="139">
        <f t="shared" ref="FF112" si="2051">AZ112/$E112</f>
        <v>0</v>
      </c>
    </row>
    <row r="113" spans="2:162" x14ac:dyDescent="0.25">
      <c r="B113" s="127">
        <f t="shared" si="1979"/>
        <v>45584</v>
      </c>
      <c r="C113" s="266"/>
      <c r="D113" s="53">
        <v>12</v>
      </c>
      <c r="E113" s="129">
        <v>28.42</v>
      </c>
      <c r="F113" s="25"/>
      <c r="G113" s="25"/>
      <c r="H113" s="150">
        <v>12</v>
      </c>
      <c r="I113" s="24">
        <v>3</v>
      </c>
      <c r="J113" s="151">
        <f>9/12</f>
        <v>0.75</v>
      </c>
      <c r="K113" s="151"/>
      <c r="L113" s="152">
        <v>11.6</v>
      </c>
      <c r="M113" s="152">
        <f t="shared" si="1980"/>
        <v>0</v>
      </c>
      <c r="N113" s="153">
        <f t="shared" si="1981"/>
        <v>38.28</v>
      </c>
      <c r="O113" s="25"/>
      <c r="P113" s="95"/>
      <c r="Q113" s="41"/>
      <c r="R113" s="41"/>
      <c r="S113" s="41"/>
      <c r="T113" s="41"/>
      <c r="U113" s="41"/>
      <c r="V113" s="41">
        <v>2</v>
      </c>
      <c r="W113" s="42"/>
      <c r="X113" s="95">
        <v>1</v>
      </c>
      <c r="Y113" s="41"/>
      <c r="Z113" s="41"/>
      <c r="AA113" s="42"/>
      <c r="AB113" s="95"/>
      <c r="AC113" s="41"/>
      <c r="AD113" s="41"/>
      <c r="AE113" s="41"/>
      <c r="AF113" s="41"/>
      <c r="AG113" s="42"/>
      <c r="AH113" s="95"/>
      <c r="AI113" s="41"/>
      <c r="AJ113" s="41"/>
      <c r="AK113" s="41"/>
      <c r="AL113" s="42"/>
      <c r="AM113" s="95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2"/>
      <c r="BB113" s="95">
        <f t="shared" si="1982"/>
        <v>0</v>
      </c>
      <c r="BC113" s="41">
        <f t="shared" si="1983"/>
        <v>0</v>
      </c>
      <c r="BD113" s="41">
        <f t="shared" si="1984"/>
        <v>0</v>
      </c>
      <c r="BE113" s="41">
        <f t="shared" si="1985"/>
        <v>0</v>
      </c>
      <c r="BF113" s="41">
        <f t="shared" si="1986"/>
        <v>0</v>
      </c>
      <c r="BG113" s="41">
        <f t="shared" si="1987"/>
        <v>0</v>
      </c>
      <c r="BH113" s="41">
        <f t="shared" si="1988"/>
        <v>2.693877551020408</v>
      </c>
      <c r="BI113" s="42">
        <f t="shared" si="1989"/>
        <v>0</v>
      </c>
      <c r="BJ113" s="95">
        <f t="shared" si="1990"/>
        <v>1.346938775510204</v>
      </c>
      <c r="BK113" s="41">
        <f t="shared" si="1991"/>
        <v>0</v>
      </c>
      <c r="BL113" s="41">
        <f t="shared" si="1992"/>
        <v>0</v>
      </c>
      <c r="BM113" s="42">
        <f t="shared" si="1993"/>
        <v>0</v>
      </c>
      <c r="BN113" s="95">
        <f t="shared" si="1994"/>
        <v>0</v>
      </c>
      <c r="BO113" s="41">
        <f t="shared" si="1995"/>
        <v>0</v>
      </c>
      <c r="BP113" s="41">
        <f t="shared" si="1996"/>
        <v>0</v>
      </c>
      <c r="BQ113" s="41">
        <f t="shared" si="1997"/>
        <v>0</v>
      </c>
      <c r="BR113" s="41">
        <f t="shared" si="1998"/>
        <v>0</v>
      </c>
      <c r="BS113" s="42">
        <f t="shared" si="1999"/>
        <v>0</v>
      </c>
      <c r="BT113" s="95">
        <f t="shared" si="2000"/>
        <v>0</v>
      </c>
      <c r="BU113" s="41">
        <f t="shared" si="2001"/>
        <v>0</v>
      </c>
      <c r="BV113" s="41">
        <f t="shared" si="2002"/>
        <v>0</v>
      </c>
      <c r="BW113" s="41">
        <f t="shared" si="2003"/>
        <v>0</v>
      </c>
      <c r="BX113" s="42">
        <f t="shared" si="2004"/>
        <v>0</v>
      </c>
      <c r="BY113" s="95">
        <f t="shared" si="2005"/>
        <v>0</v>
      </c>
      <c r="BZ113" s="41">
        <f t="shared" si="2006"/>
        <v>0</v>
      </c>
      <c r="CA113" s="41">
        <f t="shared" si="2007"/>
        <v>0</v>
      </c>
      <c r="CB113" s="41">
        <f t="shared" si="2008"/>
        <v>0</v>
      </c>
      <c r="CC113" s="41">
        <f t="shared" si="2009"/>
        <v>0</v>
      </c>
      <c r="CD113" s="41">
        <f t="shared" si="2010"/>
        <v>0</v>
      </c>
      <c r="CE113" s="41">
        <f t="shared" si="2011"/>
        <v>0</v>
      </c>
      <c r="CF113" s="41">
        <f t="shared" si="2012"/>
        <v>0</v>
      </c>
      <c r="CG113" s="41">
        <f t="shared" si="2013"/>
        <v>0</v>
      </c>
      <c r="CH113" s="41">
        <f t="shared" si="2014"/>
        <v>0</v>
      </c>
      <c r="CI113" s="41">
        <f t="shared" si="2015"/>
        <v>0</v>
      </c>
      <c r="CJ113" s="42">
        <f t="shared" si="2016"/>
        <v>0</v>
      </c>
      <c r="CL113" s="36">
        <v>2</v>
      </c>
      <c r="CN113" s="95">
        <f t="shared" ref="CN113" si="2052">AVERAGE(BB113:BB114)*$CL113</f>
        <v>0</v>
      </c>
      <c r="CO113" s="41">
        <f t="shared" ref="CO113" si="2053">AVERAGE(BC113:BC114)*$CL113</f>
        <v>0</v>
      </c>
      <c r="CP113" s="41">
        <f t="shared" ref="CP113" si="2054">AVERAGE(BD113:BD114)*$CL113</f>
        <v>0</v>
      </c>
      <c r="CQ113" s="41">
        <f t="shared" ref="CQ113" si="2055">AVERAGE(BE113:BE114)*$CL113</f>
        <v>0</v>
      </c>
      <c r="CR113" s="41">
        <f t="shared" ref="CR113" si="2056">AVERAGE(BF113:BF114)*$CL113</f>
        <v>0</v>
      </c>
      <c r="CS113" s="41">
        <f t="shared" ref="CS113" si="2057">AVERAGE(BG113:BG114)*$CL113</f>
        <v>0</v>
      </c>
      <c r="CT113" s="41">
        <f t="shared" ref="CT113" si="2058">AVERAGE(BH113:BH114)*$CL113</f>
        <v>2.693877551020408</v>
      </c>
      <c r="CU113" s="42">
        <f t="shared" ref="CU113" si="2059">AVERAGE(BI113:BI114)*$CL113</f>
        <v>0</v>
      </c>
      <c r="CV113" s="95">
        <f t="shared" ref="CV113" si="2060">AVERAGE(BJ113:BJ114)*$CL113</f>
        <v>1.346938775510204</v>
      </c>
      <c r="CW113" s="41">
        <f t="shared" ref="CW113" si="2061">AVERAGE(BK113:BK114)*$CL113</f>
        <v>0</v>
      </c>
      <c r="CX113" s="41">
        <f t="shared" ref="CX113" si="2062">AVERAGE(BL113:BL114)*$CL113</f>
        <v>0</v>
      </c>
      <c r="CY113" s="42">
        <f t="shared" ref="CY113" si="2063">AVERAGE(BM113:BM114)*$CL113</f>
        <v>0</v>
      </c>
      <c r="CZ113" s="95">
        <f t="shared" ref="CZ113" si="2064">AVERAGE(BN113:BN114)*$CL113</f>
        <v>0</v>
      </c>
      <c r="DA113" s="41">
        <f t="shared" ref="DA113" si="2065">AVERAGE(BO113:BO114)*$CL113</f>
        <v>0</v>
      </c>
      <c r="DB113" s="41">
        <f t="shared" ref="DB113" si="2066">AVERAGE(BP113:BP114)*$CL113</f>
        <v>0</v>
      </c>
      <c r="DC113" s="41">
        <f t="shared" ref="DC113" si="2067">AVERAGE(BQ113:BQ114)*$CL113</f>
        <v>0</v>
      </c>
      <c r="DD113" s="41">
        <f t="shared" ref="DD113" si="2068">AVERAGE(BR113:BR114)*$CL113</f>
        <v>0</v>
      </c>
      <c r="DE113" s="42">
        <f t="shared" ref="DE113" si="2069">AVERAGE(BS113:BS114)*$CL113</f>
        <v>0</v>
      </c>
      <c r="DF113" s="95">
        <f t="shared" ref="DF113" si="2070">AVERAGE(BT113:BT114)*$CL113</f>
        <v>0</v>
      </c>
      <c r="DG113" s="41">
        <f t="shared" ref="DG113" si="2071">AVERAGE(BU113:BU114)*$CL113</f>
        <v>0</v>
      </c>
      <c r="DH113" s="41">
        <f t="shared" ref="DH113" si="2072">AVERAGE(BV113:BV114)*$CL113</f>
        <v>0</v>
      </c>
      <c r="DI113" s="41">
        <f t="shared" ref="DI113" si="2073">AVERAGE(BW113:BW114)*$CL113</f>
        <v>0</v>
      </c>
      <c r="DJ113" s="42">
        <f t="shared" ref="DJ113" si="2074">AVERAGE(BX113:BX114)*$CL113</f>
        <v>0</v>
      </c>
      <c r="DK113" s="95">
        <f t="shared" ref="DK113" si="2075">AVERAGE(BY113:BY114)*$CL113</f>
        <v>0</v>
      </c>
      <c r="DL113" s="41">
        <f t="shared" ref="DL113" si="2076">AVERAGE(BZ113:BZ114)*$CL113</f>
        <v>0</v>
      </c>
      <c r="DM113" s="41">
        <f t="shared" ref="DM113" si="2077">AVERAGE(CA113:CA114)*$CL113</f>
        <v>0</v>
      </c>
      <c r="DN113" s="41">
        <f t="shared" ref="DN113" si="2078">AVERAGE(CB113:CB114)*$CL113</f>
        <v>0</v>
      </c>
      <c r="DO113" s="41">
        <f t="shared" ref="DO113" si="2079">AVERAGE(CC113:CC114)*$CL113</f>
        <v>0</v>
      </c>
      <c r="DP113" s="41">
        <f t="shared" ref="DP113" si="2080">AVERAGE(CD113:CD114)*$CL113</f>
        <v>0</v>
      </c>
      <c r="DQ113" s="41">
        <f t="shared" ref="DQ113" si="2081">AVERAGE(CE113:CE114)*$CL113</f>
        <v>0</v>
      </c>
      <c r="DR113" s="41">
        <f t="shared" ref="DR113" si="2082">AVERAGE(CF113:CF114)*$CL113</f>
        <v>0</v>
      </c>
      <c r="DS113" s="41">
        <f t="shared" ref="DS113" si="2083">AVERAGE(CG113:CG114)*$CL113</f>
        <v>0</v>
      </c>
      <c r="DT113" s="41">
        <f t="shared" ref="DT113" si="2084">AVERAGE(CH113:CH114)*$CL113</f>
        <v>0</v>
      </c>
      <c r="DU113" s="41">
        <f t="shared" ref="DU113" si="2085">AVERAGE(CI113:CI114)*$CL113</f>
        <v>0</v>
      </c>
      <c r="DV113" s="42">
        <f t="shared" ref="DV113" si="2086">AVERAGE(CJ113:CJ114)*$CL113</f>
        <v>0</v>
      </c>
      <c r="DX113" s="138">
        <f t="shared" ref="DX113:DX114" si="2087">P113/$E113</f>
        <v>0</v>
      </c>
      <c r="DY113" s="34">
        <f t="shared" ref="DY113:DY114" si="2088">Q113/$E113</f>
        <v>0</v>
      </c>
      <c r="DZ113" s="34">
        <f t="shared" ref="DZ113:DZ114" si="2089">R113/$E113</f>
        <v>0</v>
      </c>
      <c r="EA113" s="34">
        <f t="shared" ref="EA113:EA114" si="2090">S113/$E113</f>
        <v>0</v>
      </c>
      <c r="EB113" s="34">
        <f t="shared" ref="EB113:EB114" si="2091">T113/$E113</f>
        <v>0</v>
      </c>
      <c r="EC113" s="34">
        <f t="shared" ref="EC113:EC114" si="2092">U113/$E113</f>
        <v>0</v>
      </c>
      <c r="ED113" s="34">
        <f t="shared" ref="ED113:ED114" si="2093">V113/$E113</f>
        <v>7.0372976776917659E-2</v>
      </c>
      <c r="EE113" s="139">
        <f t="shared" ref="EE113:EE114" si="2094">W113/$E113</f>
        <v>0</v>
      </c>
      <c r="EF113" s="138">
        <f t="shared" ref="EF113:EF114" si="2095">X113/$E113</f>
        <v>3.5186488388458829E-2</v>
      </c>
      <c r="EG113" s="34">
        <f t="shared" ref="EG113:EG114" si="2096">Y113/$E113</f>
        <v>0</v>
      </c>
      <c r="EH113" s="34">
        <f t="shared" ref="EH113:EH114" si="2097">Z113/$E113</f>
        <v>0</v>
      </c>
      <c r="EI113" s="139">
        <f t="shared" ref="EI113:EI114" si="2098">AA113/$E113</f>
        <v>0</v>
      </c>
      <c r="EJ113" s="138">
        <f t="shared" ref="EJ113:EJ114" si="2099">AB113/$E113</f>
        <v>0</v>
      </c>
      <c r="EK113" s="34">
        <f t="shared" ref="EK113:EK114" si="2100">AC113/$E113</f>
        <v>0</v>
      </c>
      <c r="EL113" s="34">
        <f t="shared" ref="EL113:EL114" si="2101">AD113/$E113</f>
        <v>0</v>
      </c>
      <c r="EM113" s="34">
        <f t="shared" ref="EM113:EM114" si="2102">AE113/$E113</f>
        <v>0</v>
      </c>
      <c r="EN113" s="34">
        <f t="shared" ref="EN113:EN114" si="2103">AF113/$E113</f>
        <v>0</v>
      </c>
      <c r="EO113" s="139">
        <f t="shared" ref="EO113:EO114" si="2104">AG113/$E113</f>
        <v>0</v>
      </c>
      <c r="EP113" s="138">
        <f t="shared" ref="EP113:EP114" si="2105">AH113/$E113</f>
        <v>0</v>
      </c>
      <c r="EQ113" s="34">
        <f t="shared" ref="EQ113:EQ114" si="2106">AI113/$E113</f>
        <v>0</v>
      </c>
      <c r="ER113" s="34">
        <f t="shared" ref="ER113:ER114" si="2107">AJ113/$E113</f>
        <v>0</v>
      </c>
      <c r="ES113" s="34">
        <f t="shared" ref="ES113:ES114" si="2108">AK113/$E113</f>
        <v>0</v>
      </c>
      <c r="ET113" s="139">
        <f t="shared" ref="ET113:ET114" si="2109">AL113/$E113</f>
        <v>0</v>
      </c>
      <c r="EU113" s="138">
        <f t="shared" ref="EU113:EU114" si="2110">AM113/$E113</f>
        <v>0</v>
      </c>
      <c r="EV113" s="34">
        <f t="shared" ref="EV113:EV114" si="2111">AN113/$E113</f>
        <v>0</v>
      </c>
      <c r="EW113" s="34">
        <f t="shared" ref="EW113:EW114" si="2112">AO113/$E113</f>
        <v>0</v>
      </c>
      <c r="EX113" s="34">
        <f t="shared" ref="EX113:EX114" si="2113">AP113/$E113</f>
        <v>0</v>
      </c>
      <c r="EY113" s="34">
        <f t="shared" ref="EY113:EY114" si="2114">AQ113/$E113</f>
        <v>0</v>
      </c>
      <c r="EZ113" s="34">
        <f t="shared" ref="EZ113:EZ114" si="2115">AR113/$E113</f>
        <v>0</v>
      </c>
      <c r="FA113" s="34">
        <f t="shared" ref="FA113:FA114" si="2116">AS113/$E113</f>
        <v>0</v>
      </c>
      <c r="FB113" s="34">
        <f t="shared" ref="FB113:FB114" si="2117">AT113/$E113</f>
        <v>0</v>
      </c>
      <c r="FC113" s="34">
        <f t="shared" ref="FC113:FC114" si="2118">AU113/$E113</f>
        <v>0</v>
      </c>
      <c r="FD113" s="34">
        <f t="shared" ref="FD113:FD114" si="2119">AV113/$E113</f>
        <v>0</v>
      </c>
      <c r="FE113" s="34">
        <f t="shared" ref="FE113:FE114" si="2120">AY113/$E113</f>
        <v>0</v>
      </c>
      <c r="FF113" s="139">
        <f t="shared" ref="FF113:FF114" si="2121">AZ113/$E113</f>
        <v>0</v>
      </c>
    </row>
    <row r="114" spans="2:162" ht="16.5" thickBot="1" x14ac:dyDescent="0.3">
      <c r="B114" s="127">
        <f t="shared" si="1979"/>
        <v>45585</v>
      </c>
      <c r="C114" s="267"/>
      <c r="D114" s="100">
        <v>7</v>
      </c>
      <c r="E114" s="131">
        <v>8.0299999999999994</v>
      </c>
      <c r="F114" s="25"/>
      <c r="G114" s="25"/>
      <c r="H114" s="171">
        <v>7</v>
      </c>
      <c r="I114" s="172">
        <v>2</v>
      </c>
      <c r="J114" s="173">
        <f>5/8</f>
        <v>0.625</v>
      </c>
      <c r="K114" s="173"/>
      <c r="L114" s="174">
        <v>11.6</v>
      </c>
      <c r="M114" s="174">
        <f t="shared" si="1980"/>
        <v>0</v>
      </c>
      <c r="N114" s="175">
        <f t="shared" si="1981"/>
        <v>27.912500000000001</v>
      </c>
      <c r="O114" s="25"/>
      <c r="P114" s="96"/>
      <c r="Q114" s="76"/>
      <c r="R114" s="76"/>
      <c r="S114" s="76"/>
      <c r="T114" s="76"/>
      <c r="U114" s="76"/>
      <c r="V114" s="76"/>
      <c r="W114" s="77"/>
      <c r="X114" s="96"/>
      <c r="Y114" s="76"/>
      <c r="Z114" s="76"/>
      <c r="AA114" s="77"/>
      <c r="AB114" s="96"/>
      <c r="AC114" s="76"/>
      <c r="AD114" s="76"/>
      <c r="AE114" s="76"/>
      <c r="AF114" s="76"/>
      <c r="AG114" s="77"/>
      <c r="AH114" s="96"/>
      <c r="AI114" s="76"/>
      <c r="AJ114" s="76"/>
      <c r="AK114" s="76"/>
      <c r="AL114" s="77"/>
      <c r="AM114" s="96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  <c r="AZ114" s="77"/>
      <c r="BB114" s="96">
        <f t="shared" si="1982"/>
        <v>0</v>
      </c>
      <c r="BC114" s="76">
        <f t="shared" si="1983"/>
        <v>0</v>
      </c>
      <c r="BD114" s="76">
        <f t="shared" si="1984"/>
        <v>0</v>
      </c>
      <c r="BE114" s="76">
        <f t="shared" si="1985"/>
        <v>0</v>
      </c>
      <c r="BF114" s="76">
        <f t="shared" si="1986"/>
        <v>0</v>
      </c>
      <c r="BG114" s="76">
        <f t="shared" si="1987"/>
        <v>0</v>
      </c>
      <c r="BH114" s="76">
        <f t="shared" si="1988"/>
        <v>0</v>
      </c>
      <c r="BI114" s="77">
        <f t="shared" si="1989"/>
        <v>0</v>
      </c>
      <c r="BJ114" s="96">
        <f t="shared" si="1990"/>
        <v>0</v>
      </c>
      <c r="BK114" s="76">
        <f t="shared" si="1991"/>
        <v>0</v>
      </c>
      <c r="BL114" s="76">
        <f t="shared" si="1992"/>
        <v>0</v>
      </c>
      <c r="BM114" s="77">
        <f t="shared" si="1993"/>
        <v>0</v>
      </c>
      <c r="BN114" s="96">
        <f t="shared" si="1994"/>
        <v>0</v>
      </c>
      <c r="BO114" s="76">
        <f t="shared" si="1995"/>
        <v>0</v>
      </c>
      <c r="BP114" s="76">
        <f t="shared" si="1996"/>
        <v>0</v>
      </c>
      <c r="BQ114" s="76">
        <f t="shared" si="1997"/>
        <v>0</v>
      </c>
      <c r="BR114" s="76">
        <f t="shared" si="1998"/>
        <v>0</v>
      </c>
      <c r="BS114" s="77">
        <f t="shared" si="1999"/>
        <v>0</v>
      </c>
      <c r="BT114" s="96">
        <f t="shared" si="2000"/>
        <v>0</v>
      </c>
      <c r="BU114" s="76">
        <f t="shared" si="2001"/>
        <v>0</v>
      </c>
      <c r="BV114" s="76">
        <f t="shared" si="2002"/>
        <v>0</v>
      </c>
      <c r="BW114" s="76">
        <f t="shared" si="2003"/>
        <v>0</v>
      </c>
      <c r="BX114" s="77">
        <f t="shared" si="2004"/>
        <v>0</v>
      </c>
      <c r="BY114" s="96">
        <f t="shared" si="2005"/>
        <v>0</v>
      </c>
      <c r="BZ114" s="76">
        <f t="shared" si="2006"/>
        <v>0</v>
      </c>
      <c r="CA114" s="76">
        <f t="shared" si="2007"/>
        <v>0</v>
      </c>
      <c r="CB114" s="76">
        <f t="shared" si="2008"/>
        <v>0</v>
      </c>
      <c r="CC114" s="76">
        <f t="shared" si="2009"/>
        <v>0</v>
      </c>
      <c r="CD114" s="76">
        <f t="shared" si="2010"/>
        <v>0</v>
      </c>
      <c r="CE114" s="76">
        <f t="shared" si="2011"/>
        <v>0</v>
      </c>
      <c r="CF114" s="76">
        <f t="shared" si="2012"/>
        <v>0</v>
      </c>
      <c r="CG114" s="76">
        <f t="shared" si="2013"/>
        <v>0</v>
      </c>
      <c r="CH114" s="76">
        <f t="shared" si="2014"/>
        <v>0</v>
      </c>
      <c r="CI114" s="76">
        <f t="shared" si="2015"/>
        <v>0</v>
      </c>
      <c r="CJ114" s="77">
        <f t="shared" si="2016"/>
        <v>0</v>
      </c>
      <c r="CN114" s="96"/>
      <c r="CO114" s="76"/>
      <c r="CP114" s="76"/>
      <c r="CQ114" s="76"/>
      <c r="CR114" s="76"/>
      <c r="CS114" s="76"/>
      <c r="CT114" s="76"/>
      <c r="CU114" s="77"/>
      <c r="CV114" s="96"/>
      <c r="CW114" s="76"/>
      <c r="CX114" s="76"/>
      <c r="CY114" s="77"/>
      <c r="CZ114" s="96"/>
      <c r="DA114" s="76"/>
      <c r="DB114" s="76"/>
      <c r="DC114" s="76"/>
      <c r="DD114" s="76"/>
      <c r="DE114" s="77"/>
      <c r="DF114" s="96"/>
      <c r="DG114" s="76"/>
      <c r="DH114" s="76"/>
      <c r="DI114" s="76"/>
      <c r="DJ114" s="77"/>
      <c r="DK114" s="96"/>
      <c r="DL114" s="76"/>
      <c r="DM114" s="76"/>
      <c r="DN114" s="76"/>
      <c r="DO114" s="76"/>
      <c r="DP114" s="76"/>
      <c r="DQ114" s="76"/>
      <c r="DR114" s="76"/>
      <c r="DS114" s="76"/>
      <c r="DT114" s="76"/>
      <c r="DU114" s="76"/>
      <c r="DV114" s="77"/>
      <c r="DX114" s="138">
        <f t="shared" si="2087"/>
        <v>0</v>
      </c>
      <c r="DY114" s="34">
        <f t="shared" si="2088"/>
        <v>0</v>
      </c>
      <c r="DZ114" s="34">
        <f t="shared" si="2089"/>
        <v>0</v>
      </c>
      <c r="EA114" s="34">
        <f t="shared" si="2090"/>
        <v>0</v>
      </c>
      <c r="EB114" s="34">
        <f t="shared" si="2091"/>
        <v>0</v>
      </c>
      <c r="EC114" s="34">
        <f t="shared" si="2092"/>
        <v>0</v>
      </c>
      <c r="ED114" s="34">
        <f t="shared" si="2093"/>
        <v>0</v>
      </c>
      <c r="EE114" s="139">
        <f t="shared" si="2094"/>
        <v>0</v>
      </c>
      <c r="EF114" s="138">
        <f t="shared" si="2095"/>
        <v>0</v>
      </c>
      <c r="EG114" s="34">
        <f t="shared" si="2096"/>
        <v>0</v>
      </c>
      <c r="EH114" s="34">
        <f t="shared" si="2097"/>
        <v>0</v>
      </c>
      <c r="EI114" s="139">
        <f t="shared" si="2098"/>
        <v>0</v>
      </c>
      <c r="EJ114" s="138">
        <f t="shared" si="2099"/>
        <v>0</v>
      </c>
      <c r="EK114" s="34">
        <f t="shared" si="2100"/>
        <v>0</v>
      </c>
      <c r="EL114" s="34">
        <f t="shared" si="2101"/>
        <v>0</v>
      </c>
      <c r="EM114" s="34">
        <f t="shared" si="2102"/>
        <v>0</v>
      </c>
      <c r="EN114" s="34">
        <f t="shared" si="2103"/>
        <v>0</v>
      </c>
      <c r="EO114" s="139">
        <f t="shared" si="2104"/>
        <v>0</v>
      </c>
      <c r="EP114" s="138">
        <f t="shared" si="2105"/>
        <v>0</v>
      </c>
      <c r="EQ114" s="34">
        <f t="shared" si="2106"/>
        <v>0</v>
      </c>
      <c r="ER114" s="34">
        <f t="shared" si="2107"/>
        <v>0</v>
      </c>
      <c r="ES114" s="34">
        <f t="shared" si="2108"/>
        <v>0</v>
      </c>
      <c r="ET114" s="139">
        <f t="shared" si="2109"/>
        <v>0</v>
      </c>
      <c r="EU114" s="138">
        <f t="shared" si="2110"/>
        <v>0</v>
      </c>
      <c r="EV114" s="34">
        <f t="shared" si="2111"/>
        <v>0</v>
      </c>
      <c r="EW114" s="34">
        <f t="shared" si="2112"/>
        <v>0</v>
      </c>
      <c r="EX114" s="34">
        <f t="shared" si="2113"/>
        <v>0</v>
      </c>
      <c r="EY114" s="34">
        <f t="shared" si="2114"/>
        <v>0</v>
      </c>
      <c r="EZ114" s="34">
        <f t="shared" si="2115"/>
        <v>0</v>
      </c>
      <c r="FA114" s="34">
        <f t="shared" si="2116"/>
        <v>0</v>
      </c>
      <c r="FB114" s="34">
        <f t="shared" si="2117"/>
        <v>0</v>
      </c>
      <c r="FC114" s="34">
        <f t="shared" si="2118"/>
        <v>0</v>
      </c>
      <c r="FD114" s="34">
        <f t="shared" si="2119"/>
        <v>0</v>
      </c>
      <c r="FE114" s="34">
        <f t="shared" si="2120"/>
        <v>0</v>
      </c>
      <c r="FF114" s="139">
        <f t="shared" si="2121"/>
        <v>0</v>
      </c>
    </row>
    <row r="115" spans="2:162" ht="17.25" thickTop="1" thickBot="1" x14ac:dyDescent="0.3">
      <c r="B115" s="178"/>
      <c r="C115" s="268"/>
      <c r="D115" s="101">
        <f t="shared" ref="D115:E115" si="2122">SUM(D108:D114)</f>
        <v>23</v>
      </c>
      <c r="E115" s="134">
        <f t="shared" si="2122"/>
        <v>47.99</v>
      </c>
      <c r="F115" s="146"/>
      <c r="G115" s="146"/>
      <c r="H115" s="43"/>
      <c r="I115" s="39"/>
      <c r="J115" s="39"/>
      <c r="K115" s="39"/>
      <c r="L115" s="184"/>
      <c r="M115" s="185"/>
      <c r="N115" s="170">
        <f>AVERAGE(N108:N112)*5+AVERAGE(N113:N114)*2</f>
        <v>142.45916666666665</v>
      </c>
      <c r="O115" s="146"/>
      <c r="P115" s="68">
        <f t="shared" ref="P115:AZ115" si="2123">SUM(P108:P114)</f>
        <v>0</v>
      </c>
      <c r="Q115" s="65">
        <f t="shared" si="2123"/>
        <v>0</v>
      </c>
      <c r="R115" s="65">
        <f t="shared" si="2123"/>
        <v>0</v>
      </c>
      <c r="S115" s="65">
        <f t="shared" si="2123"/>
        <v>0</v>
      </c>
      <c r="T115" s="65">
        <f t="shared" si="2123"/>
        <v>1</v>
      </c>
      <c r="U115" s="65">
        <f t="shared" si="2123"/>
        <v>0</v>
      </c>
      <c r="V115" s="65">
        <f t="shared" si="2123"/>
        <v>4</v>
      </c>
      <c r="W115" s="66">
        <f t="shared" si="2123"/>
        <v>0</v>
      </c>
      <c r="X115" s="68">
        <f t="shared" si="2123"/>
        <v>1</v>
      </c>
      <c r="Y115" s="65">
        <f t="shared" si="2123"/>
        <v>0</v>
      </c>
      <c r="Z115" s="65">
        <f t="shared" si="2123"/>
        <v>0</v>
      </c>
      <c r="AA115" s="66">
        <f t="shared" si="2123"/>
        <v>0</v>
      </c>
      <c r="AB115" s="68">
        <f t="shared" si="2123"/>
        <v>0</v>
      </c>
      <c r="AC115" s="65">
        <f t="shared" si="2123"/>
        <v>0</v>
      </c>
      <c r="AD115" s="65">
        <f t="shared" si="2123"/>
        <v>0</v>
      </c>
      <c r="AE115" s="65">
        <f t="shared" si="2123"/>
        <v>0</v>
      </c>
      <c r="AF115" s="65">
        <f t="shared" si="2123"/>
        <v>0</v>
      </c>
      <c r="AG115" s="66">
        <f t="shared" si="2123"/>
        <v>0</v>
      </c>
      <c r="AH115" s="68">
        <f t="shared" si="2123"/>
        <v>0</v>
      </c>
      <c r="AI115" s="65">
        <f t="shared" si="2123"/>
        <v>0</v>
      </c>
      <c r="AJ115" s="65">
        <f t="shared" si="2123"/>
        <v>0</v>
      </c>
      <c r="AK115" s="65">
        <f t="shared" si="2123"/>
        <v>0</v>
      </c>
      <c r="AL115" s="66">
        <f t="shared" si="2123"/>
        <v>0</v>
      </c>
      <c r="AM115" s="68">
        <f t="shared" si="2123"/>
        <v>0</v>
      </c>
      <c r="AN115" s="65">
        <f t="shared" si="2123"/>
        <v>0</v>
      </c>
      <c r="AO115" s="65">
        <f t="shared" si="2123"/>
        <v>0</v>
      </c>
      <c r="AP115" s="65">
        <f t="shared" si="2123"/>
        <v>0</v>
      </c>
      <c r="AQ115" s="65">
        <f t="shared" si="2123"/>
        <v>0</v>
      </c>
      <c r="AR115" s="65">
        <f t="shared" si="2123"/>
        <v>0</v>
      </c>
      <c r="AS115" s="65">
        <f t="shared" si="2123"/>
        <v>0</v>
      </c>
      <c r="AT115" s="65">
        <f t="shared" si="2123"/>
        <v>0</v>
      </c>
      <c r="AU115" s="65">
        <f t="shared" si="2123"/>
        <v>0</v>
      </c>
      <c r="AV115" s="65">
        <f t="shared" si="2123"/>
        <v>0</v>
      </c>
      <c r="AW115" s="65">
        <f t="shared" si="2123"/>
        <v>0</v>
      </c>
      <c r="AX115" s="65">
        <f t="shared" si="2123"/>
        <v>0</v>
      </c>
      <c r="AY115" s="65">
        <f t="shared" si="2123"/>
        <v>0</v>
      </c>
      <c r="AZ115" s="66">
        <f t="shared" si="2123"/>
        <v>0</v>
      </c>
      <c r="BB115" s="68">
        <f t="shared" ref="BB115:CJ115" si="2124">SUM(BB108:BB114)</f>
        <v>0</v>
      </c>
      <c r="BC115" s="65">
        <f t="shared" si="2124"/>
        <v>0</v>
      </c>
      <c r="BD115" s="65">
        <f t="shared" si="2124"/>
        <v>0</v>
      </c>
      <c r="BE115" s="65">
        <f t="shared" si="2124"/>
        <v>0</v>
      </c>
      <c r="BF115" s="65">
        <f t="shared" si="2124"/>
        <v>1.3217793183131139</v>
      </c>
      <c r="BG115" s="65">
        <f t="shared" si="2124"/>
        <v>0</v>
      </c>
      <c r="BH115" s="65">
        <f t="shared" si="2124"/>
        <v>5.3374361876466363</v>
      </c>
      <c r="BI115" s="66">
        <f t="shared" si="2124"/>
        <v>0</v>
      </c>
      <c r="BJ115" s="68">
        <f t="shared" si="2124"/>
        <v>1.346938775510204</v>
      </c>
      <c r="BK115" s="65">
        <f t="shared" si="2124"/>
        <v>0</v>
      </c>
      <c r="BL115" s="65">
        <f t="shared" si="2124"/>
        <v>0</v>
      </c>
      <c r="BM115" s="66">
        <f t="shared" si="2124"/>
        <v>0</v>
      </c>
      <c r="BN115" s="68">
        <f t="shared" si="2124"/>
        <v>0</v>
      </c>
      <c r="BO115" s="65">
        <f t="shared" si="2124"/>
        <v>0</v>
      </c>
      <c r="BP115" s="65">
        <f t="shared" si="2124"/>
        <v>0</v>
      </c>
      <c r="BQ115" s="65">
        <f t="shared" si="2124"/>
        <v>0</v>
      </c>
      <c r="BR115" s="65">
        <f t="shared" si="2124"/>
        <v>0</v>
      </c>
      <c r="BS115" s="66">
        <f t="shared" si="2124"/>
        <v>0</v>
      </c>
      <c r="BT115" s="68">
        <f t="shared" si="2124"/>
        <v>0</v>
      </c>
      <c r="BU115" s="65">
        <f t="shared" si="2124"/>
        <v>0</v>
      </c>
      <c r="BV115" s="65">
        <f t="shared" si="2124"/>
        <v>0</v>
      </c>
      <c r="BW115" s="65">
        <f t="shared" si="2124"/>
        <v>0</v>
      </c>
      <c r="BX115" s="66">
        <f t="shared" si="2124"/>
        <v>0</v>
      </c>
      <c r="BY115" s="68">
        <f t="shared" si="2124"/>
        <v>0</v>
      </c>
      <c r="BZ115" s="65">
        <f t="shared" si="2124"/>
        <v>0</v>
      </c>
      <c r="CA115" s="65">
        <f t="shared" si="2124"/>
        <v>0</v>
      </c>
      <c r="CB115" s="65">
        <f t="shared" si="2124"/>
        <v>0</v>
      </c>
      <c r="CC115" s="65">
        <f t="shared" si="2124"/>
        <v>0</v>
      </c>
      <c r="CD115" s="65">
        <f t="shared" si="2124"/>
        <v>0</v>
      </c>
      <c r="CE115" s="65">
        <f t="shared" si="2124"/>
        <v>0</v>
      </c>
      <c r="CF115" s="65">
        <f t="shared" si="2124"/>
        <v>0</v>
      </c>
      <c r="CG115" s="65">
        <f t="shared" si="2124"/>
        <v>0</v>
      </c>
      <c r="CH115" s="65">
        <f t="shared" si="2124"/>
        <v>0</v>
      </c>
      <c r="CI115" s="65">
        <f t="shared" si="2124"/>
        <v>0</v>
      </c>
      <c r="CJ115" s="66">
        <f t="shared" si="2124"/>
        <v>0</v>
      </c>
      <c r="CN115" s="68">
        <f t="shared" ref="CN115:DV115" si="2125">SUM(CN108:CN114)</f>
        <v>0</v>
      </c>
      <c r="CO115" s="65">
        <f t="shared" si="2125"/>
        <v>0</v>
      </c>
      <c r="CP115" s="65">
        <f t="shared" si="2125"/>
        <v>0</v>
      </c>
      <c r="CQ115" s="65">
        <f t="shared" si="2125"/>
        <v>0</v>
      </c>
      <c r="CR115" s="65">
        <f t="shared" si="2125"/>
        <v>6.6088965915655695</v>
      </c>
      <c r="CS115" s="65">
        <f t="shared" si="2125"/>
        <v>0</v>
      </c>
      <c r="CT115" s="65">
        <f t="shared" si="2125"/>
        <v>15.911670734151548</v>
      </c>
      <c r="CU115" s="66">
        <f t="shared" si="2125"/>
        <v>0</v>
      </c>
      <c r="CV115" s="68">
        <f t="shared" si="2125"/>
        <v>1.346938775510204</v>
      </c>
      <c r="CW115" s="65">
        <f t="shared" si="2125"/>
        <v>0</v>
      </c>
      <c r="CX115" s="65">
        <f t="shared" si="2125"/>
        <v>0</v>
      </c>
      <c r="CY115" s="66">
        <f t="shared" si="2125"/>
        <v>0</v>
      </c>
      <c r="CZ115" s="68">
        <f t="shared" si="2125"/>
        <v>0</v>
      </c>
      <c r="DA115" s="65">
        <f t="shared" si="2125"/>
        <v>0</v>
      </c>
      <c r="DB115" s="65">
        <f t="shared" si="2125"/>
        <v>0</v>
      </c>
      <c r="DC115" s="65">
        <f t="shared" si="2125"/>
        <v>0</v>
      </c>
      <c r="DD115" s="65">
        <f t="shared" si="2125"/>
        <v>0</v>
      </c>
      <c r="DE115" s="66">
        <f t="shared" si="2125"/>
        <v>0</v>
      </c>
      <c r="DF115" s="68">
        <f t="shared" si="2125"/>
        <v>0</v>
      </c>
      <c r="DG115" s="65">
        <f t="shared" si="2125"/>
        <v>0</v>
      </c>
      <c r="DH115" s="65">
        <f t="shared" si="2125"/>
        <v>0</v>
      </c>
      <c r="DI115" s="65">
        <f t="shared" si="2125"/>
        <v>0</v>
      </c>
      <c r="DJ115" s="66">
        <f t="shared" si="2125"/>
        <v>0</v>
      </c>
      <c r="DK115" s="68">
        <f t="shared" si="2125"/>
        <v>0</v>
      </c>
      <c r="DL115" s="65">
        <f t="shared" si="2125"/>
        <v>0</v>
      </c>
      <c r="DM115" s="65">
        <f t="shared" si="2125"/>
        <v>0</v>
      </c>
      <c r="DN115" s="65">
        <f t="shared" si="2125"/>
        <v>0</v>
      </c>
      <c r="DO115" s="65">
        <f t="shared" si="2125"/>
        <v>0</v>
      </c>
      <c r="DP115" s="65">
        <f t="shared" si="2125"/>
        <v>0</v>
      </c>
      <c r="DQ115" s="65">
        <f t="shared" si="2125"/>
        <v>0</v>
      </c>
      <c r="DR115" s="65">
        <f t="shared" si="2125"/>
        <v>0</v>
      </c>
      <c r="DS115" s="65">
        <f t="shared" si="2125"/>
        <v>0</v>
      </c>
      <c r="DT115" s="65">
        <f t="shared" si="2125"/>
        <v>0</v>
      </c>
      <c r="DU115" s="65">
        <f t="shared" si="2125"/>
        <v>0</v>
      </c>
      <c r="DV115" s="66">
        <f t="shared" si="2125"/>
        <v>0</v>
      </c>
      <c r="DX115" s="358">
        <f t="shared" ref="DX115:FF115" si="2126">AVERAGE(DX108:DX114)</f>
        <v>0</v>
      </c>
      <c r="DY115" s="359">
        <f t="shared" si="2126"/>
        <v>0</v>
      </c>
      <c r="DZ115" s="359">
        <f t="shared" si="2126"/>
        <v>0</v>
      </c>
      <c r="EA115" s="359">
        <f t="shared" si="2126"/>
        <v>0</v>
      </c>
      <c r="EB115" s="359">
        <f t="shared" si="2126"/>
        <v>2.8885037550548817E-2</v>
      </c>
      <c r="EC115" s="359">
        <f t="shared" si="2126"/>
        <v>0</v>
      </c>
      <c r="ED115" s="359">
        <f t="shared" si="2126"/>
        <v>8.1227734026736845E-2</v>
      </c>
      <c r="EE115" s="360">
        <f t="shared" si="2126"/>
        <v>0</v>
      </c>
      <c r="EF115" s="358">
        <f t="shared" si="2126"/>
        <v>1.172882946281961E-2</v>
      </c>
      <c r="EG115" s="359">
        <f t="shared" si="2126"/>
        <v>0</v>
      </c>
      <c r="EH115" s="359">
        <f t="shared" si="2126"/>
        <v>0</v>
      </c>
      <c r="EI115" s="360">
        <f t="shared" si="2126"/>
        <v>0</v>
      </c>
      <c r="EJ115" s="358">
        <f t="shared" si="2126"/>
        <v>0</v>
      </c>
      <c r="EK115" s="359">
        <f t="shared" si="2126"/>
        <v>0</v>
      </c>
      <c r="EL115" s="359">
        <f t="shared" si="2126"/>
        <v>0</v>
      </c>
      <c r="EM115" s="359">
        <f t="shared" si="2126"/>
        <v>0</v>
      </c>
      <c r="EN115" s="359">
        <f t="shared" si="2126"/>
        <v>0</v>
      </c>
      <c r="EO115" s="359">
        <f t="shared" si="2126"/>
        <v>0</v>
      </c>
      <c r="EP115" s="358">
        <f t="shared" si="2126"/>
        <v>0</v>
      </c>
      <c r="EQ115" s="359">
        <f t="shared" si="2126"/>
        <v>0</v>
      </c>
      <c r="ER115" s="359">
        <f t="shared" si="2126"/>
        <v>0</v>
      </c>
      <c r="ES115" s="359">
        <f t="shared" si="2126"/>
        <v>0</v>
      </c>
      <c r="ET115" s="360">
        <f t="shared" si="2126"/>
        <v>0</v>
      </c>
      <c r="EU115" s="358">
        <f t="shared" si="2126"/>
        <v>0</v>
      </c>
      <c r="EV115" s="359">
        <f t="shared" si="2126"/>
        <v>0</v>
      </c>
      <c r="EW115" s="359">
        <f t="shared" si="2126"/>
        <v>0</v>
      </c>
      <c r="EX115" s="359">
        <f t="shared" si="2126"/>
        <v>0</v>
      </c>
      <c r="EY115" s="359">
        <f t="shared" si="2126"/>
        <v>0</v>
      </c>
      <c r="EZ115" s="359">
        <f t="shared" si="2126"/>
        <v>0</v>
      </c>
      <c r="FA115" s="359">
        <f t="shared" si="2126"/>
        <v>0</v>
      </c>
      <c r="FB115" s="359">
        <f t="shared" si="2126"/>
        <v>0</v>
      </c>
      <c r="FC115" s="359">
        <f t="shared" si="2126"/>
        <v>0</v>
      </c>
      <c r="FD115" s="359">
        <f t="shared" si="2126"/>
        <v>0</v>
      </c>
      <c r="FE115" s="359">
        <f t="shared" si="2126"/>
        <v>0</v>
      </c>
      <c r="FF115" s="360">
        <f t="shared" si="2126"/>
        <v>0</v>
      </c>
    </row>
    <row r="116" spans="2:162" ht="16.5" thickBot="1" x14ac:dyDescent="0.3"/>
    <row r="117" spans="2:162" x14ac:dyDescent="0.25">
      <c r="B117" s="176">
        <f>B108+7</f>
        <v>45586</v>
      </c>
      <c r="C117" s="265"/>
      <c r="D117" s="103">
        <v>5</v>
      </c>
      <c r="E117" s="156">
        <v>9.01</v>
      </c>
      <c r="F117" s="25"/>
      <c r="G117" s="25"/>
      <c r="H117" s="179">
        <v>5</v>
      </c>
      <c r="I117" s="180">
        <v>2</v>
      </c>
      <c r="J117" s="181">
        <v>1</v>
      </c>
      <c r="K117" s="181"/>
      <c r="L117" s="182">
        <v>11.5</v>
      </c>
      <c r="M117" s="182">
        <f t="shared" ref="M117:M123" si="2127">H117/I117*K117*L117*1.5</f>
        <v>0</v>
      </c>
      <c r="N117" s="183">
        <f t="shared" ref="N117:N123" si="2128">H117/I117*J117*L117*N$4</f>
        <v>31.625000000000004</v>
      </c>
      <c r="O117" s="25"/>
      <c r="P117" s="157"/>
      <c r="Q117" s="158"/>
      <c r="R117" s="158"/>
      <c r="S117" s="158"/>
      <c r="T117" s="158"/>
      <c r="U117" s="158"/>
      <c r="V117" s="158">
        <v>1</v>
      </c>
      <c r="W117" s="159"/>
      <c r="X117" s="157"/>
      <c r="Y117" s="158"/>
      <c r="Z117" s="158"/>
      <c r="AA117" s="159"/>
      <c r="AB117" s="157"/>
      <c r="AC117" s="158"/>
      <c r="AD117" s="158"/>
      <c r="AE117" s="158"/>
      <c r="AF117" s="158"/>
      <c r="AG117" s="159"/>
      <c r="AH117" s="157"/>
      <c r="AI117" s="158"/>
      <c r="AJ117" s="158"/>
      <c r="AK117" s="158"/>
      <c r="AL117" s="159"/>
      <c r="AM117" s="157"/>
      <c r="AN117" s="158"/>
      <c r="AO117" s="158"/>
      <c r="AP117" s="158"/>
      <c r="AQ117" s="158"/>
      <c r="AR117" s="158"/>
      <c r="AS117" s="158"/>
      <c r="AT117" s="158"/>
      <c r="AU117" s="158"/>
      <c r="AV117" s="158"/>
      <c r="AW117" s="158"/>
      <c r="AX117" s="158"/>
      <c r="AY117" s="158"/>
      <c r="AZ117" s="159"/>
      <c r="BB117" s="157">
        <f t="shared" ref="BB117:BB123" si="2129">$N117*DX117</f>
        <v>0</v>
      </c>
      <c r="BC117" s="158">
        <f t="shared" ref="BC117:BC123" si="2130">$N117*DY117</f>
        <v>0</v>
      </c>
      <c r="BD117" s="158">
        <f t="shared" ref="BD117:BD123" si="2131">$N117*DZ117</f>
        <v>0</v>
      </c>
      <c r="BE117" s="158">
        <f t="shared" ref="BE117:BE123" si="2132">$N117*EA117</f>
        <v>0</v>
      </c>
      <c r="BF117" s="158">
        <f t="shared" ref="BF117:BF123" si="2133">$N117*EB117</f>
        <v>0</v>
      </c>
      <c r="BG117" s="158">
        <f t="shared" ref="BG117:BG123" si="2134">$N117*EC117</f>
        <v>0</v>
      </c>
      <c r="BH117" s="158">
        <f t="shared" ref="BH117:BH123" si="2135">$N117*ED117</f>
        <v>3.5099889012208663</v>
      </c>
      <c r="BI117" s="159">
        <f t="shared" ref="BI117:BI123" si="2136">$N117*EE117</f>
        <v>0</v>
      </c>
      <c r="BJ117" s="157">
        <f t="shared" ref="BJ117:BJ123" si="2137">$N117*EF117</f>
        <v>0</v>
      </c>
      <c r="BK117" s="158">
        <f t="shared" ref="BK117:BK123" si="2138">$N117*EG117</f>
        <v>0</v>
      </c>
      <c r="BL117" s="158">
        <f t="shared" ref="BL117:BL123" si="2139">$N117*EH117</f>
        <v>0</v>
      </c>
      <c r="BM117" s="159">
        <f t="shared" ref="BM117:BM123" si="2140">$N117*EI117</f>
        <v>0</v>
      </c>
      <c r="BN117" s="157">
        <f t="shared" ref="BN117:BN123" si="2141">$N117*EJ117</f>
        <v>0</v>
      </c>
      <c r="BO117" s="158">
        <f t="shared" ref="BO117:BO123" si="2142">$N117*EK117</f>
        <v>0</v>
      </c>
      <c r="BP117" s="158">
        <f t="shared" ref="BP117:BP123" si="2143">$N117*EL117</f>
        <v>0</v>
      </c>
      <c r="BQ117" s="158">
        <f t="shared" ref="BQ117:BQ123" si="2144">$N117*EM117</f>
        <v>0</v>
      </c>
      <c r="BR117" s="158">
        <f t="shared" ref="BR117:BR123" si="2145">$N117*EN117</f>
        <v>0</v>
      </c>
      <c r="BS117" s="159">
        <f t="shared" ref="BS117:BS123" si="2146">$N117*EO117</f>
        <v>0</v>
      </c>
      <c r="BT117" s="157">
        <f t="shared" ref="BT117:BT123" si="2147">$N117*EP117</f>
        <v>0</v>
      </c>
      <c r="BU117" s="158">
        <f t="shared" ref="BU117:BU123" si="2148">$N117*EQ117</f>
        <v>0</v>
      </c>
      <c r="BV117" s="158">
        <f t="shared" ref="BV117:BV123" si="2149">$N117*ER117</f>
        <v>0</v>
      </c>
      <c r="BW117" s="158">
        <f t="shared" ref="BW117:BW123" si="2150">$N117*ES117</f>
        <v>0</v>
      </c>
      <c r="BX117" s="159">
        <f t="shared" ref="BX117:BX123" si="2151">$N117*ET117</f>
        <v>0</v>
      </c>
      <c r="BY117" s="157">
        <f t="shared" ref="BY117:BY123" si="2152">$N117*EU117</f>
        <v>0</v>
      </c>
      <c r="BZ117" s="158">
        <f t="shared" ref="BZ117:BZ123" si="2153">$N117*EV117</f>
        <v>0</v>
      </c>
      <c r="CA117" s="158">
        <f t="shared" ref="CA117:CA123" si="2154">$N117*EW117</f>
        <v>0</v>
      </c>
      <c r="CB117" s="158">
        <f t="shared" ref="CB117:CB123" si="2155">$N117*EX117</f>
        <v>0</v>
      </c>
      <c r="CC117" s="158">
        <f t="shared" ref="CC117:CC123" si="2156">$N117*EY117</f>
        <v>0</v>
      </c>
      <c r="CD117" s="158">
        <f t="shared" ref="CD117:CD123" si="2157">$N117*EZ117</f>
        <v>0</v>
      </c>
      <c r="CE117" s="158">
        <f t="shared" ref="CE117:CE123" si="2158">$N117*FA117</f>
        <v>0</v>
      </c>
      <c r="CF117" s="158">
        <f t="shared" ref="CF117:CF123" si="2159">$N117*FB117</f>
        <v>0</v>
      </c>
      <c r="CG117" s="158">
        <f t="shared" ref="CG117:CG123" si="2160">$N117*FC117</f>
        <v>0</v>
      </c>
      <c r="CH117" s="158">
        <f t="shared" ref="CH117:CH123" si="2161">$N117*FD117</f>
        <v>0</v>
      </c>
      <c r="CI117" s="158">
        <f t="shared" ref="CI117:CI123" si="2162">$N117*FE117</f>
        <v>0</v>
      </c>
      <c r="CJ117" s="159">
        <f t="shared" ref="CJ117:CJ123" si="2163">$N117*FF117</f>
        <v>0</v>
      </c>
      <c r="CL117" s="36">
        <v>5</v>
      </c>
      <c r="CN117" s="157">
        <f>AVERAGE(BB117:BB121)*$CL117</f>
        <v>0</v>
      </c>
      <c r="CO117" s="158">
        <f t="shared" ref="CO117" si="2164">AVERAGE(BC117:BC121)*$CL117</f>
        <v>0</v>
      </c>
      <c r="CP117" s="158">
        <f t="shared" ref="CP117" si="2165">AVERAGE(BD117:BD121)*$CL117</f>
        <v>0</v>
      </c>
      <c r="CQ117" s="158">
        <f t="shared" ref="CQ117" si="2166">AVERAGE(BE117:BE121)*$CL117</f>
        <v>0</v>
      </c>
      <c r="CR117" s="158">
        <f t="shared" ref="CR117" si="2167">AVERAGE(BF117:BF121)*$CL117</f>
        <v>0</v>
      </c>
      <c r="CS117" s="158">
        <f t="shared" ref="CS117" si="2168">AVERAGE(BG117:BG121)*$CL117</f>
        <v>13.214928970065955</v>
      </c>
      <c r="CT117" s="158">
        <f t="shared" ref="CT117" si="2169">AVERAGE(BH117:BH121)*$CL117</f>
        <v>5.849981502034777</v>
      </c>
      <c r="CU117" s="159">
        <f t="shared" ref="CU117" si="2170">AVERAGE(BI117:BI121)*$CL117</f>
        <v>13.546296296296296</v>
      </c>
      <c r="CV117" s="157">
        <f t="shared" ref="CV117" si="2171">AVERAGE(BJ117:BJ121)*$CL117</f>
        <v>0</v>
      </c>
      <c r="CW117" s="158">
        <f t="shared" ref="CW117" si="2172">AVERAGE(BK117:BK121)*$CL117</f>
        <v>0</v>
      </c>
      <c r="CX117" s="158">
        <f t="shared" ref="CX117" si="2173">AVERAGE(BL117:BL121)*$CL117</f>
        <v>0</v>
      </c>
      <c r="CY117" s="159">
        <f t="shared" ref="CY117" si="2174">AVERAGE(BM117:BM121)*$CL117</f>
        <v>0</v>
      </c>
      <c r="CZ117" s="157">
        <f t="shared" ref="CZ117" si="2175">AVERAGE(BN117:BN121)*$CL117</f>
        <v>0</v>
      </c>
      <c r="DA117" s="158">
        <f t="shared" ref="DA117" si="2176">AVERAGE(BO117:BO121)*$CL117</f>
        <v>0</v>
      </c>
      <c r="DB117" s="158">
        <f t="shared" ref="DB117" si="2177">AVERAGE(BP117:BP121)*$CL117</f>
        <v>0</v>
      </c>
      <c r="DC117" s="158">
        <f t="shared" ref="DC117" si="2178">AVERAGE(BQ117:BQ121)*$CL117</f>
        <v>0</v>
      </c>
      <c r="DD117" s="158">
        <f t="shared" ref="DD117" si="2179">AVERAGE(BR117:BR121)*$CL117</f>
        <v>0</v>
      </c>
      <c r="DE117" s="159">
        <f t="shared" ref="DE117" si="2180">AVERAGE(BS117:BS121)*$CL117</f>
        <v>0</v>
      </c>
      <c r="DF117" s="157">
        <f t="shared" ref="DF117" si="2181">AVERAGE(BT117:BT121)*$CL117</f>
        <v>0</v>
      </c>
      <c r="DG117" s="158">
        <f t="shared" ref="DG117" si="2182">AVERAGE(BU117:BU121)*$CL117</f>
        <v>0</v>
      </c>
      <c r="DH117" s="158">
        <f t="shared" ref="DH117" si="2183">AVERAGE(BV117:BV121)*$CL117</f>
        <v>0</v>
      </c>
      <c r="DI117" s="158">
        <f t="shared" ref="DI117" si="2184">AVERAGE(BW117:BW121)*$CL117</f>
        <v>0</v>
      </c>
      <c r="DJ117" s="159">
        <f t="shared" ref="DJ117" si="2185">AVERAGE(BX117:BX121)*$CL117</f>
        <v>0</v>
      </c>
      <c r="DK117" s="157">
        <f t="shared" ref="DK117" si="2186">AVERAGE(BY117:BY121)*$CL117</f>
        <v>0</v>
      </c>
      <c r="DL117" s="158">
        <f t="shared" ref="DL117" si="2187">AVERAGE(BZ117:BZ121)*$CL117</f>
        <v>0</v>
      </c>
      <c r="DM117" s="158">
        <f t="shared" ref="DM117" si="2188">AVERAGE(CA117:CA121)*$CL117</f>
        <v>0</v>
      </c>
      <c r="DN117" s="158">
        <f t="shared" ref="DN117" si="2189">AVERAGE(CB117:CB121)*$CL117</f>
        <v>0</v>
      </c>
      <c r="DO117" s="158">
        <f t="shared" ref="DO117" si="2190">AVERAGE(CC117:CC121)*$CL117</f>
        <v>0</v>
      </c>
      <c r="DP117" s="158">
        <f t="shared" ref="DP117" si="2191">AVERAGE(CD117:CD121)*$CL117</f>
        <v>0</v>
      </c>
      <c r="DQ117" s="158">
        <f t="shared" ref="DQ117" si="2192">AVERAGE(CE117:CE121)*$CL117</f>
        <v>0</v>
      </c>
      <c r="DR117" s="158">
        <f t="shared" ref="DR117" si="2193">AVERAGE(CF117:CF121)*$CL117</f>
        <v>0</v>
      </c>
      <c r="DS117" s="158">
        <f t="shared" ref="DS117" si="2194">AVERAGE(CG117:CG121)*$CL117</f>
        <v>0</v>
      </c>
      <c r="DT117" s="158">
        <f t="shared" ref="DT117" si="2195">AVERAGE(CH117:CH121)*$CL117</f>
        <v>0</v>
      </c>
      <c r="DU117" s="158">
        <f t="shared" ref="DU117" si="2196">AVERAGE(CI117:CI121)*$CL117</f>
        <v>0</v>
      </c>
      <c r="DV117" s="159">
        <f t="shared" ref="DV117" si="2197">AVERAGE(CJ117:CJ121)*$CL117</f>
        <v>0</v>
      </c>
      <c r="DX117" s="138">
        <f t="shared" ref="DX117" si="2198">P117/$E117</f>
        <v>0</v>
      </c>
      <c r="DY117" s="34">
        <f t="shared" ref="DY117" si="2199">Q117/$E117</f>
        <v>0</v>
      </c>
      <c r="DZ117" s="34">
        <f t="shared" ref="DZ117" si="2200">R117/$E117</f>
        <v>0</v>
      </c>
      <c r="EA117" s="34">
        <f t="shared" ref="EA117" si="2201">S117/$E117</f>
        <v>0</v>
      </c>
      <c r="EB117" s="34">
        <f t="shared" ref="EB117" si="2202">T117/$E117</f>
        <v>0</v>
      </c>
      <c r="EC117" s="34">
        <f t="shared" ref="EC117" si="2203">U117/$E117</f>
        <v>0</v>
      </c>
      <c r="ED117" s="34">
        <f t="shared" ref="ED117" si="2204">V117/$E117</f>
        <v>0.11098779134295228</v>
      </c>
      <c r="EE117" s="139">
        <f t="shared" ref="EE117" si="2205">W117/$E117</f>
        <v>0</v>
      </c>
      <c r="EF117" s="138">
        <f t="shared" ref="EF117" si="2206">X117/$E117</f>
        <v>0</v>
      </c>
      <c r="EG117" s="34">
        <f t="shared" ref="EG117" si="2207">Y117/$E117</f>
        <v>0</v>
      </c>
      <c r="EH117" s="34">
        <f t="shared" ref="EH117" si="2208">Z117/$E117</f>
        <v>0</v>
      </c>
      <c r="EI117" s="139">
        <f t="shared" ref="EI117" si="2209">AA117/$E117</f>
        <v>0</v>
      </c>
      <c r="EJ117" s="138">
        <f t="shared" ref="EJ117" si="2210">AB117/$E117</f>
        <v>0</v>
      </c>
      <c r="EK117" s="34">
        <f t="shared" ref="EK117" si="2211">AC117/$E117</f>
        <v>0</v>
      </c>
      <c r="EL117" s="34">
        <f t="shared" ref="EL117" si="2212">AD117/$E117</f>
        <v>0</v>
      </c>
      <c r="EM117" s="34">
        <f t="shared" ref="EM117" si="2213">AE117/$E117</f>
        <v>0</v>
      </c>
      <c r="EN117" s="34">
        <f t="shared" ref="EN117" si="2214">AF117/$E117</f>
        <v>0</v>
      </c>
      <c r="EO117" s="139">
        <f t="shared" ref="EO117" si="2215">AG117/$E117</f>
        <v>0</v>
      </c>
      <c r="EP117" s="138">
        <f t="shared" ref="EP117" si="2216">AH117/$E117</f>
        <v>0</v>
      </c>
      <c r="EQ117" s="34">
        <f t="shared" ref="EQ117" si="2217">AI117/$E117</f>
        <v>0</v>
      </c>
      <c r="ER117" s="34">
        <f t="shared" ref="ER117" si="2218">AJ117/$E117</f>
        <v>0</v>
      </c>
      <c r="ES117" s="34">
        <f t="shared" ref="ES117" si="2219">AK117/$E117</f>
        <v>0</v>
      </c>
      <c r="ET117" s="139">
        <f t="shared" ref="ET117" si="2220">AL117/$E117</f>
        <v>0</v>
      </c>
      <c r="EU117" s="138">
        <f t="shared" ref="EU117" si="2221">AM117/$E117</f>
        <v>0</v>
      </c>
      <c r="EV117" s="34">
        <f t="shared" ref="EV117" si="2222">AN117/$E117</f>
        <v>0</v>
      </c>
      <c r="EW117" s="34">
        <f t="shared" ref="EW117" si="2223">AO117/$E117</f>
        <v>0</v>
      </c>
      <c r="EX117" s="34">
        <f t="shared" ref="EX117" si="2224">AP117/$E117</f>
        <v>0</v>
      </c>
      <c r="EY117" s="34">
        <f t="shared" ref="EY117" si="2225">AQ117/$E117</f>
        <v>0</v>
      </c>
      <c r="EZ117" s="34">
        <f t="shared" ref="EZ117" si="2226">AR117/$E117</f>
        <v>0</v>
      </c>
      <c r="FA117" s="34">
        <f t="shared" ref="FA117" si="2227">AS117/$E117</f>
        <v>0</v>
      </c>
      <c r="FB117" s="34">
        <f t="shared" ref="FB117" si="2228">AT117/$E117</f>
        <v>0</v>
      </c>
      <c r="FC117" s="34">
        <f t="shared" ref="FC117" si="2229">AU117/$E117</f>
        <v>0</v>
      </c>
      <c r="FD117" s="34">
        <f t="shared" ref="FD117" si="2230">AV117/$E117</f>
        <v>0</v>
      </c>
      <c r="FE117" s="34">
        <f t="shared" ref="FE117" si="2231">AY117/$E117</f>
        <v>0</v>
      </c>
      <c r="FF117" s="139">
        <f t="shared" ref="FF117" si="2232">AZ117/$E117</f>
        <v>0</v>
      </c>
    </row>
    <row r="118" spans="2:162" x14ac:dyDescent="0.25">
      <c r="B118" s="127">
        <f t="shared" ref="B118:B123" si="2233">B117+1</f>
        <v>45587</v>
      </c>
      <c r="C118" s="266"/>
      <c r="D118" s="53"/>
      <c r="E118" s="129"/>
      <c r="F118" s="25"/>
      <c r="G118" s="25"/>
      <c r="H118" s="150"/>
      <c r="I118" s="24"/>
      <c r="J118" s="151"/>
      <c r="K118" s="151"/>
      <c r="L118" s="152"/>
      <c r="M118" s="152"/>
      <c r="N118" s="153"/>
      <c r="O118" s="25"/>
      <c r="P118" s="95"/>
      <c r="Q118" s="41"/>
      <c r="R118" s="41"/>
      <c r="S118" s="41"/>
      <c r="T118" s="41"/>
      <c r="U118" s="41"/>
      <c r="V118" s="41"/>
      <c r="W118" s="42"/>
      <c r="X118" s="95"/>
      <c r="Y118" s="41"/>
      <c r="Z118" s="41"/>
      <c r="AA118" s="42"/>
      <c r="AB118" s="95"/>
      <c r="AC118" s="41"/>
      <c r="AD118" s="41"/>
      <c r="AE118" s="41"/>
      <c r="AF118" s="41"/>
      <c r="AG118" s="42"/>
      <c r="AH118" s="95"/>
      <c r="AI118" s="41"/>
      <c r="AJ118" s="41"/>
      <c r="AK118" s="41"/>
      <c r="AL118" s="42"/>
      <c r="AM118" s="95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2"/>
      <c r="BB118" s="95"/>
      <c r="BC118" s="41"/>
      <c r="BD118" s="41"/>
      <c r="BE118" s="41"/>
      <c r="BF118" s="41"/>
      <c r="BG118" s="41"/>
      <c r="BH118" s="41"/>
      <c r="BI118" s="42"/>
      <c r="BJ118" s="95"/>
      <c r="BK118" s="41"/>
      <c r="BL118" s="41"/>
      <c r="BM118" s="42"/>
      <c r="BN118" s="95"/>
      <c r="BO118" s="41"/>
      <c r="BP118" s="41"/>
      <c r="BQ118" s="41"/>
      <c r="BR118" s="41"/>
      <c r="BS118" s="42"/>
      <c r="BT118" s="95"/>
      <c r="BU118" s="41"/>
      <c r="BV118" s="41"/>
      <c r="BW118" s="41"/>
      <c r="BX118" s="42"/>
      <c r="BY118" s="95"/>
      <c r="BZ118" s="41"/>
      <c r="CA118" s="41"/>
      <c r="CB118" s="41"/>
      <c r="CC118" s="41"/>
      <c r="CD118" s="41"/>
      <c r="CE118" s="41"/>
      <c r="CF118" s="41"/>
      <c r="CG118" s="41"/>
      <c r="CH118" s="41"/>
      <c r="CI118" s="41"/>
      <c r="CJ118" s="42"/>
      <c r="CL118" s="36"/>
      <c r="CN118" s="95"/>
      <c r="CO118" s="41"/>
      <c r="CP118" s="41"/>
      <c r="CQ118" s="41"/>
      <c r="CR118" s="41"/>
      <c r="CS118" s="41"/>
      <c r="CT118" s="41"/>
      <c r="CU118" s="42"/>
      <c r="CV118" s="95"/>
      <c r="CW118" s="41"/>
      <c r="CX118" s="41"/>
      <c r="CY118" s="42"/>
      <c r="CZ118" s="95"/>
      <c r="DA118" s="41"/>
      <c r="DB118" s="41"/>
      <c r="DC118" s="41"/>
      <c r="DD118" s="41"/>
      <c r="DE118" s="42"/>
      <c r="DF118" s="95"/>
      <c r="DG118" s="41"/>
      <c r="DH118" s="41"/>
      <c r="DI118" s="41"/>
      <c r="DJ118" s="42"/>
      <c r="DK118" s="95"/>
      <c r="DL118" s="41"/>
      <c r="DM118" s="41"/>
      <c r="DN118" s="41"/>
      <c r="DO118" s="41"/>
      <c r="DP118" s="41"/>
      <c r="DQ118" s="41"/>
      <c r="DR118" s="41"/>
      <c r="DS118" s="41"/>
      <c r="DT118" s="41"/>
      <c r="DU118" s="41"/>
      <c r="DV118" s="42"/>
      <c r="DX118" s="138"/>
      <c r="DY118" s="34"/>
      <c r="DZ118" s="34"/>
      <c r="EA118" s="34"/>
      <c r="EB118" s="34"/>
      <c r="EC118" s="34"/>
      <c r="ED118" s="34"/>
      <c r="EE118" s="139"/>
      <c r="EF118" s="138"/>
      <c r="EG118" s="34"/>
      <c r="EH118" s="34"/>
      <c r="EI118" s="139"/>
      <c r="EJ118" s="138"/>
      <c r="EK118" s="34"/>
      <c r="EL118" s="34"/>
      <c r="EM118" s="34"/>
      <c r="EN118" s="34"/>
      <c r="EO118" s="139"/>
      <c r="EP118" s="138"/>
      <c r="EQ118" s="34"/>
      <c r="ER118" s="34"/>
      <c r="ES118" s="34"/>
      <c r="ET118" s="139"/>
      <c r="EU118" s="138"/>
      <c r="EV118" s="34"/>
      <c r="EW118" s="34"/>
      <c r="EX118" s="34"/>
      <c r="EY118" s="34"/>
      <c r="EZ118" s="34"/>
      <c r="FA118" s="34"/>
      <c r="FB118" s="34"/>
      <c r="FC118" s="34"/>
      <c r="FD118" s="34"/>
      <c r="FE118" s="34"/>
      <c r="FF118" s="139"/>
    </row>
    <row r="119" spans="2:162" x14ac:dyDescent="0.25">
      <c r="B119" s="127">
        <f t="shared" si="2233"/>
        <v>45588</v>
      </c>
      <c r="C119" s="266"/>
      <c r="D119" s="53">
        <v>3</v>
      </c>
      <c r="E119" s="129">
        <v>7.3</v>
      </c>
      <c r="F119" s="25"/>
      <c r="G119" s="25"/>
      <c r="H119" s="150">
        <v>3</v>
      </c>
      <c r="I119" s="24">
        <v>2</v>
      </c>
      <c r="J119" s="151">
        <f>3/4</f>
        <v>0.75</v>
      </c>
      <c r="K119" s="151"/>
      <c r="L119" s="152">
        <v>11.4</v>
      </c>
      <c r="M119" s="152">
        <f t="shared" si="2127"/>
        <v>0</v>
      </c>
      <c r="N119" s="153">
        <f t="shared" si="2128"/>
        <v>14.107500000000002</v>
      </c>
      <c r="O119" s="25"/>
      <c r="P119" s="95"/>
      <c r="Q119" s="41"/>
      <c r="R119" s="41"/>
      <c r="S119" s="41"/>
      <c r="T119" s="41"/>
      <c r="U119" s="41">
        <v>2</v>
      </c>
      <c r="V119" s="41"/>
      <c r="W119" s="42"/>
      <c r="X119" s="95"/>
      <c r="Y119" s="41"/>
      <c r="Z119" s="41"/>
      <c r="AA119" s="42"/>
      <c r="AB119" s="95"/>
      <c r="AC119" s="41"/>
      <c r="AD119" s="41"/>
      <c r="AE119" s="41"/>
      <c r="AF119" s="41"/>
      <c r="AG119" s="42"/>
      <c r="AH119" s="95"/>
      <c r="AI119" s="41"/>
      <c r="AJ119" s="41"/>
      <c r="AK119" s="41"/>
      <c r="AL119" s="42"/>
      <c r="AM119" s="95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2"/>
      <c r="BB119" s="95">
        <f t="shared" si="2129"/>
        <v>0</v>
      </c>
      <c r="BC119" s="41">
        <f t="shared" si="2130"/>
        <v>0</v>
      </c>
      <c r="BD119" s="41">
        <f t="shared" si="2131"/>
        <v>0</v>
      </c>
      <c r="BE119" s="41">
        <f t="shared" si="2132"/>
        <v>0</v>
      </c>
      <c r="BF119" s="41">
        <f t="shared" si="2133"/>
        <v>0</v>
      </c>
      <c r="BG119" s="41">
        <f t="shared" si="2134"/>
        <v>3.8650684931506851</v>
      </c>
      <c r="BH119" s="41">
        <f t="shared" si="2135"/>
        <v>0</v>
      </c>
      <c r="BI119" s="42">
        <f t="shared" si="2136"/>
        <v>0</v>
      </c>
      <c r="BJ119" s="95">
        <f t="shared" si="2137"/>
        <v>0</v>
      </c>
      <c r="BK119" s="41">
        <f t="shared" si="2138"/>
        <v>0</v>
      </c>
      <c r="BL119" s="41">
        <f t="shared" si="2139"/>
        <v>0</v>
      </c>
      <c r="BM119" s="42">
        <f t="shared" si="2140"/>
        <v>0</v>
      </c>
      <c r="BN119" s="95">
        <f t="shared" si="2141"/>
        <v>0</v>
      </c>
      <c r="BO119" s="41">
        <f t="shared" si="2142"/>
        <v>0</v>
      </c>
      <c r="BP119" s="41">
        <f t="shared" si="2143"/>
        <v>0</v>
      </c>
      <c r="BQ119" s="41">
        <f t="shared" si="2144"/>
        <v>0</v>
      </c>
      <c r="BR119" s="41">
        <f t="shared" si="2145"/>
        <v>0</v>
      </c>
      <c r="BS119" s="42">
        <f t="shared" si="2146"/>
        <v>0</v>
      </c>
      <c r="BT119" s="95">
        <f t="shared" si="2147"/>
        <v>0</v>
      </c>
      <c r="BU119" s="41">
        <f t="shared" si="2148"/>
        <v>0</v>
      </c>
      <c r="BV119" s="41">
        <f t="shared" si="2149"/>
        <v>0</v>
      </c>
      <c r="BW119" s="41">
        <f t="shared" si="2150"/>
        <v>0</v>
      </c>
      <c r="BX119" s="42">
        <f t="shared" si="2151"/>
        <v>0</v>
      </c>
      <c r="BY119" s="95">
        <f t="shared" si="2152"/>
        <v>0</v>
      </c>
      <c r="BZ119" s="41">
        <f t="shared" si="2153"/>
        <v>0</v>
      </c>
      <c r="CA119" s="41">
        <f t="shared" si="2154"/>
        <v>0</v>
      </c>
      <c r="CB119" s="41">
        <f t="shared" si="2155"/>
        <v>0</v>
      </c>
      <c r="CC119" s="41">
        <f t="shared" si="2156"/>
        <v>0</v>
      </c>
      <c r="CD119" s="41">
        <f t="shared" si="2157"/>
        <v>0</v>
      </c>
      <c r="CE119" s="41">
        <f t="shared" si="2158"/>
        <v>0</v>
      </c>
      <c r="CF119" s="41">
        <f t="shared" si="2159"/>
        <v>0</v>
      </c>
      <c r="CG119" s="41">
        <f t="shared" si="2160"/>
        <v>0</v>
      </c>
      <c r="CH119" s="41">
        <f t="shared" si="2161"/>
        <v>0</v>
      </c>
      <c r="CI119" s="41">
        <f t="shared" si="2162"/>
        <v>0</v>
      </c>
      <c r="CJ119" s="42">
        <f t="shared" si="2163"/>
        <v>0</v>
      </c>
      <c r="CL119" s="36"/>
      <c r="CN119" s="95"/>
      <c r="CO119" s="41"/>
      <c r="CP119" s="41"/>
      <c r="CQ119" s="41"/>
      <c r="CR119" s="41"/>
      <c r="CS119" s="41"/>
      <c r="CT119" s="41"/>
      <c r="CU119" s="42"/>
      <c r="CV119" s="95"/>
      <c r="CW119" s="41"/>
      <c r="CX119" s="41"/>
      <c r="CY119" s="42"/>
      <c r="CZ119" s="95"/>
      <c r="DA119" s="41"/>
      <c r="DB119" s="41"/>
      <c r="DC119" s="41"/>
      <c r="DD119" s="41"/>
      <c r="DE119" s="42"/>
      <c r="DF119" s="95"/>
      <c r="DG119" s="41"/>
      <c r="DH119" s="41"/>
      <c r="DI119" s="41"/>
      <c r="DJ119" s="42"/>
      <c r="DK119" s="95"/>
      <c r="DL119" s="41"/>
      <c r="DM119" s="41"/>
      <c r="DN119" s="41"/>
      <c r="DO119" s="41"/>
      <c r="DP119" s="41"/>
      <c r="DQ119" s="41"/>
      <c r="DR119" s="41"/>
      <c r="DS119" s="41"/>
      <c r="DT119" s="41"/>
      <c r="DU119" s="41"/>
      <c r="DV119" s="42"/>
      <c r="DX119" s="138">
        <f t="shared" ref="DX119" si="2234">P119/$E119</f>
        <v>0</v>
      </c>
      <c r="DY119" s="34">
        <f t="shared" ref="DY119" si="2235">Q119/$E119</f>
        <v>0</v>
      </c>
      <c r="DZ119" s="34">
        <f t="shared" ref="DZ119" si="2236">R119/$E119</f>
        <v>0</v>
      </c>
      <c r="EA119" s="34">
        <f t="shared" ref="EA119" si="2237">S119/$E119</f>
        <v>0</v>
      </c>
      <c r="EB119" s="34">
        <f t="shared" ref="EB119" si="2238">T119/$E119</f>
        <v>0</v>
      </c>
      <c r="EC119" s="34">
        <f t="shared" ref="EC119" si="2239">U119/$E119</f>
        <v>0.27397260273972601</v>
      </c>
      <c r="ED119" s="34">
        <f t="shared" ref="ED119" si="2240">V119/$E119</f>
        <v>0</v>
      </c>
      <c r="EE119" s="139">
        <f t="shared" ref="EE119" si="2241">W119/$E119</f>
        <v>0</v>
      </c>
      <c r="EF119" s="138">
        <f t="shared" ref="EF119" si="2242">X119/$E119</f>
        <v>0</v>
      </c>
      <c r="EG119" s="34">
        <f t="shared" ref="EG119" si="2243">Y119/$E119</f>
        <v>0</v>
      </c>
      <c r="EH119" s="34">
        <f t="shared" ref="EH119" si="2244">Z119/$E119</f>
        <v>0</v>
      </c>
      <c r="EI119" s="139">
        <f t="shared" ref="EI119" si="2245">AA119/$E119</f>
        <v>0</v>
      </c>
      <c r="EJ119" s="138">
        <f t="shared" ref="EJ119" si="2246">AB119/$E119</f>
        <v>0</v>
      </c>
      <c r="EK119" s="34">
        <f t="shared" ref="EK119" si="2247">AC119/$E119</f>
        <v>0</v>
      </c>
      <c r="EL119" s="34">
        <f t="shared" ref="EL119" si="2248">AD119/$E119</f>
        <v>0</v>
      </c>
      <c r="EM119" s="34">
        <f t="shared" ref="EM119" si="2249">AE119/$E119</f>
        <v>0</v>
      </c>
      <c r="EN119" s="34">
        <f t="shared" ref="EN119" si="2250">AF119/$E119</f>
        <v>0</v>
      </c>
      <c r="EO119" s="139">
        <f t="shared" ref="EO119" si="2251">AG119/$E119</f>
        <v>0</v>
      </c>
      <c r="EP119" s="138">
        <f t="shared" ref="EP119" si="2252">AH119/$E119</f>
        <v>0</v>
      </c>
      <c r="EQ119" s="34">
        <f t="shared" ref="EQ119" si="2253">AI119/$E119</f>
        <v>0</v>
      </c>
      <c r="ER119" s="34">
        <f t="shared" ref="ER119" si="2254">AJ119/$E119</f>
        <v>0</v>
      </c>
      <c r="ES119" s="34">
        <f t="shared" ref="ES119" si="2255">AK119/$E119</f>
        <v>0</v>
      </c>
      <c r="ET119" s="139">
        <f t="shared" ref="ET119" si="2256">AL119/$E119</f>
        <v>0</v>
      </c>
      <c r="EU119" s="138">
        <f t="shared" ref="EU119" si="2257">AM119/$E119</f>
        <v>0</v>
      </c>
      <c r="EV119" s="34">
        <f t="shared" ref="EV119" si="2258">AN119/$E119</f>
        <v>0</v>
      </c>
      <c r="EW119" s="34">
        <f t="shared" ref="EW119" si="2259">AO119/$E119</f>
        <v>0</v>
      </c>
      <c r="EX119" s="34">
        <f t="shared" ref="EX119" si="2260">AP119/$E119</f>
        <v>0</v>
      </c>
      <c r="EY119" s="34">
        <f t="shared" ref="EY119" si="2261">AQ119/$E119</f>
        <v>0</v>
      </c>
      <c r="EZ119" s="34">
        <f t="shared" ref="EZ119" si="2262">AR119/$E119</f>
        <v>0</v>
      </c>
      <c r="FA119" s="34">
        <f t="shared" ref="FA119" si="2263">AS119/$E119</f>
        <v>0</v>
      </c>
      <c r="FB119" s="34">
        <f t="shared" ref="FB119" si="2264">AT119/$E119</f>
        <v>0</v>
      </c>
      <c r="FC119" s="34">
        <f t="shared" ref="FC119" si="2265">AU119/$E119</f>
        <v>0</v>
      </c>
      <c r="FD119" s="34">
        <f t="shared" ref="FD119" si="2266">AV119/$E119</f>
        <v>0</v>
      </c>
      <c r="FE119" s="34">
        <f t="shared" ref="FE119" si="2267">AY119/$E119</f>
        <v>0</v>
      </c>
      <c r="FF119" s="139">
        <f t="shared" ref="FF119" si="2268">AZ119/$E119</f>
        <v>0</v>
      </c>
    </row>
    <row r="120" spans="2:162" x14ac:dyDescent="0.25">
      <c r="B120" s="127">
        <f t="shared" si="2233"/>
        <v>45589</v>
      </c>
      <c r="C120" s="266"/>
      <c r="D120" s="53">
        <v>7</v>
      </c>
      <c r="E120" s="129">
        <v>21.6</v>
      </c>
      <c r="F120" s="25"/>
      <c r="G120" s="25"/>
      <c r="H120" s="150">
        <v>7</v>
      </c>
      <c r="I120" s="24">
        <v>2</v>
      </c>
      <c r="J120" s="151">
        <v>1</v>
      </c>
      <c r="K120" s="151"/>
      <c r="L120" s="152">
        <v>11.4</v>
      </c>
      <c r="M120" s="152">
        <f t="shared" ref="M120" si="2269">H120/I120*K120*L120*1.5</f>
        <v>0</v>
      </c>
      <c r="N120" s="153">
        <f t="shared" ref="N120" si="2270">H120/I120*J120*L120*N$4</f>
        <v>43.89</v>
      </c>
      <c r="O120" s="25"/>
      <c r="P120" s="95"/>
      <c r="Q120" s="41"/>
      <c r="R120" s="41"/>
      <c r="S120" s="41"/>
      <c r="T120" s="41"/>
      <c r="U120" s="41">
        <v>2</v>
      </c>
      <c r="V120" s="41"/>
      <c r="W120" s="42">
        <v>4</v>
      </c>
      <c r="X120" s="95"/>
      <c r="Y120" s="41"/>
      <c r="Z120" s="41"/>
      <c r="AA120" s="42"/>
      <c r="AB120" s="95"/>
      <c r="AC120" s="41"/>
      <c r="AD120" s="41"/>
      <c r="AE120" s="41"/>
      <c r="AF120" s="41"/>
      <c r="AG120" s="42"/>
      <c r="AH120" s="95"/>
      <c r="AI120" s="41"/>
      <c r="AJ120" s="41"/>
      <c r="AK120" s="41"/>
      <c r="AL120" s="42"/>
      <c r="AM120" s="95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2"/>
      <c r="BB120" s="95">
        <f t="shared" ref="BB120" si="2271">$N120*DX120</f>
        <v>0</v>
      </c>
      <c r="BC120" s="41">
        <f t="shared" ref="BC120" si="2272">$N120*DY120</f>
        <v>0</v>
      </c>
      <c r="BD120" s="41">
        <f t="shared" ref="BD120" si="2273">$N120*DZ120</f>
        <v>0</v>
      </c>
      <c r="BE120" s="41">
        <f t="shared" ref="BE120" si="2274">$N120*EA120</f>
        <v>0</v>
      </c>
      <c r="BF120" s="41">
        <f t="shared" ref="BF120" si="2275">$N120*EB120</f>
        <v>0</v>
      </c>
      <c r="BG120" s="41">
        <f t="shared" ref="BG120" si="2276">$N120*EC120</f>
        <v>4.0638888888888891</v>
      </c>
      <c r="BH120" s="41">
        <f t="shared" ref="BH120" si="2277">$N120*ED120</f>
        <v>0</v>
      </c>
      <c r="BI120" s="42">
        <f t="shared" ref="BI120" si="2278">$N120*EE120</f>
        <v>8.1277777777777782</v>
      </c>
      <c r="BJ120" s="95">
        <f t="shared" ref="BJ120" si="2279">$N120*EF120</f>
        <v>0</v>
      </c>
      <c r="BK120" s="41">
        <f t="shared" ref="BK120" si="2280">$N120*EG120</f>
        <v>0</v>
      </c>
      <c r="BL120" s="41">
        <f t="shared" ref="BL120" si="2281">$N120*EH120</f>
        <v>0</v>
      </c>
      <c r="BM120" s="42">
        <f t="shared" ref="BM120" si="2282">$N120*EI120</f>
        <v>0</v>
      </c>
      <c r="BN120" s="95">
        <f t="shared" ref="BN120" si="2283">$N120*EJ120</f>
        <v>0</v>
      </c>
      <c r="BO120" s="41">
        <f t="shared" ref="BO120" si="2284">$N120*EK120</f>
        <v>0</v>
      </c>
      <c r="BP120" s="41">
        <f t="shared" ref="BP120" si="2285">$N120*EL120</f>
        <v>0</v>
      </c>
      <c r="BQ120" s="41">
        <f t="shared" ref="BQ120" si="2286">$N120*EM120</f>
        <v>0</v>
      </c>
      <c r="BR120" s="41">
        <f t="shared" ref="BR120" si="2287">$N120*EN120</f>
        <v>0</v>
      </c>
      <c r="BS120" s="42">
        <f t="shared" ref="BS120" si="2288">$N120*EO120</f>
        <v>0</v>
      </c>
      <c r="BT120" s="95">
        <f t="shared" ref="BT120" si="2289">$N120*EP120</f>
        <v>0</v>
      </c>
      <c r="BU120" s="41">
        <f t="shared" ref="BU120" si="2290">$N120*EQ120</f>
        <v>0</v>
      </c>
      <c r="BV120" s="41">
        <f t="shared" ref="BV120" si="2291">$N120*ER120</f>
        <v>0</v>
      </c>
      <c r="BW120" s="41">
        <f t="shared" ref="BW120" si="2292">$N120*ES120</f>
        <v>0</v>
      </c>
      <c r="BX120" s="42">
        <f t="shared" ref="BX120" si="2293">$N120*ET120</f>
        <v>0</v>
      </c>
      <c r="BY120" s="95">
        <f t="shared" ref="BY120" si="2294">$N120*EU120</f>
        <v>0</v>
      </c>
      <c r="BZ120" s="41">
        <f t="shared" ref="BZ120" si="2295">$N120*EV120</f>
        <v>0</v>
      </c>
      <c r="CA120" s="41">
        <f t="shared" ref="CA120" si="2296">$N120*EW120</f>
        <v>0</v>
      </c>
      <c r="CB120" s="41">
        <f t="shared" ref="CB120" si="2297">$N120*EX120</f>
        <v>0</v>
      </c>
      <c r="CC120" s="41">
        <f t="shared" ref="CC120" si="2298">$N120*EY120</f>
        <v>0</v>
      </c>
      <c r="CD120" s="41">
        <f t="shared" ref="CD120" si="2299">$N120*EZ120</f>
        <v>0</v>
      </c>
      <c r="CE120" s="41">
        <f t="shared" ref="CE120" si="2300">$N120*FA120</f>
        <v>0</v>
      </c>
      <c r="CF120" s="41">
        <f t="shared" ref="CF120" si="2301">$N120*FB120</f>
        <v>0</v>
      </c>
      <c r="CG120" s="41">
        <f t="shared" ref="CG120" si="2302">$N120*FC120</f>
        <v>0</v>
      </c>
      <c r="CH120" s="41">
        <f t="shared" ref="CH120" si="2303">$N120*FD120</f>
        <v>0</v>
      </c>
      <c r="CI120" s="41">
        <f t="shared" ref="CI120" si="2304">$N120*FE120</f>
        <v>0</v>
      </c>
      <c r="CJ120" s="42">
        <f t="shared" ref="CJ120" si="2305">$N120*FF120</f>
        <v>0</v>
      </c>
      <c r="CL120" s="36"/>
      <c r="CN120" s="95"/>
      <c r="CO120" s="41"/>
      <c r="CP120" s="41"/>
      <c r="CQ120" s="41"/>
      <c r="CR120" s="41"/>
      <c r="CS120" s="41"/>
      <c r="CT120" s="41"/>
      <c r="CU120" s="42"/>
      <c r="CV120" s="95"/>
      <c r="CW120" s="41"/>
      <c r="CX120" s="41"/>
      <c r="CY120" s="42"/>
      <c r="CZ120" s="95"/>
      <c r="DA120" s="41"/>
      <c r="DB120" s="41"/>
      <c r="DC120" s="41"/>
      <c r="DD120" s="41"/>
      <c r="DE120" s="42"/>
      <c r="DF120" s="95"/>
      <c r="DG120" s="41"/>
      <c r="DH120" s="41"/>
      <c r="DI120" s="41"/>
      <c r="DJ120" s="42"/>
      <c r="DK120" s="95"/>
      <c r="DL120" s="41"/>
      <c r="DM120" s="41"/>
      <c r="DN120" s="41"/>
      <c r="DO120" s="41"/>
      <c r="DP120" s="41"/>
      <c r="DQ120" s="41"/>
      <c r="DR120" s="41"/>
      <c r="DS120" s="41"/>
      <c r="DT120" s="41"/>
      <c r="DU120" s="41"/>
      <c r="DV120" s="42"/>
      <c r="DX120" s="138">
        <f t="shared" ref="DX120" si="2306">P120/$E120</f>
        <v>0</v>
      </c>
      <c r="DY120" s="34">
        <f t="shared" ref="DY120" si="2307">Q120/$E120</f>
        <v>0</v>
      </c>
      <c r="DZ120" s="34">
        <f t="shared" ref="DZ120" si="2308">R120/$E120</f>
        <v>0</v>
      </c>
      <c r="EA120" s="34">
        <f t="shared" ref="EA120" si="2309">S120/$E120</f>
        <v>0</v>
      </c>
      <c r="EB120" s="34">
        <f t="shared" ref="EB120" si="2310">T120/$E120</f>
        <v>0</v>
      </c>
      <c r="EC120" s="34">
        <f t="shared" ref="EC120" si="2311">U120/$E120</f>
        <v>9.2592592592592587E-2</v>
      </c>
      <c r="ED120" s="34">
        <f t="shared" ref="ED120" si="2312">V120/$E120</f>
        <v>0</v>
      </c>
      <c r="EE120" s="139">
        <f t="shared" ref="EE120" si="2313">W120/$E120</f>
        <v>0.18518518518518517</v>
      </c>
      <c r="EF120" s="138">
        <f t="shared" ref="EF120" si="2314">X120/$E120</f>
        <v>0</v>
      </c>
      <c r="EG120" s="34">
        <f t="shared" ref="EG120" si="2315">Y120/$E120</f>
        <v>0</v>
      </c>
      <c r="EH120" s="34">
        <f t="shared" ref="EH120" si="2316">Z120/$E120</f>
        <v>0</v>
      </c>
      <c r="EI120" s="139">
        <f t="shared" ref="EI120" si="2317">AA120/$E120</f>
        <v>0</v>
      </c>
      <c r="EJ120" s="138">
        <f t="shared" ref="EJ120" si="2318">AB120/$E120</f>
        <v>0</v>
      </c>
      <c r="EK120" s="34">
        <f t="shared" ref="EK120" si="2319">AC120/$E120</f>
        <v>0</v>
      </c>
      <c r="EL120" s="34">
        <f t="shared" ref="EL120" si="2320">AD120/$E120</f>
        <v>0</v>
      </c>
      <c r="EM120" s="34">
        <f t="shared" ref="EM120" si="2321">AE120/$E120</f>
        <v>0</v>
      </c>
      <c r="EN120" s="34">
        <f t="shared" ref="EN120" si="2322">AF120/$E120</f>
        <v>0</v>
      </c>
      <c r="EO120" s="139">
        <f t="shared" ref="EO120" si="2323">AG120/$E120</f>
        <v>0</v>
      </c>
      <c r="EP120" s="138">
        <f t="shared" ref="EP120" si="2324">AH120/$E120</f>
        <v>0</v>
      </c>
      <c r="EQ120" s="34">
        <f t="shared" ref="EQ120" si="2325">AI120/$E120</f>
        <v>0</v>
      </c>
      <c r="ER120" s="34">
        <f t="shared" ref="ER120" si="2326">AJ120/$E120</f>
        <v>0</v>
      </c>
      <c r="ES120" s="34">
        <f t="shared" ref="ES120" si="2327">AK120/$E120</f>
        <v>0</v>
      </c>
      <c r="ET120" s="139">
        <f t="shared" ref="ET120" si="2328">AL120/$E120</f>
        <v>0</v>
      </c>
      <c r="EU120" s="138">
        <f t="shared" ref="EU120" si="2329">AM120/$E120</f>
        <v>0</v>
      </c>
      <c r="EV120" s="34">
        <f t="shared" ref="EV120" si="2330">AN120/$E120</f>
        <v>0</v>
      </c>
      <c r="EW120" s="34">
        <f t="shared" ref="EW120" si="2331">AO120/$E120</f>
        <v>0</v>
      </c>
      <c r="EX120" s="34">
        <f t="shared" ref="EX120" si="2332">AP120/$E120</f>
        <v>0</v>
      </c>
      <c r="EY120" s="34">
        <f t="shared" ref="EY120" si="2333">AQ120/$E120</f>
        <v>0</v>
      </c>
      <c r="EZ120" s="34">
        <f t="shared" ref="EZ120" si="2334">AR120/$E120</f>
        <v>0</v>
      </c>
      <c r="FA120" s="34">
        <f t="shared" ref="FA120" si="2335">AS120/$E120</f>
        <v>0</v>
      </c>
      <c r="FB120" s="34">
        <f t="shared" ref="FB120" si="2336">AT120/$E120</f>
        <v>0</v>
      </c>
      <c r="FC120" s="34">
        <f t="shared" ref="FC120" si="2337">AU120/$E120</f>
        <v>0</v>
      </c>
      <c r="FD120" s="34">
        <f t="shared" ref="FD120" si="2338">AV120/$E120</f>
        <v>0</v>
      </c>
      <c r="FE120" s="34">
        <f t="shared" ref="FE120" si="2339">AY120/$E120</f>
        <v>0</v>
      </c>
      <c r="FF120" s="139">
        <f t="shared" ref="FF120" si="2340">AZ120/$E120</f>
        <v>0</v>
      </c>
    </row>
    <row r="121" spans="2:162" x14ac:dyDescent="0.25">
      <c r="B121" s="127">
        <f t="shared" si="2233"/>
        <v>45590</v>
      </c>
      <c r="C121" s="266"/>
      <c r="D121" s="53"/>
      <c r="E121" s="129"/>
      <c r="F121" s="25"/>
      <c r="G121" s="25"/>
      <c r="H121" s="150"/>
      <c r="I121" s="24"/>
      <c r="J121" s="151"/>
      <c r="K121" s="151"/>
      <c r="L121" s="152"/>
      <c r="M121" s="152"/>
      <c r="N121" s="153"/>
      <c r="O121" s="25"/>
      <c r="P121" s="95"/>
      <c r="Q121" s="41"/>
      <c r="R121" s="41"/>
      <c r="S121" s="41"/>
      <c r="T121" s="41"/>
      <c r="U121" s="41"/>
      <c r="V121" s="41"/>
      <c r="W121" s="42"/>
      <c r="X121" s="95"/>
      <c r="Y121" s="41"/>
      <c r="Z121" s="41"/>
      <c r="AA121" s="42"/>
      <c r="AB121" s="95"/>
      <c r="AC121" s="41"/>
      <c r="AD121" s="41"/>
      <c r="AE121" s="41"/>
      <c r="AF121" s="41"/>
      <c r="AG121" s="42"/>
      <c r="AH121" s="95"/>
      <c r="AI121" s="41"/>
      <c r="AJ121" s="41"/>
      <c r="AK121" s="41"/>
      <c r="AL121" s="42"/>
      <c r="AM121" s="95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2"/>
      <c r="BB121" s="95"/>
      <c r="BC121" s="41"/>
      <c r="BD121" s="41"/>
      <c r="BE121" s="41"/>
      <c r="BF121" s="41"/>
      <c r="BG121" s="41"/>
      <c r="BH121" s="41"/>
      <c r="BI121" s="42"/>
      <c r="BJ121" s="95"/>
      <c r="BK121" s="41"/>
      <c r="BL121" s="41"/>
      <c r="BM121" s="42"/>
      <c r="BN121" s="95"/>
      <c r="BO121" s="41"/>
      <c r="BP121" s="41"/>
      <c r="BQ121" s="41"/>
      <c r="BR121" s="41"/>
      <c r="BS121" s="42"/>
      <c r="BT121" s="95"/>
      <c r="BU121" s="41"/>
      <c r="BV121" s="41"/>
      <c r="BW121" s="41"/>
      <c r="BX121" s="42"/>
      <c r="BY121" s="95"/>
      <c r="BZ121" s="41"/>
      <c r="CA121" s="41"/>
      <c r="CB121" s="41"/>
      <c r="CC121" s="41"/>
      <c r="CD121" s="41"/>
      <c r="CE121" s="41"/>
      <c r="CF121" s="41"/>
      <c r="CG121" s="41"/>
      <c r="CH121" s="41"/>
      <c r="CI121" s="41"/>
      <c r="CJ121" s="42"/>
      <c r="CL121" s="36"/>
      <c r="CN121" s="95"/>
      <c r="CO121" s="41"/>
      <c r="CP121" s="41"/>
      <c r="CQ121" s="41"/>
      <c r="CR121" s="41"/>
      <c r="CS121" s="41"/>
      <c r="CT121" s="41"/>
      <c r="CU121" s="42"/>
      <c r="CV121" s="95"/>
      <c r="CW121" s="41"/>
      <c r="CX121" s="41"/>
      <c r="CY121" s="42"/>
      <c r="CZ121" s="95"/>
      <c r="DA121" s="41"/>
      <c r="DB121" s="41"/>
      <c r="DC121" s="41"/>
      <c r="DD121" s="41"/>
      <c r="DE121" s="42"/>
      <c r="DF121" s="95"/>
      <c r="DG121" s="41"/>
      <c r="DH121" s="41"/>
      <c r="DI121" s="41"/>
      <c r="DJ121" s="42"/>
      <c r="DK121" s="95"/>
      <c r="DL121" s="41"/>
      <c r="DM121" s="41"/>
      <c r="DN121" s="41"/>
      <c r="DO121" s="41"/>
      <c r="DP121" s="41"/>
      <c r="DQ121" s="41"/>
      <c r="DR121" s="41"/>
      <c r="DS121" s="41"/>
      <c r="DT121" s="41"/>
      <c r="DU121" s="41"/>
      <c r="DV121" s="42"/>
      <c r="DX121" s="138"/>
      <c r="DY121" s="34"/>
      <c r="DZ121" s="34"/>
      <c r="EA121" s="34"/>
      <c r="EB121" s="34"/>
      <c r="EC121" s="34"/>
      <c r="ED121" s="34"/>
      <c r="EE121" s="139"/>
      <c r="EF121" s="138"/>
      <c r="EG121" s="34"/>
      <c r="EH121" s="34"/>
      <c r="EI121" s="139"/>
      <c r="EJ121" s="138"/>
      <c r="EK121" s="34"/>
      <c r="EL121" s="34"/>
      <c r="EM121" s="34"/>
      <c r="EN121" s="34"/>
      <c r="EO121" s="139"/>
      <c r="EP121" s="138"/>
      <c r="EQ121" s="34"/>
      <c r="ER121" s="34"/>
      <c r="ES121" s="34"/>
      <c r="ET121" s="139"/>
      <c r="EU121" s="138"/>
      <c r="EV121" s="34"/>
      <c r="EW121" s="34"/>
      <c r="EX121" s="34"/>
      <c r="EY121" s="34"/>
      <c r="EZ121" s="34"/>
      <c r="FA121" s="34"/>
      <c r="FB121" s="34"/>
      <c r="FC121" s="34"/>
      <c r="FD121" s="34"/>
      <c r="FE121" s="34"/>
      <c r="FF121" s="139"/>
    </row>
    <row r="122" spans="2:162" x14ac:dyDescent="0.25">
      <c r="B122" s="127">
        <f t="shared" si="2233"/>
        <v>45591</v>
      </c>
      <c r="C122" s="266"/>
      <c r="D122" s="53"/>
      <c r="E122" s="129"/>
      <c r="F122" s="25"/>
      <c r="G122" s="25"/>
      <c r="H122" s="150"/>
      <c r="I122" s="24"/>
      <c r="J122" s="151"/>
      <c r="K122" s="151"/>
      <c r="L122" s="152"/>
      <c r="M122" s="152"/>
      <c r="N122" s="153"/>
      <c r="O122" s="25"/>
      <c r="P122" s="95"/>
      <c r="Q122" s="41"/>
      <c r="R122" s="41"/>
      <c r="S122" s="41"/>
      <c r="T122" s="41"/>
      <c r="U122" s="41"/>
      <c r="V122" s="41"/>
      <c r="W122" s="42"/>
      <c r="X122" s="95"/>
      <c r="Y122" s="41"/>
      <c r="Z122" s="41"/>
      <c r="AA122" s="42"/>
      <c r="AB122" s="95"/>
      <c r="AC122" s="41"/>
      <c r="AD122" s="41"/>
      <c r="AE122" s="41"/>
      <c r="AF122" s="41"/>
      <c r="AG122" s="42"/>
      <c r="AH122" s="95"/>
      <c r="AI122" s="41"/>
      <c r="AJ122" s="41"/>
      <c r="AK122" s="41"/>
      <c r="AL122" s="42"/>
      <c r="AM122" s="95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2"/>
      <c r="BB122" s="95"/>
      <c r="BC122" s="41"/>
      <c r="BD122" s="41"/>
      <c r="BE122" s="41"/>
      <c r="BF122" s="41"/>
      <c r="BG122" s="41"/>
      <c r="BH122" s="41"/>
      <c r="BI122" s="42"/>
      <c r="BJ122" s="95"/>
      <c r="BK122" s="41"/>
      <c r="BL122" s="41"/>
      <c r="BM122" s="42"/>
      <c r="BN122" s="95"/>
      <c r="BO122" s="41"/>
      <c r="BP122" s="41"/>
      <c r="BQ122" s="41"/>
      <c r="BR122" s="41"/>
      <c r="BS122" s="42"/>
      <c r="BT122" s="95"/>
      <c r="BU122" s="41"/>
      <c r="BV122" s="41"/>
      <c r="BW122" s="41"/>
      <c r="BX122" s="42"/>
      <c r="BY122" s="95"/>
      <c r="BZ122" s="41"/>
      <c r="CA122" s="41"/>
      <c r="CB122" s="41"/>
      <c r="CC122" s="41"/>
      <c r="CD122" s="41"/>
      <c r="CE122" s="41"/>
      <c r="CF122" s="41"/>
      <c r="CG122" s="41"/>
      <c r="CH122" s="41"/>
      <c r="CI122" s="41"/>
      <c r="CJ122" s="42"/>
      <c r="CL122" s="36">
        <v>2</v>
      </c>
      <c r="CN122" s="95">
        <f t="shared" ref="CN122" si="2341">AVERAGE(BB122:BB123)*$CL122</f>
        <v>0</v>
      </c>
      <c r="CO122" s="41">
        <f t="shared" ref="CO122" si="2342">AVERAGE(BC122:BC123)*$CL122</f>
        <v>0</v>
      </c>
      <c r="CP122" s="41">
        <f t="shared" ref="CP122" si="2343">AVERAGE(BD122:BD123)*$CL122</f>
        <v>0</v>
      </c>
      <c r="CQ122" s="41">
        <f t="shared" ref="CQ122" si="2344">AVERAGE(BE122:BE123)*$CL122</f>
        <v>0</v>
      </c>
      <c r="CR122" s="41">
        <f t="shared" ref="CR122" si="2345">AVERAGE(BF122:BF123)*$CL122</f>
        <v>0</v>
      </c>
      <c r="CS122" s="41">
        <f t="shared" ref="CS122" si="2346">AVERAGE(BG122:BG123)*$CL122</f>
        <v>5.8502611723737665</v>
      </c>
      <c r="CT122" s="41">
        <f t="shared" ref="CT122" si="2347">AVERAGE(BH122:BH123)*$CL122</f>
        <v>0</v>
      </c>
      <c r="CU122" s="42">
        <f t="shared" ref="CU122" si="2348">AVERAGE(BI122:BI123)*$CL122</f>
        <v>5.8502611723737665</v>
      </c>
      <c r="CV122" s="95">
        <f t="shared" ref="CV122" si="2349">AVERAGE(BJ122:BJ123)*$CL122</f>
        <v>0</v>
      </c>
      <c r="CW122" s="41">
        <f t="shared" ref="CW122" si="2350">AVERAGE(BK122:BK123)*$CL122</f>
        <v>0</v>
      </c>
      <c r="CX122" s="41">
        <f t="shared" ref="CX122" si="2351">AVERAGE(BL122:BL123)*$CL122</f>
        <v>0</v>
      </c>
      <c r="CY122" s="42">
        <f t="shared" ref="CY122" si="2352">AVERAGE(BM122:BM123)*$CL122</f>
        <v>0</v>
      </c>
      <c r="CZ122" s="95">
        <f t="shared" ref="CZ122" si="2353">AVERAGE(BN122:BN123)*$CL122</f>
        <v>0</v>
      </c>
      <c r="DA122" s="41">
        <f t="shared" ref="DA122" si="2354">AVERAGE(BO122:BO123)*$CL122</f>
        <v>0</v>
      </c>
      <c r="DB122" s="41">
        <f t="shared" ref="DB122" si="2355">AVERAGE(BP122:BP123)*$CL122</f>
        <v>0</v>
      </c>
      <c r="DC122" s="41">
        <f t="shared" ref="DC122" si="2356">AVERAGE(BQ122:BQ123)*$CL122</f>
        <v>0</v>
      </c>
      <c r="DD122" s="41">
        <f t="shared" ref="DD122" si="2357">AVERAGE(BR122:BR123)*$CL122</f>
        <v>0</v>
      </c>
      <c r="DE122" s="42">
        <f t="shared" ref="DE122" si="2358">AVERAGE(BS122:BS123)*$CL122</f>
        <v>0</v>
      </c>
      <c r="DF122" s="95">
        <f t="shared" ref="DF122" si="2359">AVERAGE(BT122:BT123)*$CL122</f>
        <v>0</v>
      </c>
      <c r="DG122" s="41">
        <f t="shared" ref="DG122" si="2360">AVERAGE(BU122:BU123)*$CL122</f>
        <v>0</v>
      </c>
      <c r="DH122" s="41">
        <f t="shared" ref="DH122" si="2361">AVERAGE(BV122:BV123)*$CL122</f>
        <v>0</v>
      </c>
      <c r="DI122" s="41">
        <f t="shared" ref="DI122" si="2362">AVERAGE(BW122:BW123)*$CL122</f>
        <v>0</v>
      </c>
      <c r="DJ122" s="42">
        <f t="shared" ref="DJ122" si="2363">AVERAGE(BX122:BX123)*$CL122</f>
        <v>0</v>
      </c>
      <c r="DK122" s="95">
        <f t="shared" ref="DK122" si="2364">AVERAGE(BY122:BY123)*$CL122</f>
        <v>0</v>
      </c>
      <c r="DL122" s="41">
        <f t="shared" ref="DL122" si="2365">AVERAGE(BZ122:BZ123)*$CL122</f>
        <v>0</v>
      </c>
      <c r="DM122" s="41">
        <f t="shared" ref="DM122" si="2366">AVERAGE(CA122:CA123)*$CL122</f>
        <v>0</v>
      </c>
      <c r="DN122" s="41">
        <f t="shared" ref="DN122" si="2367">AVERAGE(CB122:CB123)*$CL122</f>
        <v>0</v>
      </c>
      <c r="DO122" s="41">
        <f t="shared" ref="DO122" si="2368">AVERAGE(CC122:CC123)*$CL122</f>
        <v>0</v>
      </c>
      <c r="DP122" s="41">
        <f t="shared" ref="DP122" si="2369">AVERAGE(CD122:CD123)*$CL122</f>
        <v>0</v>
      </c>
      <c r="DQ122" s="41">
        <f t="shared" ref="DQ122" si="2370">AVERAGE(CE122:CE123)*$CL122</f>
        <v>0</v>
      </c>
      <c r="DR122" s="41">
        <f t="shared" ref="DR122" si="2371">AVERAGE(CF122:CF123)*$CL122</f>
        <v>0</v>
      </c>
      <c r="DS122" s="41">
        <f t="shared" ref="DS122" si="2372">AVERAGE(CG122:CG123)*$CL122</f>
        <v>0</v>
      </c>
      <c r="DT122" s="41">
        <f t="shared" ref="DT122" si="2373">AVERAGE(CH122:CH123)*$CL122</f>
        <v>0</v>
      </c>
      <c r="DU122" s="41">
        <f t="shared" ref="DU122" si="2374">AVERAGE(CI122:CI123)*$CL122</f>
        <v>0</v>
      </c>
      <c r="DV122" s="42">
        <f t="shared" ref="DV122" si="2375">AVERAGE(CJ122:CJ123)*$CL122</f>
        <v>0</v>
      </c>
      <c r="DX122" s="138"/>
      <c r="DY122" s="34"/>
      <c r="DZ122" s="34"/>
      <c r="EA122" s="34"/>
      <c r="EB122" s="34"/>
      <c r="EC122" s="34"/>
      <c r="ED122" s="34"/>
      <c r="EE122" s="139"/>
      <c r="EF122" s="138"/>
      <c r="EG122" s="34"/>
      <c r="EH122" s="34"/>
      <c r="EI122" s="139"/>
      <c r="EJ122" s="138"/>
      <c r="EK122" s="34"/>
      <c r="EL122" s="34"/>
      <c r="EM122" s="34"/>
      <c r="EN122" s="34"/>
      <c r="EO122" s="139"/>
      <c r="EP122" s="138"/>
      <c r="EQ122" s="34"/>
      <c r="ER122" s="34"/>
      <c r="ES122" s="34"/>
      <c r="ET122" s="139"/>
      <c r="EU122" s="138"/>
      <c r="EV122" s="34"/>
      <c r="EW122" s="34"/>
      <c r="EX122" s="34"/>
      <c r="EY122" s="34"/>
      <c r="EZ122" s="34"/>
      <c r="FA122" s="34"/>
      <c r="FB122" s="34"/>
      <c r="FC122" s="34"/>
      <c r="FD122" s="34"/>
      <c r="FE122" s="34"/>
      <c r="FF122" s="139"/>
    </row>
    <row r="123" spans="2:162" ht="16.5" thickBot="1" x14ac:dyDescent="0.3">
      <c r="B123" s="127">
        <f t="shared" si="2233"/>
        <v>45592</v>
      </c>
      <c r="C123" s="267"/>
      <c r="D123" s="100">
        <v>9</v>
      </c>
      <c r="E123" s="131">
        <v>17.23</v>
      </c>
      <c r="F123" s="25"/>
      <c r="G123" s="25"/>
      <c r="H123" s="171">
        <v>9</v>
      </c>
      <c r="I123" s="172">
        <v>2</v>
      </c>
      <c r="J123" s="173">
        <f>10/11</f>
        <v>0.90909090909090906</v>
      </c>
      <c r="K123" s="173"/>
      <c r="L123" s="174">
        <v>11.2</v>
      </c>
      <c r="M123" s="174">
        <f t="shared" si="2127"/>
        <v>0</v>
      </c>
      <c r="N123" s="175">
        <f t="shared" si="2128"/>
        <v>50.4</v>
      </c>
      <c r="O123" s="25"/>
      <c r="P123" s="96"/>
      <c r="Q123" s="76"/>
      <c r="R123" s="76"/>
      <c r="S123" s="76"/>
      <c r="T123" s="76"/>
      <c r="U123" s="76">
        <v>1</v>
      </c>
      <c r="V123" s="76"/>
      <c r="W123" s="77">
        <v>1</v>
      </c>
      <c r="X123" s="96"/>
      <c r="Y123" s="76"/>
      <c r="Z123" s="76"/>
      <c r="AA123" s="77"/>
      <c r="AB123" s="96"/>
      <c r="AC123" s="76"/>
      <c r="AD123" s="76"/>
      <c r="AE123" s="76"/>
      <c r="AF123" s="76"/>
      <c r="AG123" s="77"/>
      <c r="AH123" s="96"/>
      <c r="AI123" s="76"/>
      <c r="AJ123" s="76"/>
      <c r="AK123" s="76"/>
      <c r="AL123" s="77"/>
      <c r="AM123" s="96"/>
      <c r="AN123" s="76"/>
      <c r="AO123" s="76"/>
      <c r="AP123" s="76"/>
      <c r="AQ123" s="76"/>
      <c r="AR123" s="76"/>
      <c r="AS123" s="76"/>
      <c r="AT123" s="76"/>
      <c r="AU123" s="76"/>
      <c r="AV123" s="76"/>
      <c r="AW123" s="76"/>
      <c r="AX123" s="76"/>
      <c r="AY123" s="76"/>
      <c r="AZ123" s="77"/>
      <c r="BB123" s="96">
        <f t="shared" si="2129"/>
        <v>0</v>
      </c>
      <c r="BC123" s="76">
        <f t="shared" si="2130"/>
        <v>0</v>
      </c>
      <c r="BD123" s="76">
        <f t="shared" si="2131"/>
        <v>0</v>
      </c>
      <c r="BE123" s="76">
        <f t="shared" si="2132"/>
        <v>0</v>
      </c>
      <c r="BF123" s="76">
        <f t="shared" si="2133"/>
        <v>0</v>
      </c>
      <c r="BG123" s="76">
        <f t="shared" si="2134"/>
        <v>2.9251305861868833</v>
      </c>
      <c r="BH123" s="76">
        <f t="shared" si="2135"/>
        <v>0</v>
      </c>
      <c r="BI123" s="77">
        <f t="shared" si="2136"/>
        <v>2.9251305861868833</v>
      </c>
      <c r="BJ123" s="96">
        <f t="shared" si="2137"/>
        <v>0</v>
      </c>
      <c r="BK123" s="76">
        <f t="shared" si="2138"/>
        <v>0</v>
      </c>
      <c r="BL123" s="76">
        <f t="shared" si="2139"/>
        <v>0</v>
      </c>
      <c r="BM123" s="77">
        <f t="shared" si="2140"/>
        <v>0</v>
      </c>
      <c r="BN123" s="96">
        <f t="shared" si="2141"/>
        <v>0</v>
      </c>
      <c r="BO123" s="76">
        <f t="shared" si="2142"/>
        <v>0</v>
      </c>
      <c r="BP123" s="76">
        <f t="shared" si="2143"/>
        <v>0</v>
      </c>
      <c r="BQ123" s="76">
        <f t="shared" si="2144"/>
        <v>0</v>
      </c>
      <c r="BR123" s="76">
        <f t="shared" si="2145"/>
        <v>0</v>
      </c>
      <c r="BS123" s="77">
        <f t="shared" si="2146"/>
        <v>0</v>
      </c>
      <c r="BT123" s="96">
        <f t="shared" si="2147"/>
        <v>0</v>
      </c>
      <c r="BU123" s="76">
        <f t="shared" si="2148"/>
        <v>0</v>
      </c>
      <c r="BV123" s="76">
        <f t="shared" si="2149"/>
        <v>0</v>
      </c>
      <c r="BW123" s="76">
        <f t="shared" si="2150"/>
        <v>0</v>
      </c>
      <c r="BX123" s="77">
        <f t="shared" si="2151"/>
        <v>0</v>
      </c>
      <c r="BY123" s="96">
        <f t="shared" si="2152"/>
        <v>0</v>
      </c>
      <c r="BZ123" s="76">
        <f t="shared" si="2153"/>
        <v>0</v>
      </c>
      <c r="CA123" s="76">
        <f t="shared" si="2154"/>
        <v>0</v>
      </c>
      <c r="CB123" s="76">
        <f t="shared" si="2155"/>
        <v>0</v>
      </c>
      <c r="CC123" s="76">
        <f t="shared" si="2156"/>
        <v>0</v>
      </c>
      <c r="CD123" s="76">
        <f t="shared" si="2157"/>
        <v>0</v>
      </c>
      <c r="CE123" s="76">
        <f t="shared" si="2158"/>
        <v>0</v>
      </c>
      <c r="CF123" s="76">
        <f t="shared" si="2159"/>
        <v>0</v>
      </c>
      <c r="CG123" s="76">
        <f t="shared" si="2160"/>
        <v>0</v>
      </c>
      <c r="CH123" s="76">
        <f t="shared" si="2161"/>
        <v>0</v>
      </c>
      <c r="CI123" s="76">
        <f t="shared" si="2162"/>
        <v>0</v>
      </c>
      <c r="CJ123" s="77">
        <f t="shared" si="2163"/>
        <v>0</v>
      </c>
      <c r="CN123" s="96"/>
      <c r="CO123" s="76"/>
      <c r="CP123" s="76"/>
      <c r="CQ123" s="76"/>
      <c r="CR123" s="76"/>
      <c r="CS123" s="76"/>
      <c r="CT123" s="76"/>
      <c r="CU123" s="77"/>
      <c r="CV123" s="96"/>
      <c r="CW123" s="76"/>
      <c r="CX123" s="76"/>
      <c r="CY123" s="77"/>
      <c r="CZ123" s="96"/>
      <c r="DA123" s="76"/>
      <c r="DB123" s="76"/>
      <c r="DC123" s="76"/>
      <c r="DD123" s="76"/>
      <c r="DE123" s="77"/>
      <c r="DF123" s="96"/>
      <c r="DG123" s="76"/>
      <c r="DH123" s="76"/>
      <c r="DI123" s="76"/>
      <c r="DJ123" s="77"/>
      <c r="DK123" s="96"/>
      <c r="DL123" s="76"/>
      <c r="DM123" s="76"/>
      <c r="DN123" s="76"/>
      <c r="DO123" s="76"/>
      <c r="DP123" s="76"/>
      <c r="DQ123" s="76"/>
      <c r="DR123" s="76"/>
      <c r="DS123" s="76"/>
      <c r="DT123" s="76"/>
      <c r="DU123" s="76"/>
      <c r="DV123" s="77"/>
      <c r="DX123" s="138">
        <f t="shared" ref="DX123" si="2376">P123/$E123</f>
        <v>0</v>
      </c>
      <c r="DY123" s="34">
        <f t="shared" ref="DY123" si="2377">Q123/$E123</f>
        <v>0</v>
      </c>
      <c r="DZ123" s="34">
        <f t="shared" ref="DZ123" si="2378">R123/$E123</f>
        <v>0</v>
      </c>
      <c r="EA123" s="34">
        <f t="shared" ref="EA123" si="2379">S123/$E123</f>
        <v>0</v>
      </c>
      <c r="EB123" s="34">
        <f t="shared" ref="EB123" si="2380">T123/$E123</f>
        <v>0</v>
      </c>
      <c r="EC123" s="34">
        <f t="shared" ref="EC123" si="2381">U123/$E123</f>
        <v>5.8038305281485777E-2</v>
      </c>
      <c r="ED123" s="34">
        <f t="shared" ref="ED123" si="2382">V123/$E123</f>
        <v>0</v>
      </c>
      <c r="EE123" s="139">
        <f t="shared" ref="EE123" si="2383">W123/$E123</f>
        <v>5.8038305281485777E-2</v>
      </c>
      <c r="EF123" s="138">
        <f t="shared" ref="EF123" si="2384">X123/$E123</f>
        <v>0</v>
      </c>
      <c r="EG123" s="34">
        <f t="shared" ref="EG123" si="2385">Y123/$E123</f>
        <v>0</v>
      </c>
      <c r="EH123" s="34">
        <f t="shared" ref="EH123" si="2386">Z123/$E123</f>
        <v>0</v>
      </c>
      <c r="EI123" s="139">
        <f t="shared" ref="EI123" si="2387">AA123/$E123</f>
        <v>0</v>
      </c>
      <c r="EJ123" s="138">
        <f t="shared" ref="EJ123" si="2388">AB123/$E123</f>
        <v>0</v>
      </c>
      <c r="EK123" s="34">
        <f t="shared" ref="EK123" si="2389">AC123/$E123</f>
        <v>0</v>
      </c>
      <c r="EL123" s="34">
        <f t="shared" ref="EL123" si="2390">AD123/$E123</f>
        <v>0</v>
      </c>
      <c r="EM123" s="34">
        <f t="shared" ref="EM123" si="2391">AE123/$E123</f>
        <v>0</v>
      </c>
      <c r="EN123" s="34">
        <f t="shared" ref="EN123" si="2392">AF123/$E123</f>
        <v>0</v>
      </c>
      <c r="EO123" s="139">
        <f t="shared" ref="EO123" si="2393">AG123/$E123</f>
        <v>0</v>
      </c>
      <c r="EP123" s="138">
        <f t="shared" ref="EP123" si="2394">AH123/$E123</f>
        <v>0</v>
      </c>
      <c r="EQ123" s="34">
        <f t="shared" ref="EQ123" si="2395">AI123/$E123</f>
        <v>0</v>
      </c>
      <c r="ER123" s="34">
        <f t="shared" ref="ER123" si="2396">AJ123/$E123</f>
        <v>0</v>
      </c>
      <c r="ES123" s="34">
        <f t="shared" ref="ES123" si="2397">AK123/$E123</f>
        <v>0</v>
      </c>
      <c r="ET123" s="139">
        <f t="shared" ref="ET123" si="2398">AL123/$E123</f>
        <v>0</v>
      </c>
      <c r="EU123" s="138">
        <f t="shared" ref="EU123" si="2399">AM123/$E123</f>
        <v>0</v>
      </c>
      <c r="EV123" s="34">
        <f t="shared" ref="EV123" si="2400">AN123/$E123</f>
        <v>0</v>
      </c>
      <c r="EW123" s="34">
        <f t="shared" ref="EW123" si="2401">AO123/$E123</f>
        <v>0</v>
      </c>
      <c r="EX123" s="34">
        <f t="shared" ref="EX123" si="2402">AP123/$E123</f>
        <v>0</v>
      </c>
      <c r="EY123" s="34">
        <f t="shared" ref="EY123" si="2403">AQ123/$E123</f>
        <v>0</v>
      </c>
      <c r="EZ123" s="34">
        <f t="shared" ref="EZ123" si="2404">AR123/$E123</f>
        <v>0</v>
      </c>
      <c r="FA123" s="34">
        <f t="shared" ref="FA123" si="2405">AS123/$E123</f>
        <v>0</v>
      </c>
      <c r="FB123" s="34">
        <f t="shared" ref="FB123" si="2406">AT123/$E123</f>
        <v>0</v>
      </c>
      <c r="FC123" s="34">
        <f t="shared" ref="FC123" si="2407">AU123/$E123</f>
        <v>0</v>
      </c>
      <c r="FD123" s="34">
        <f t="shared" ref="FD123" si="2408">AV123/$E123</f>
        <v>0</v>
      </c>
      <c r="FE123" s="34">
        <f t="shared" ref="FE123" si="2409">AY123/$E123</f>
        <v>0</v>
      </c>
      <c r="FF123" s="139">
        <f t="shared" ref="FF123" si="2410">AZ123/$E123</f>
        <v>0</v>
      </c>
    </row>
    <row r="124" spans="2:162" ht="17.25" thickTop="1" thickBot="1" x14ac:dyDescent="0.3">
      <c r="B124" s="178"/>
      <c r="C124" s="268"/>
      <c r="D124" s="101">
        <f t="shared" ref="D124:E124" si="2411">SUM(D117:D123)</f>
        <v>24</v>
      </c>
      <c r="E124" s="134">
        <f t="shared" si="2411"/>
        <v>55.14</v>
      </c>
      <c r="F124" s="146"/>
      <c r="G124" s="146"/>
      <c r="H124" s="43"/>
      <c r="I124" s="39"/>
      <c r="J124" s="39"/>
      <c r="K124" s="39"/>
      <c r="L124" s="184"/>
      <c r="M124" s="185"/>
      <c r="N124" s="170">
        <f>AVERAGE(N117:N121)*5+AVERAGE(N122:N123)*2</f>
        <v>250.17083333333335</v>
      </c>
      <c r="O124" s="146"/>
      <c r="P124" s="68">
        <f t="shared" ref="P124:AZ124" si="2412">SUM(P117:P123)</f>
        <v>0</v>
      </c>
      <c r="Q124" s="65">
        <f t="shared" si="2412"/>
        <v>0</v>
      </c>
      <c r="R124" s="65">
        <f t="shared" si="2412"/>
        <v>0</v>
      </c>
      <c r="S124" s="65">
        <f t="shared" si="2412"/>
        <v>0</v>
      </c>
      <c r="T124" s="65">
        <f t="shared" si="2412"/>
        <v>0</v>
      </c>
      <c r="U124" s="65">
        <f t="shared" si="2412"/>
        <v>5</v>
      </c>
      <c r="V124" s="65">
        <f t="shared" si="2412"/>
        <v>1</v>
      </c>
      <c r="W124" s="66">
        <f t="shared" si="2412"/>
        <v>5</v>
      </c>
      <c r="X124" s="68">
        <f t="shared" si="2412"/>
        <v>0</v>
      </c>
      <c r="Y124" s="65">
        <f t="shared" si="2412"/>
        <v>0</v>
      </c>
      <c r="Z124" s="65">
        <f t="shared" si="2412"/>
        <v>0</v>
      </c>
      <c r="AA124" s="66">
        <f t="shared" si="2412"/>
        <v>0</v>
      </c>
      <c r="AB124" s="68">
        <f t="shared" si="2412"/>
        <v>0</v>
      </c>
      <c r="AC124" s="65">
        <f t="shared" si="2412"/>
        <v>0</v>
      </c>
      <c r="AD124" s="65">
        <f t="shared" si="2412"/>
        <v>0</v>
      </c>
      <c r="AE124" s="65">
        <f t="shared" si="2412"/>
        <v>0</v>
      </c>
      <c r="AF124" s="65">
        <f t="shared" si="2412"/>
        <v>0</v>
      </c>
      <c r="AG124" s="66">
        <f t="shared" si="2412"/>
        <v>0</v>
      </c>
      <c r="AH124" s="68">
        <f t="shared" si="2412"/>
        <v>0</v>
      </c>
      <c r="AI124" s="65">
        <f t="shared" si="2412"/>
        <v>0</v>
      </c>
      <c r="AJ124" s="65">
        <f t="shared" si="2412"/>
        <v>0</v>
      </c>
      <c r="AK124" s="65">
        <f t="shared" si="2412"/>
        <v>0</v>
      </c>
      <c r="AL124" s="66">
        <f t="shared" si="2412"/>
        <v>0</v>
      </c>
      <c r="AM124" s="68">
        <f t="shared" si="2412"/>
        <v>0</v>
      </c>
      <c r="AN124" s="65">
        <f t="shared" si="2412"/>
        <v>0</v>
      </c>
      <c r="AO124" s="65">
        <f t="shared" si="2412"/>
        <v>0</v>
      </c>
      <c r="AP124" s="65">
        <f t="shared" si="2412"/>
        <v>0</v>
      </c>
      <c r="AQ124" s="65">
        <f t="shared" si="2412"/>
        <v>0</v>
      </c>
      <c r="AR124" s="65">
        <f t="shared" si="2412"/>
        <v>0</v>
      </c>
      <c r="AS124" s="65">
        <f t="shared" si="2412"/>
        <v>0</v>
      </c>
      <c r="AT124" s="65">
        <f t="shared" si="2412"/>
        <v>0</v>
      </c>
      <c r="AU124" s="65">
        <f t="shared" si="2412"/>
        <v>0</v>
      </c>
      <c r="AV124" s="65">
        <f t="shared" si="2412"/>
        <v>0</v>
      </c>
      <c r="AW124" s="65">
        <f t="shared" ref="AW124:AX124" si="2413">SUM(AW117:AW123)</f>
        <v>0</v>
      </c>
      <c r="AX124" s="65">
        <f t="shared" si="2413"/>
        <v>0</v>
      </c>
      <c r="AY124" s="65">
        <f t="shared" si="2412"/>
        <v>0</v>
      </c>
      <c r="AZ124" s="66">
        <f t="shared" si="2412"/>
        <v>0</v>
      </c>
      <c r="BB124" s="68">
        <f t="shared" ref="BB124:CJ124" si="2414">SUM(BB117:BB123)</f>
        <v>0</v>
      </c>
      <c r="BC124" s="65">
        <f t="shared" si="2414"/>
        <v>0</v>
      </c>
      <c r="BD124" s="65">
        <f t="shared" si="2414"/>
        <v>0</v>
      </c>
      <c r="BE124" s="65">
        <f t="shared" si="2414"/>
        <v>0</v>
      </c>
      <c r="BF124" s="65">
        <f t="shared" si="2414"/>
        <v>0</v>
      </c>
      <c r="BG124" s="65">
        <f t="shared" si="2414"/>
        <v>10.854087968226457</v>
      </c>
      <c r="BH124" s="65">
        <f t="shared" si="2414"/>
        <v>3.5099889012208663</v>
      </c>
      <c r="BI124" s="66">
        <f t="shared" si="2414"/>
        <v>11.052908363964661</v>
      </c>
      <c r="BJ124" s="68">
        <f t="shared" si="2414"/>
        <v>0</v>
      </c>
      <c r="BK124" s="65">
        <f t="shared" si="2414"/>
        <v>0</v>
      </c>
      <c r="BL124" s="65">
        <f t="shared" si="2414"/>
        <v>0</v>
      </c>
      <c r="BM124" s="66">
        <f t="shared" si="2414"/>
        <v>0</v>
      </c>
      <c r="BN124" s="68">
        <f t="shared" si="2414"/>
        <v>0</v>
      </c>
      <c r="BO124" s="65">
        <f t="shared" si="2414"/>
        <v>0</v>
      </c>
      <c r="BP124" s="65">
        <f t="shared" si="2414"/>
        <v>0</v>
      </c>
      <c r="BQ124" s="65">
        <f t="shared" si="2414"/>
        <v>0</v>
      </c>
      <c r="BR124" s="65">
        <f t="shared" si="2414"/>
        <v>0</v>
      </c>
      <c r="BS124" s="66">
        <f t="shared" si="2414"/>
        <v>0</v>
      </c>
      <c r="BT124" s="68">
        <f t="shared" si="2414"/>
        <v>0</v>
      </c>
      <c r="BU124" s="65">
        <f t="shared" si="2414"/>
        <v>0</v>
      </c>
      <c r="BV124" s="65">
        <f t="shared" si="2414"/>
        <v>0</v>
      </c>
      <c r="BW124" s="65">
        <f t="shared" si="2414"/>
        <v>0</v>
      </c>
      <c r="BX124" s="66">
        <f t="shared" si="2414"/>
        <v>0</v>
      </c>
      <c r="BY124" s="68">
        <f t="shared" si="2414"/>
        <v>0</v>
      </c>
      <c r="BZ124" s="65">
        <f t="shared" si="2414"/>
        <v>0</v>
      </c>
      <c r="CA124" s="65">
        <f t="shared" si="2414"/>
        <v>0</v>
      </c>
      <c r="CB124" s="65">
        <f t="shared" si="2414"/>
        <v>0</v>
      </c>
      <c r="CC124" s="65">
        <f t="shared" si="2414"/>
        <v>0</v>
      </c>
      <c r="CD124" s="65">
        <f t="shared" si="2414"/>
        <v>0</v>
      </c>
      <c r="CE124" s="65">
        <f t="shared" si="2414"/>
        <v>0</v>
      </c>
      <c r="CF124" s="65">
        <f t="shared" si="2414"/>
        <v>0</v>
      </c>
      <c r="CG124" s="65">
        <f t="shared" si="2414"/>
        <v>0</v>
      </c>
      <c r="CH124" s="65">
        <f t="shared" si="2414"/>
        <v>0</v>
      </c>
      <c r="CI124" s="65">
        <f t="shared" si="2414"/>
        <v>0</v>
      </c>
      <c r="CJ124" s="66">
        <f t="shared" si="2414"/>
        <v>0</v>
      </c>
      <c r="CN124" s="68">
        <f t="shared" ref="CN124:DV124" si="2415">SUM(CN117:CN123)</f>
        <v>0</v>
      </c>
      <c r="CO124" s="65">
        <f t="shared" si="2415"/>
        <v>0</v>
      </c>
      <c r="CP124" s="65">
        <f t="shared" si="2415"/>
        <v>0</v>
      </c>
      <c r="CQ124" s="65">
        <f t="shared" si="2415"/>
        <v>0</v>
      </c>
      <c r="CR124" s="65">
        <f t="shared" si="2415"/>
        <v>0</v>
      </c>
      <c r="CS124" s="65">
        <f t="shared" si="2415"/>
        <v>19.065190142439722</v>
      </c>
      <c r="CT124" s="65">
        <f t="shared" si="2415"/>
        <v>5.849981502034777</v>
      </c>
      <c r="CU124" s="66">
        <f t="shared" si="2415"/>
        <v>19.396557468670061</v>
      </c>
      <c r="CV124" s="68">
        <f t="shared" si="2415"/>
        <v>0</v>
      </c>
      <c r="CW124" s="65">
        <f t="shared" si="2415"/>
        <v>0</v>
      </c>
      <c r="CX124" s="65">
        <f t="shared" si="2415"/>
        <v>0</v>
      </c>
      <c r="CY124" s="66">
        <f t="shared" si="2415"/>
        <v>0</v>
      </c>
      <c r="CZ124" s="68">
        <f t="shared" si="2415"/>
        <v>0</v>
      </c>
      <c r="DA124" s="65">
        <f t="shared" si="2415"/>
        <v>0</v>
      </c>
      <c r="DB124" s="65">
        <f t="shared" si="2415"/>
        <v>0</v>
      </c>
      <c r="DC124" s="65">
        <f t="shared" si="2415"/>
        <v>0</v>
      </c>
      <c r="DD124" s="65">
        <f t="shared" si="2415"/>
        <v>0</v>
      </c>
      <c r="DE124" s="66">
        <f t="shared" si="2415"/>
        <v>0</v>
      </c>
      <c r="DF124" s="68">
        <f t="shared" si="2415"/>
        <v>0</v>
      </c>
      <c r="DG124" s="65">
        <f t="shared" si="2415"/>
        <v>0</v>
      </c>
      <c r="DH124" s="65">
        <f t="shared" si="2415"/>
        <v>0</v>
      </c>
      <c r="DI124" s="65">
        <f t="shared" si="2415"/>
        <v>0</v>
      </c>
      <c r="DJ124" s="66">
        <f t="shared" si="2415"/>
        <v>0</v>
      </c>
      <c r="DK124" s="68">
        <f t="shared" si="2415"/>
        <v>0</v>
      </c>
      <c r="DL124" s="65">
        <f t="shared" si="2415"/>
        <v>0</v>
      </c>
      <c r="DM124" s="65">
        <f t="shared" si="2415"/>
        <v>0</v>
      </c>
      <c r="DN124" s="65">
        <f t="shared" si="2415"/>
        <v>0</v>
      </c>
      <c r="DO124" s="65">
        <f t="shared" si="2415"/>
        <v>0</v>
      </c>
      <c r="DP124" s="65">
        <f t="shared" si="2415"/>
        <v>0</v>
      </c>
      <c r="DQ124" s="65">
        <f t="shared" si="2415"/>
        <v>0</v>
      </c>
      <c r="DR124" s="65">
        <f t="shared" si="2415"/>
        <v>0</v>
      </c>
      <c r="DS124" s="65">
        <f t="shared" si="2415"/>
        <v>0</v>
      </c>
      <c r="DT124" s="65">
        <f t="shared" si="2415"/>
        <v>0</v>
      </c>
      <c r="DU124" s="65">
        <f t="shared" si="2415"/>
        <v>0</v>
      </c>
      <c r="DV124" s="66">
        <f t="shared" si="2415"/>
        <v>0</v>
      </c>
      <c r="DX124" s="143"/>
      <c r="DY124" s="144"/>
      <c r="DZ124" s="144"/>
      <c r="EA124" s="144"/>
      <c r="EB124" s="144"/>
      <c r="EC124" s="144"/>
      <c r="ED124" s="144"/>
      <c r="EE124" s="145"/>
      <c r="EF124" s="143"/>
      <c r="EG124" s="144"/>
      <c r="EH124" s="144"/>
      <c r="EI124" s="145"/>
      <c r="EJ124" s="143"/>
      <c r="EK124" s="144"/>
      <c r="EL124" s="144"/>
      <c r="EM124" s="144"/>
      <c r="EN124" s="144"/>
      <c r="EO124" s="144"/>
      <c r="EP124" s="143"/>
      <c r="EQ124" s="144"/>
      <c r="ER124" s="144"/>
      <c r="ES124" s="144"/>
      <c r="ET124" s="145"/>
      <c r="EU124" s="143"/>
      <c r="EV124" s="144"/>
      <c r="EW124" s="144"/>
      <c r="EX124" s="144"/>
      <c r="EY124" s="144"/>
      <c r="EZ124" s="144"/>
      <c r="FA124" s="144"/>
      <c r="FB124" s="144"/>
      <c r="FC124" s="144"/>
      <c r="FD124" s="144"/>
      <c r="FE124" s="144"/>
      <c r="FF124" s="145"/>
    </row>
    <row r="125" spans="2:162" ht="16.5" thickBot="1" x14ac:dyDescent="0.3"/>
    <row r="126" spans="2:162" x14ac:dyDescent="0.25">
      <c r="B126" s="176">
        <f>B117+7</f>
        <v>45593</v>
      </c>
      <c r="C126" s="265"/>
      <c r="D126" s="103"/>
      <c r="E126" s="156"/>
      <c r="F126" s="25"/>
      <c r="G126" s="25"/>
      <c r="H126" s="179"/>
      <c r="I126" s="180"/>
      <c r="J126" s="181"/>
      <c r="K126" s="181"/>
      <c r="L126" s="182"/>
      <c r="M126" s="182"/>
      <c r="N126" s="183"/>
      <c r="O126" s="25"/>
      <c r="P126" s="157"/>
      <c r="Q126" s="158"/>
      <c r="R126" s="158"/>
      <c r="S126" s="158"/>
      <c r="T126" s="158"/>
      <c r="U126" s="158"/>
      <c r="V126" s="158"/>
      <c r="W126" s="159"/>
      <c r="X126" s="157"/>
      <c r="Y126" s="158"/>
      <c r="Z126" s="158"/>
      <c r="AA126" s="159"/>
      <c r="AB126" s="157"/>
      <c r="AC126" s="158"/>
      <c r="AD126" s="158"/>
      <c r="AE126" s="158"/>
      <c r="AF126" s="158"/>
      <c r="AG126" s="159"/>
      <c r="AH126" s="157"/>
      <c r="AI126" s="158"/>
      <c r="AJ126" s="158"/>
      <c r="AK126" s="158"/>
      <c r="AL126" s="159"/>
      <c r="AM126" s="157"/>
      <c r="AN126" s="158"/>
      <c r="AO126" s="158"/>
      <c r="AP126" s="158"/>
      <c r="AQ126" s="158"/>
      <c r="AR126" s="158"/>
      <c r="AS126" s="158"/>
      <c r="AT126" s="158"/>
      <c r="AU126" s="158"/>
      <c r="AV126" s="158"/>
      <c r="AW126" s="158"/>
      <c r="AX126" s="158"/>
      <c r="AY126" s="158"/>
      <c r="AZ126" s="159"/>
      <c r="BB126" s="157"/>
      <c r="BC126" s="158"/>
      <c r="BD126" s="158"/>
      <c r="BE126" s="158"/>
      <c r="BF126" s="158"/>
      <c r="BG126" s="158"/>
      <c r="BH126" s="158"/>
      <c r="BI126" s="159"/>
      <c r="BJ126" s="157"/>
      <c r="BK126" s="158"/>
      <c r="BL126" s="158"/>
      <c r="BM126" s="159"/>
      <c r="BN126" s="157"/>
      <c r="BO126" s="158"/>
      <c r="BP126" s="158"/>
      <c r="BQ126" s="158"/>
      <c r="BR126" s="158"/>
      <c r="BS126" s="159"/>
      <c r="BT126" s="157"/>
      <c r="BU126" s="158"/>
      <c r="BV126" s="158"/>
      <c r="BW126" s="158"/>
      <c r="BX126" s="159"/>
      <c r="BY126" s="157"/>
      <c r="BZ126" s="158"/>
      <c r="CA126" s="158"/>
      <c r="CB126" s="158"/>
      <c r="CC126" s="158"/>
      <c r="CD126" s="158"/>
      <c r="CE126" s="158"/>
      <c r="CF126" s="158"/>
      <c r="CG126" s="158"/>
      <c r="CH126" s="158"/>
      <c r="CI126" s="158"/>
      <c r="CJ126" s="159"/>
      <c r="CL126" s="36">
        <v>5</v>
      </c>
      <c r="CN126" s="157">
        <f>AVERAGE(BB126:BB130)*$CL126</f>
        <v>0</v>
      </c>
      <c r="CO126" s="158">
        <f t="shared" ref="CO126" si="2416">AVERAGE(BC126:BC130)*$CL126</f>
        <v>0</v>
      </c>
      <c r="CP126" s="158">
        <f t="shared" ref="CP126" si="2417">AVERAGE(BD126:BD130)*$CL126</f>
        <v>0</v>
      </c>
      <c r="CQ126" s="158">
        <f t="shared" ref="CQ126" si="2418">AVERAGE(BE126:BE130)*$CL126</f>
        <v>0</v>
      </c>
      <c r="CR126" s="158">
        <f t="shared" ref="CR126" si="2419">AVERAGE(BF126:BF130)*$CL126</f>
        <v>0</v>
      </c>
      <c r="CS126" s="158">
        <f t="shared" ref="CS126" si="2420">AVERAGE(BG126:BG130)*$CL126</f>
        <v>0</v>
      </c>
      <c r="CT126" s="158">
        <f t="shared" ref="CT126" si="2421">AVERAGE(BH126:BH130)*$CL126</f>
        <v>14.155595657908979</v>
      </c>
      <c r="CU126" s="159">
        <f t="shared" ref="CU126" si="2422">AVERAGE(BI126:BI130)*$CL126</f>
        <v>0</v>
      </c>
      <c r="CV126" s="157">
        <f t="shared" ref="CV126" si="2423">AVERAGE(BJ126:BJ130)*$CL126</f>
        <v>0</v>
      </c>
      <c r="CW126" s="158">
        <f t="shared" ref="CW126" si="2424">AVERAGE(BK126:BK130)*$CL126</f>
        <v>0</v>
      </c>
      <c r="CX126" s="158">
        <f t="shared" ref="CX126" si="2425">AVERAGE(BL126:BL130)*$CL126</f>
        <v>0</v>
      </c>
      <c r="CY126" s="159">
        <f t="shared" ref="CY126" si="2426">AVERAGE(BM126:BM130)*$CL126</f>
        <v>0</v>
      </c>
      <c r="CZ126" s="157">
        <f t="shared" ref="CZ126" si="2427">AVERAGE(BN126:BN130)*$CL126</f>
        <v>0</v>
      </c>
      <c r="DA126" s="158">
        <f t="shared" ref="DA126" si="2428">AVERAGE(BO126:BO130)*$CL126</f>
        <v>0</v>
      </c>
      <c r="DB126" s="158">
        <f t="shared" ref="DB126" si="2429">AVERAGE(BP126:BP130)*$CL126</f>
        <v>0</v>
      </c>
      <c r="DC126" s="158">
        <f t="shared" ref="DC126" si="2430">AVERAGE(BQ126:BQ130)*$CL126</f>
        <v>0</v>
      </c>
      <c r="DD126" s="158">
        <f t="shared" ref="DD126" si="2431">AVERAGE(BR126:BR130)*$CL126</f>
        <v>0</v>
      </c>
      <c r="DE126" s="159">
        <f t="shared" ref="DE126" si="2432">AVERAGE(BS126:BS130)*$CL126</f>
        <v>0</v>
      </c>
      <c r="DF126" s="157">
        <f t="shared" ref="DF126" si="2433">AVERAGE(BT126:BT130)*$CL126</f>
        <v>0</v>
      </c>
      <c r="DG126" s="158">
        <f t="shared" ref="DG126" si="2434">AVERAGE(BU126:BU130)*$CL126</f>
        <v>0</v>
      </c>
      <c r="DH126" s="158">
        <f t="shared" ref="DH126" si="2435">AVERAGE(BV126:BV130)*$CL126</f>
        <v>0</v>
      </c>
      <c r="DI126" s="158">
        <f t="shared" ref="DI126" si="2436">AVERAGE(BW126:BW130)*$CL126</f>
        <v>0</v>
      </c>
      <c r="DJ126" s="159">
        <f t="shared" ref="DJ126" si="2437">AVERAGE(BX126:BX130)*$CL126</f>
        <v>0</v>
      </c>
      <c r="DK126" s="157">
        <f t="shared" ref="DK126" si="2438">AVERAGE(BY126:BY130)*$CL126</f>
        <v>0</v>
      </c>
      <c r="DL126" s="158">
        <f t="shared" ref="DL126" si="2439">AVERAGE(BZ126:BZ130)*$CL126</f>
        <v>0</v>
      </c>
      <c r="DM126" s="158">
        <f t="shared" ref="DM126" si="2440">AVERAGE(CA126:CA130)*$CL126</f>
        <v>0</v>
      </c>
      <c r="DN126" s="158">
        <f t="shared" ref="DN126" si="2441">AVERAGE(CB126:CB130)*$CL126</f>
        <v>0</v>
      </c>
      <c r="DO126" s="158">
        <f t="shared" ref="DO126" si="2442">AVERAGE(CC126:CC130)*$CL126</f>
        <v>0</v>
      </c>
      <c r="DP126" s="158">
        <f t="shared" ref="DP126" si="2443">AVERAGE(CD126:CD130)*$CL126</f>
        <v>0</v>
      </c>
      <c r="DQ126" s="158">
        <f t="shared" ref="DQ126" si="2444">AVERAGE(CE126:CE130)*$CL126</f>
        <v>0</v>
      </c>
      <c r="DR126" s="158">
        <f t="shared" ref="DR126" si="2445">AVERAGE(CF126:CF130)*$CL126</f>
        <v>0</v>
      </c>
      <c r="DS126" s="158">
        <f t="shared" ref="DS126" si="2446">AVERAGE(CG126:CG130)*$CL126</f>
        <v>0</v>
      </c>
      <c r="DT126" s="158">
        <f t="shared" ref="DT126" si="2447">AVERAGE(CH126:CH130)*$CL126</f>
        <v>0</v>
      </c>
      <c r="DU126" s="158">
        <f t="shared" ref="DU126" si="2448">AVERAGE(CI126:CI130)*$CL126</f>
        <v>0</v>
      </c>
      <c r="DV126" s="159">
        <f t="shared" ref="DV126" si="2449">AVERAGE(CJ126:CJ130)*$CL126</f>
        <v>0</v>
      </c>
      <c r="DX126" s="186"/>
      <c r="DY126" s="187"/>
      <c r="DZ126" s="187"/>
      <c r="EA126" s="187"/>
      <c r="EB126" s="187"/>
      <c r="EC126" s="187"/>
      <c r="ED126" s="187"/>
      <c r="EE126" s="188"/>
      <c r="EF126" s="186"/>
      <c r="EG126" s="187"/>
      <c r="EH126" s="187"/>
      <c r="EI126" s="188"/>
      <c r="EJ126" s="186"/>
      <c r="EK126" s="187"/>
      <c r="EL126" s="187"/>
      <c r="EM126" s="187"/>
      <c r="EN126" s="187"/>
      <c r="EO126" s="188"/>
      <c r="EP126" s="186"/>
      <c r="EQ126" s="187"/>
      <c r="ER126" s="187"/>
      <c r="ES126" s="187"/>
      <c r="ET126" s="188"/>
      <c r="EU126" s="186"/>
      <c r="EV126" s="187"/>
      <c r="EW126" s="187"/>
      <c r="EX126" s="187"/>
      <c r="EY126" s="187"/>
      <c r="EZ126" s="187"/>
      <c r="FA126" s="187"/>
      <c r="FB126" s="187"/>
      <c r="FC126" s="187"/>
      <c r="FD126" s="187"/>
      <c r="FE126" s="187"/>
      <c r="FF126" s="188"/>
    </row>
    <row r="127" spans="2:162" x14ac:dyDescent="0.25">
      <c r="B127" s="127">
        <f t="shared" ref="B127:B132" si="2450">B126+1</f>
        <v>45594</v>
      </c>
      <c r="C127" s="266"/>
      <c r="D127" s="53">
        <v>3</v>
      </c>
      <c r="E127" s="129">
        <v>3.88</v>
      </c>
      <c r="F127" s="25"/>
      <c r="G127" s="25"/>
      <c r="H127" s="150">
        <v>3</v>
      </c>
      <c r="I127" s="24">
        <v>2</v>
      </c>
      <c r="J127" s="151">
        <v>0.5</v>
      </c>
      <c r="K127" s="151"/>
      <c r="L127" s="152">
        <v>11.1</v>
      </c>
      <c r="M127" s="152">
        <f t="shared" ref="M127:M128" si="2451">H127/I127*K127*L127*1.5</f>
        <v>0</v>
      </c>
      <c r="N127" s="153">
        <f t="shared" ref="N127:N128" si="2452">H127/I127*J127*L127*N$4</f>
        <v>9.1575000000000006</v>
      </c>
      <c r="O127" s="25"/>
      <c r="P127" s="95"/>
      <c r="Q127" s="41"/>
      <c r="R127" s="41"/>
      <c r="S127" s="41"/>
      <c r="T127" s="41"/>
      <c r="U127" s="41"/>
      <c r="V127" s="41">
        <v>2</v>
      </c>
      <c r="W127" s="42"/>
      <c r="X127" s="95"/>
      <c r="Y127" s="41"/>
      <c r="Z127" s="41"/>
      <c r="AA127" s="42"/>
      <c r="AB127" s="95"/>
      <c r="AC127" s="41"/>
      <c r="AD127" s="41"/>
      <c r="AE127" s="41"/>
      <c r="AF127" s="41"/>
      <c r="AG127" s="42"/>
      <c r="AH127" s="95"/>
      <c r="AI127" s="41"/>
      <c r="AJ127" s="41"/>
      <c r="AK127" s="41"/>
      <c r="AL127" s="42"/>
      <c r="AM127" s="95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2"/>
      <c r="BB127" s="95">
        <f t="shared" ref="BB127:BB128" si="2453">$N127*DX127</f>
        <v>0</v>
      </c>
      <c r="BC127" s="41">
        <f t="shared" ref="BC127:BC128" si="2454">$N127*DY127</f>
        <v>0</v>
      </c>
      <c r="BD127" s="41">
        <f t="shared" ref="BD127:BD128" si="2455">$N127*DZ127</f>
        <v>0</v>
      </c>
      <c r="BE127" s="41">
        <f t="shared" ref="BE127:BE128" si="2456">$N127*EA127</f>
        <v>0</v>
      </c>
      <c r="BF127" s="41">
        <f t="shared" ref="BF127:BF128" si="2457">$N127*EB127</f>
        <v>0</v>
      </c>
      <c r="BG127" s="41">
        <f t="shared" ref="BG127:BG128" si="2458">$N127*EC127</f>
        <v>0</v>
      </c>
      <c r="BH127" s="41">
        <f t="shared" ref="BH127:BH128" si="2459">$N127*ED127</f>
        <v>4.7203608247422686</v>
      </c>
      <c r="BI127" s="42">
        <f t="shared" ref="BI127:BI128" si="2460">$N127*EE127</f>
        <v>0</v>
      </c>
      <c r="BJ127" s="95">
        <f t="shared" ref="BJ127:BJ128" si="2461">$N127*EF127</f>
        <v>0</v>
      </c>
      <c r="BK127" s="41">
        <f t="shared" ref="BK127:BK128" si="2462">$N127*EG127</f>
        <v>0</v>
      </c>
      <c r="BL127" s="41">
        <f t="shared" ref="BL127:BL128" si="2463">$N127*EH127</f>
        <v>0</v>
      </c>
      <c r="BM127" s="42">
        <f t="shared" ref="BM127:BM128" si="2464">$N127*EI127</f>
        <v>0</v>
      </c>
      <c r="BN127" s="95">
        <f t="shared" ref="BN127:BN128" si="2465">$N127*EJ127</f>
        <v>0</v>
      </c>
      <c r="BO127" s="41">
        <f t="shared" ref="BO127:BO128" si="2466">$N127*EK127</f>
        <v>0</v>
      </c>
      <c r="BP127" s="41">
        <f t="shared" ref="BP127:BP128" si="2467">$N127*EL127</f>
        <v>0</v>
      </c>
      <c r="BQ127" s="41">
        <f t="shared" ref="BQ127:BQ128" si="2468">$N127*EM127</f>
        <v>0</v>
      </c>
      <c r="BR127" s="41">
        <f t="shared" ref="BR127:BR128" si="2469">$N127*EN127</f>
        <v>0</v>
      </c>
      <c r="BS127" s="42">
        <f t="shared" ref="BS127:BS128" si="2470">$N127*EO127</f>
        <v>0</v>
      </c>
      <c r="BT127" s="95">
        <f t="shared" ref="BT127:BT128" si="2471">$N127*EP127</f>
        <v>0</v>
      </c>
      <c r="BU127" s="41">
        <f t="shared" ref="BU127:BU128" si="2472">$N127*EQ127</f>
        <v>0</v>
      </c>
      <c r="BV127" s="41">
        <f t="shared" ref="BV127:BV128" si="2473">$N127*ER127</f>
        <v>0</v>
      </c>
      <c r="BW127" s="41">
        <f t="shared" ref="BW127:BW128" si="2474">$N127*ES127</f>
        <v>0</v>
      </c>
      <c r="BX127" s="42">
        <f t="shared" ref="BX127:BX128" si="2475">$N127*ET127</f>
        <v>0</v>
      </c>
      <c r="BY127" s="95">
        <f t="shared" ref="BY127:BY128" si="2476">$N127*EU127</f>
        <v>0</v>
      </c>
      <c r="BZ127" s="41">
        <f t="shared" ref="BZ127:BZ128" si="2477">$N127*EV127</f>
        <v>0</v>
      </c>
      <c r="CA127" s="41">
        <f t="shared" ref="CA127:CA128" si="2478">$N127*EW127</f>
        <v>0</v>
      </c>
      <c r="CB127" s="41">
        <f t="shared" ref="CB127:CB128" si="2479">$N127*EX127</f>
        <v>0</v>
      </c>
      <c r="CC127" s="41">
        <f t="shared" ref="CC127:CC128" si="2480">$N127*EY127</f>
        <v>0</v>
      </c>
      <c r="CD127" s="41">
        <f t="shared" ref="CD127:CD128" si="2481">$N127*EZ127</f>
        <v>0</v>
      </c>
      <c r="CE127" s="41">
        <f t="shared" ref="CE127:CE128" si="2482">$N127*FA127</f>
        <v>0</v>
      </c>
      <c r="CF127" s="41">
        <f t="shared" ref="CF127:CF128" si="2483">$N127*FB127</f>
        <v>0</v>
      </c>
      <c r="CG127" s="41">
        <f t="shared" ref="CG127:CG128" si="2484">$N127*FC127</f>
        <v>0</v>
      </c>
      <c r="CH127" s="41">
        <f t="shared" ref="CH127:CH128" si="2485">$N127*FD127</f>
        <v>0</v>
      </c>
      <c r="CI127" s="41">
        <f t="shared" ref="CI127:CI128" si="2486">$N127*FE127</f>
        <v>0</v>
      </c>
      <c r="CJ127" s="42">
        <f t="shared" ref="CJ127:CJ128" si="2487">$N127*FF127</f>
        <v>0</v>
      </c>
      <c r="CL127" s="36"/>
      <c r="CN127" s="95"/>
      <c r="CO127" s="41"/>
      <c r="CP127" s="41"/>
      <c r="CQ127" s="41"/>
      <c r="CR127" s="41"/>
      <c r="CS127" s="41"/>
      <c r="CT127" s="41"/>
      <c r="CU127" s="42"/>
      <c r="CV127" s="95"/>
      <c r="CW127" s="41"/>
      <c r="CX127" s="41"/>
      <c r="CY127" s="42"/>
      <c r="CZ127" s="95"/>
      <c r="DA127" s="41"/>
      <c r="DB127" s="41"/>
      <c r="DC127" s="41"/>
      <c r="DD127" s="41"/>
      <c r="DE127" s="42"/>
      <c r="DF127" s="95"/>
      <c r="DG127" s="41"/>
      <c r="DH127" s="41"/>
      <c r="DI127" s="41"/>
      <c r="DJ127" s="42"/>
      <c r="DK127" s="95"/>
      <c r="DL127" s="41"/>
      <c r="DM127" s="41"/>
      <c r="DN127" s="41"/>
      <c r="DO127" s="41"/>
      <c r="DP127" s="41"/>
      <c r="DQ127" s="41"/>
      <c r="DR127" s="41"/>
      <c r="DS127" s="41"/>
      <c r="DT127" s="41"/>
      <c r="DU127" s="41"/>
      <c r="DV127" s="42"/>
      <c r="DX127" s="138">
        <f t="shared" ref="DX127:DX128" si="2488">P127/$E127</f>
        <v>0</v>
      </c>
      <c r="DY127" s="34">
        <f t="shared" ref="DY127:DY128" si="2489">Q127/$E127</f>
        <v>0</v>
      </c>
      <c r="DZ127" s="34">
        <f t="shared" ref="DZ127:DZ128" si="2490">R127/$E127</f>
        <v>0</v>
      </c>
      <c r="EA127" s="34">
        <f t="shared" ref="EA127:EA128" si="2491">S127/$E127</f>
        <v>0</v>
      </c>
      <c r="EB127" s="34">
        <f t="shared" ref="EB127:EB128" si="2492">T127/$E127</f>
        <v>0</v>
      </c>
      <c r="EC127" s="34">
        <f t="shared" ref="EC127:EC128" si="2493">U127/$E127</f>
        <v>0</v>
      </c>
      <c r="ED127" s="34">
        <f t="shared" ref="ED127:ED128" si="2494">V127/$E127</f>
        <v>0.51546391752577325</v>
      </c>
      <c r="EE127" s="139">
        <f t="shared" ref="EE127:EE128" si="2495">W127/$E127</f>
        <v>0</v>
      </c>
      <c r="EF127" s="138">
        <f t="shared" ref="EF127:EF128" si="2496">X127/$E127</f>
        <v>0</v>
      </c>
      <c r="EG127" s="34">
        <f t="shared" ref="EG127:EG128" si="2497">Y127/$E127</f>
        <v>0</v>
      </c>
      <c r="EH127" s="34">
        <f t="shared" ref="EH127:EH128" si="2498">Z127/$E127</f>
        <v>0</v>
      </c>
      <c r="EI127" s="139">
        <f t="shared" ref="EI127:EI128" si="2499">AA127/$E127</f>
        <v>0</v>
      </c>
      <c r="EJ127" s="138">
        <f t="shared" ref="EJ127:EJ128" si="2500">AB127/$E127</f>
        <v>0</v>
      </c>
      <c r="EK127" s="34">
        <f t="shared" ref="EK127:EK128" si="2501">AC127/$E127</f>
        <v>0</v>
      </c>
      <c r="EL127" s="34">
        <f t="shared" ref="EL127:EL128" si="2502">AD127/$E127</f>
        <v>0</v>
      </c>
      <c r="EM127" s="34">
        <f t="shared" ref="EM127:EM128" si="2503">AE127/$E127</f>
        <v>0</v>
      </c>
      <c r="EN127" s="34">
        <f t="shared" ref="EN127:EN128" si="2504">AF127/$E127</f>
        <v>0</v>
      </c>
      <c r="EO127" s="139">
        <f t="shared" ref="EO127:EO128" si="2505">AG127/$E127</f>
        <v>0</v>
      </c>
      <c r="EP127" s="138">
        <f t="shared" ref="EP127:EP128" si="2506">AH127/$E127</f>
        <v>0</v>
      </c>
      <c r="EQ127" s="34">
        <f t="shared" ref="EQ127:EQ128" si="2507">AI127/$E127</f>
        <v>0</v>
      </c>
      <c r="ER127" s="34">
        <f t="shared" ref="ER127:ER128" si="2508">AJ127/$E127</f>
        <v>0</v>
      </c>
      <c r="ES127" s="34">
        <f t="shared" ref="ES127:ES128" si="2509">AK127/$E127</f>
        <v>0</v>
      </c>
      <c r="ET127" s="139">
        <f t="shared" ref="ET127:ET128" si="2510">AL127/$E127</f>
        <v>0</v>
      </c>
      <c r="EU127" s="138">
        <f t="shared" ref="EU127:EU128" si="2511">AM127/$E127</f>
        <v>0</v>
      </c>
      <c r="EV127" s="34">
        <f t="shared" ref="EV127:EV128" si="2512">AN127/$E127</f>
        <v>0</v>
      </c>
      <c r="EW127" s="34">
        <f t="shared" ref="EW127:EW128" si="2513">AO127/$E127</f>
        <v>0</v>
      </c>
      <c r="EX127" s="34">
        <f t="shared" ref="EX127:EX128" si="2514">AP127/$E127</f>
        <v>0</v>
      </c>
      <c r="EY127" s="34">
        <f t="shared" ref="EY127:EY128" si="2515">AQ127/$E127</f>
        <v>0</v>
      </c>
      <c r="EZ127" s="34">
        <f t="shared" ref="EZ127:EZ128" si="2516">AR127/$E127</f>
        <v>0</v>
      </c>
      <c r="FA127" s="34">
        <f t="shared" ref="FA127:FA128" si="2517">AS127/$E127</f>
        <v>0</v>
      </c>
      <c r="FB127" s="34">
        <f t="shared" ref="FB127:FB128" si="2518">AT127/$E127</f>
        <v>0</v>
      </c>
      <c r="FC127" s="34">
        <f t="shared" ref="FC127:FC128" si="2519">AU127/$E127</f>
        <v>0</v>
      </c>
      <c r="FD127" s="34">
        <f t="shared" ref="FD127:FD128" si="2520">AV127/$E127</f>
        <v>0</v>
      </c>
      <c r="FE127" s="34">
        <f t="shared" ref="FE127:FE128" si="2521">AY127/$E127</f>
        <v>0</v>
      </c>
      <c r="FF127" s="139">
        <f t="shared" ref="FF127:FF128" si="2522">AZ127/$E127</f>
        <v>0</v>
      </c>
    </row>
    <row r="128" spans="2:162" x14ac:dyDescent="0.25">
      <c r="B128" s="127">
        <f t="shared" si="2450"/>
        <v>45595</v>
      </c>
      <c r="C128" s="266"/>
      <c r="D128" s="53">
        <v>4</v>
      </c>
      <c r="E128" s="129">
        <v>10.69</v>
      </c>
      <c r="F128" s="25"/>
      <c r="G128" s="25"/>
      <c r="H128" s="150">
        <v>4</v>
      </c>
      <c r="I128" s="24">
        <v>2</v>
      </c>
      <c r="J128" s="151">
        <f>5/6</f>
        <v>0.83333333333333337</v>
      </c>
      <c r="K128" s="151"/>
      <c r="L128" s="152">
        <v>11</v>
      </c>
      <c r="M128" s="152">
        <f t="shared" si="2451"/>
        <v>0</v>
      </c>
      <c r="N128" s="153">
        <f t="shared" si="2452"/>
        <v>20.166666666666671</v>
      </c>
      <c r="O128" s="25"/>
      <c r="P128" s="95"/>
      <c r="Q128" s="41"/>
      <c r="R128" s="41"/>
      <c r="S128" s="41"/>
      <c r="T128" s="41"/>
      <c r="U128" s="41"/>
      <c r="V128" s="41">
        <v>2</v>
      </c>
      <c r="W128" s="42"/>
      <c r="X128" s="95"/>
      <c r="Y128" s="41"/>
      <c r="Z128" s="41"/>
      <c r="AA128" s="42"/>
      <c r="AB128" s="95"/>
      <c r="AC128" s="41"/>
      <c r="AD128" s="41"/>
      <c r="AE128" s="41"/>
      <c r="AF128" s="41"/>
      <c r="AG128" s="42"/>
      <c r="AH128" s="95"/>
      <c r="AI128" s="41"/>
      <c r="AJ128" s="41"/>
      <c r="AK128" s="41"/>
      <c r="AL128" s="42"/>
      <c r="AM128" s="95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2"/>
      <c r="BB128" s="95">
        <f t="shared" si="2453"/>
        <v>0</v>
      </c>
      <c r="BC128" s="41">
        <f t="shared" si="2454"/>
        <v>0</v>
      </c>
      <c r="BD128" s="41">
        <f t="shared" si="2455"/>
        <v>0</v>
      </c>
      <c r="BE128" s="41">
        <f t="shared" si="2456"/>
        <v>0</v>
      </c>
      <c r="BF128" s="41">
        <f t="shared" si="2457"/>
        <v>0</v>
      </c>
      <c r="BG128" s="41">
        <f t="shared" si="2458"/>
        <v>0</v>
      </c>
      <c r="BH128" s="41">
        <f t="shared" si="2459"/>
        <v>3.7729965700031194</v>
      </c>
      <c r="BI128" s="42">
        <f t="shared" si="2460"/>
        <v>0</v>
      </c>
      <c r="BJ128" s="95">
        <f t="shared" si="2461"/>
        <v>0</v>
      </c>
      <c r="BK128" s="41">
        <f t="shared" si="2462"/>
        <v>0</v>
      </c>
      <c r="BL128" s="41">
        <f t="shared" si="2463"/>
        <v>0</v>
      </c>
      <c r="BM128" s="42">
        <f t="shared" si="2464"/>
        <v>0</v>
      </c>
      <c r="BN128" s="95">
        <f t="shared" si="2465"/>
        <v>0</v>
      </c>
      <c r="BO128" s="41">
        <f t="shared" si="2466"/>
        <v>0</v>
      </c>
      <c r="BP128" s="41">
        <f t="shared" si="2467"/>
        <v>0</v>
      </c>
      <c r="BQ128" s="41">
        <f t="shared" si="2468"/>
        <v>0</v>
      </c>
      <c r="BR128" s="41">
        <f t="shared" si="2469"/>
        <v>0</v>
      </c>
      <c r="BS128" s="42">
        <f t="shared" si="2470"/>
        <v>0</v>
      </c>
      <c r="BT128" s="95">
        <f t="shared" si="2471"/>
        <v>0</v>
      </c>
      <c r="BU128" s="41">
        <f t="shared" si="2472"/>
        <v>0</v>
      </c>
      <c r="BV128" s="41">
        <f t="shared" si="2473"/>
        <v>0</v>
      </c>
      <c r="BW128" s="41">
        <f t="shared" si="2474"/>
        <v>0</v>
      </c>
      <c r="BX128" s="42">
        <f t="shared" si="2475"/>
        <v>0</v>
      </c>
      <c r="BY128" s="95">
        <f t="shared" si="2476"/>
        <v>0</v>
      </c>
      <c r="BZ128" s="41">
        <f t="shared" si="2477"/>
        <v>0</v>
      </c>
      <c r="CA128" s="41">
        <f t="shared" si="2478"/>
        <v>0</v>
      </c>
      <c r="CB128" s="41">
        <f t="shared" si="2479"/>
        <v>0</v>
      </c>
      <c r="CC128" s="41">
        <f t="shared" si="2480"/>
        <v>0</v>
      </c>
      <c r="CD128" s="41">
        <f t="shared" si="2481"/>
        <v>0</v>
      </c>
      <c r="CE128" s="41">
        <f t="shared" si="2482"/>
        <v>0</v>
      </c>
      <c r="CF128" s="41">
        <f t="shared" si="2483"/>
        <v>0</v>
      </c>
      <c r="CG128" s="41">
        <f t="shared" si="2484"/>
        <v>0</v>
      </c>
      <c r="CH128" s="41">
        <f t="shared" si="2485"/>
        <v>0</v>
      </c>
      <c r="CI128" s="41">
        <f t="shared" si="2486"/>
        <v>0</v>
      </c>
      <c r="CJ128" s="42">
        <f t="shared" si="2487"/>
        <v>0</v>
      </c>
      <c r="CL128" s="36"/>
      <c r="CN128" s="95"/>
      <c r="CO128" s="41"/>
      <c r="CP128" s="41"/>
      <c r="CQ128" s="41"/>
      <c r="CR128" s="41"/>
      <c r="CS128" s="41"/>
      <c r="CT128" s="41"/>
      <c r="CU128" s="42"/>
      <c r="CV128" s="95"/>
      <c r="CW128" s="41"/>
      <c r="CX128" s="41"/>
      <c r="CY128" s="42"/>
      <c r="CZ128" s="95"/>
      <c r="DA128" s="41"/>
      <c r="DB128" s="41"/>
      <c r="DC128" s="41"/>
      <c r="DD128" s="41"/>
      <c r="DE128" s="42"/>
      <c r="DF128" s="95"/>
      <c r="DG128" s="41"/>
      <c r="DH128" s="41"/>
      <c r="DI128" s="41"/>
      <c r="DJ128" s="42"/>
      <c r="DK128" s="95"/>
      <c r="DL128" s="41"/>
      <c r="DM128" s="41"/>
      <c r="DN128" s="41"/>
      <c r="DO128" s="41"/>
      <c r="DP128" s="41"/>
      <c r="DQ128" s="41"/>
      <c r="DR128" s="41"/>
      <c r="DS128" s="41"/>
      <c r="DT128" s="41"/>
      <c r="DU128" s="41"/>
      <c r="DV128" s="42"/>
      <c r="DX128" s="138">
        <f t="shared" si="2488"/>
        <v>0</v>
      </c>
      <c r="DY128" s="34">
        <f t="shared" si="2489"/>
        <v>0</v>
      </c>
      <c r="DZ128" s="34">
        <f t="shared" si="2490"/>
        <v>0</v>
      </c>
      <c r="EA128" s="34">
        <f t="shared" si="2491"/>
        <v>0</v>
      </c>
      <c r="EB128" s="34">
        <f t="shared" si="2492"/>
        <v>0</v>
      </c>
      <c r="EC128" s="34">
        <f t="shared" si="2493"/>
        <v>0</v>
      </c>
      <c r="ED128" s="34">
        <f t="shared" si="2494"/>
        <v>0.1870907390084191</v>
      </c>
      <c r="EE128" s="139">
        <f t="shared" si="2495"/>
        <v>0</v>
      </c>
      <c r="EF128" s="138">
        <f t="shared" si="2496"/>
        <v>0</v>
      </c>
      <c r="EG128" s="34">
        <f t="shared" si="2497"/>
        <v>0</v>
      </c>
      <c r="EH128" s="34">
        <f t="shared" si="2498"/>
        <v>0</v>
      </c>
      <c r="EI128" s="139">
        <f t="shared" si="2499"/>
        <v>0</v>
      </c>
      <c r="EJ128" s="138">
        <f t="shared" si="2500"/>
        <v>0</v>
      </c>
      <c r="EK128" s="34">
        <f t="shared" si="2501"/>
        <v>0</v>
      </c>
      <c r="EL128" s="34">
        <f t="shared" si="2502"/>
        <v>0</v>
      </c>
      <c r="EM128" s="34">
        <f t="shared" si="2503"/>
        <v>0</v>
      </c>
      <c r="EN128" s="34">
        <f t="shared" si="2504"/>
        <v>0</v>
      </c>
      <c r="EO128" s="139">
        <f t="shared" si="2505"/>
        <v>0</v>
      </c>
      <c r="EP128" s="138">
        <f t="shared" si="2506"/>
        <v>0</v>
      </c>
      <c r="EQ128" s="34">
        <f t="shared" si="2507"/>
        <v>0</v>
      </c>
      <c r="ER128" s="34">
        <f t="shared" si="2508"/>
        <v>0</v>
      </c>
      <c r="ES128" s="34">
        <f t="shared" si="2509"/>
        <v>0</v>
      </c>
      <c r="ET128" s="139">
        <f t="shared" si="2510"/>
        <v>0</v>
      </c>
      <c r="EU128" s="138">
        <f t="shared" si="2511"/>
        <v>0</v>
      </c>
      <c r="EV128" s="34">
        <f t="shared" si="2512"/>
        <v>0</v>
      </c>
      <c r="EW128" s="34">
        <f t="shared" si="2513"/>
        <v>0</v>
      </c>
      <c r="EX128" s="34">
        <f t="shared" si="2514"/>
        <v>0</v>
      </c>
      <c r="EY128" s="34">
        <f t="shared" si="2515"/>
        <v>0</v>
      </c>
      <c r="EZ128" s="34">
        <f t="shared" si="2516"/>
        <v>0</v>
      </c>
      <c r="FA128" s="34">
        <f t="shared" si="2517"/>
        <v>0</v>
      </c>
      <c r="FB128" s="34">
        <f t="shared" si="2518"/>
        <v>0</v>
      </c>
      <c r="FC128" s="34">
        <f t="shared" si="2519"/>
        <v>0</v>
      </c>
      <c r="FD128" s="34">
        <f t="shared" si="2520"/>
        <v>0</v>
      </c>
      <c r="FE128" s="34">
        <f t="shared" si="2521"/>
        <v>0</v>
      </c>
      <c r="FF128" s="139">
        <f t="shared" si="2522"/>
        <v>0</v>
      </c>
    </row>
    <row r="129" spans="2:162" x14ac:dyDescent="0.25">
      <c r="B129" s="127">
        <f t="shared" si="2450"/>
        <v>45596</v>
      </c>
      <c r="C129" s="266"/>
      <c r="D129" s="53"/>
      <c r="E129" s="129"/>
      <c r="F129" s="25"/>
      <c r="G129" s="25"/>
      <c r="H129" s="150"/>
      <c r="I129" s="24"/>
      <c r="J129" s="151"/>
      <c r="K129" s="151"/>
      <c r="L129" s="152"/>
      <c r="M129" s="152"/>
      <c r="N129" s="153"/>
      <c r="O129" s="25"/>
      <c r="P129" s="95"/>
      <c r="Q129" s="41"/>
      <c r="R129" s="41"/>
      <c r="S129" s="41"/>
      <c r="T129" s="41"/>
      <c r="U129" s="41"/>
      <c r="V129" s="41"/>
      <c r="W129" s="42"/>
      <c r="X129" s="95"/>
      <c r="Y129" s="41"/>
      <c r="Z129" s="41"/>
      <c r="AA129" s="42"/>
      <c r="AB129" s="95"/>
      <c r="AC129" s="41"/>
      <c r="AD129" s="41"/>
      <c r="AE129" s="41"/>
      <c r="AF129" s="41"/>
      <c r="AG129" s="42"/>
      <c r="AH129" s="95"/>
      <c r="AI129" s="41"/>
      <c r="AJ129" s="41"/>
      <c r="AK129" s="41"/>
      <c r="AL129" s="42"/>
      <c r="AM129" s="95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2"/>
      <c r="BB129" s="95"/>
      <c r="BC129" s="41"/>
      <c r="BD129" s="41"/>
      <c r="BE129" s="41"/>
      <c r="BF129" s="41"/>
      <c r="BG129" s="41"/>
      <c r="BH129" s="41"/>
      <c r="BI129" s="42"/>
      <c r="BJ129" s="95"/>
      <c r="BK129" s="41"/>
      <c r="BL129" s="41"/>
      <c r="BM129" s="42"/>
      <c r="BN129" s="95"/>
      <c r="BO129" s="41"/>
      <c r="BP129" s="41"/>
      <c r="BQ129" s="41"/>
      <c r="BR129" s="41"/>
      <c r="BS129" s="42"/>
      <c r="BT129" s="95"/>
      <c r="BU129" s="41"/>
      <c r="BV129" s="41"/>
      <c r="BW129" s="41"/>
      <c r="BX129" s="42"/>
      <c r="BY129" s="95"/>
      <c r="BZ129" s="41"/>
      <c r="CA129" s="41"/>
      <c r="CB129" s="41"/>
      <c r="CC129" s="41"/>
      <c r="CD129" s="41"/>
      <c r="CE129" s="41"/>
      <c r="CF129" s="41"/>
      <c r="CG129" s="41"/>
      <c r="CH129" s="41"/>
      <c r="CI129" s="41"/>
      <c r="CJ129" s="42"/>
      <c r="CL129" s="36"/>
      <c r="CN129" s="95"/>
      <c r="CO129" s="41"/>
      <c r="CP129" s="41"/>
      <c r="CQ129" s="41"/>
      <c r="CR129" s="41"/>
      <c r="CS129" s="41"/>
      <c r="CT129" s="41"/>
      <c r="CU129" s="42"/>
      <c r="CV129" s="95"/>
      <c r="CW129" s="41"/>
      <c r="CX129" s="41"/>
      <c r="CY129" s="42"/>
      <c r="CZ129" s="95"/>
      <c r="DA129" s="41"/>
      <c r="DB129" s="41"/>
      <c r="DC129" s="41"/>
      <c r="DD129" s="41"/>
      <c r="DE129" s="42"/>
      <c r="DF129" s="95"/>
      <c r="DG129" s="41"/>
      <c r="DH129" s="41"/>
      <c r="DI129" s="41"/>
      <c r="DJ129" s="42"/>
      <c r="DK129" s="95"/>
      <c r="DL129" s="41"/>
      <c r="DM129" s="41"/>
      <c r="DN129" s="41"/>
      <c r="DO129" s="41"/>
      <c r="DP129" s="41"/>
      <c r="DQ129" s="41"/>
      <c r="DR129" s="41"/>
      <c r="DS129" s="41"/>
      <c r="DT129" s="41"/>
      <c r="DU129" s="41"/>
      <c r="DV129" s="42"/>
      <c r="DX129" s="138"/>
      <c r="DY129" s="34"/>
      <c r="DZ129" s="34"/>
      <c r="EA129" s="34"/>
      <c r="EB129" s="34"/>
      <c r="EC129" s="34"/>
      <c r="ED129" s="34"/>
      <c r="EE129" s="139"/>
      <c r="EF129" s="138"/>
      <c r="EG129" s="34"/>
      <c r="EH129" s="34"/>
      <c r="EI129" s="139"/>
      <c r="EJ129" s="138"/>
      <c r="EK129" s="34"/>
      <c r="EL129" s="34"/>
      <c r="EM129" s="34"/>
      <c r="EN129" s="34"/>
      <c r="EO129" s="139"/>
      <c r="EP129" s="138"/>
      <c r="EQ129" s="34"/>
      <c r="ER129" s="34"/>
      <c r="ES129" s="34"/>
      <c r="ET129" s="139"/>
      <c r="EU129" s="138"/>
      <c r="EV129" s="34"/>
      <c r="EW129" s="34"/>
      <c r="EX129" s="34"/>
      <c r="EY129" s="34"/>
      <c r="EZ129" s="34"/>
      <c r="FA129" s="34"/>
      <c r="FB129" s="34"/>
      <c r="FC129" s="34"/>
      <c r="FD129" s="34"/>
      <c r="FE129" s="34"/>
      <c r="FF129" s="139"/>
    </row>
    <row r="130" spans="2:162" x14ac:dyDescent="0.25">
      <c r="B130" s="127">
        <f t="shared" si="2450"/>
        <v>45597</v>
      </c>
      <c r="C130" s="266"/>
      <c r="D130" s="53">
        <v>9</v>
      </c>
      <c r="E130" s="129">
        <v>4.09</v>
      </c>
      <c r="F130" s="25"/>
      <c r="G130" s="25"/>
      <c r="H130" s="150">
        <v>9</v>
      </c>
      <c r="I130" s="24">
        <v>2</v>
      </c>
      <c r="J130" s="151">
        <f>3/11</f>
        <v>0.27272727272727271</v>
      </c>
      <c r="K130" s="151"/>
      <c r="L130" s="152">
        <v>10.9</v>
      </c>
      <c r="M130" s="152">
        <f t="shared" ref="M130:M132" si="2523">H130/I130*K130*L130*1.5</f>
        <v>0</v>
      </c>
      <c r="N130" s="153">
        <f t="shared" ref="N130:N132" si="2524">H130/I130*J130*L130*N$4</f>
        <v>14.714999999999998</v>
      </c>
      <c r="O130" s="25"/>
      <c r="P130" s="95"/>
      <c r="Q130" s="41"/>
      <c r="R130" s="41"/>
      <c r="S130" s="41"/>
      <c r="T130" s="41"/>
      <c r="U130" s="41"/>
      <c r="V130" s="41"/>
      <c r="W130" s="42"/>
      <c r="X130" s="95"/>
      <c r="Y130" s="41"/>
      <c r="Z130" s="41"/>
      <c r="AA130" s="42"/>
      <c r="AB130" s="95"/>
      <c r="AC130" s="41"/>
      <c r="AD130" s="41"/>
      <c r="AE130" s="41"/>
      <c r="AF130" s="41"/>
      <c r="AG130" s="42"/>
      <c r="AH130" s="95"/>
      <c r="AI130" s="41"/>
      <c r="AJ130" s="41"/>
      <c r="AK130" s="41"/>
      <c r="AL130" s="42"/>
      <c r="AM130" s="95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2"/>
      <c r="BB130" s="95">
        <f t="shared" ref="BB130" si="2525">$N130*DX130</f>
        <v>0</v>
      </c>
      <c r="BC130" s="41">
        <f t="shared" ref="BC130" si="2526">$N130*DY130</f>
        <v>0</v>
      </c>
      <c r="BD130" s="41">
        <f t="shared" ref="BD130" si="2527">$N130*DZ130</f>
        <v>0</v>
      </c>
      <c r="BE130" s="41">
        <f t="shared" ref="BE130" si="2528">$N130*EA130</f>
        <v>0</v>
      </c>
      <c r="BF130" s="41">
        <f t="shared" ref="BF130" si="2529">$N130*EB130</f>
        <v>0</v>
      </c>
      <c r="BG130" s="41">
        <f t="shared" ref="BG130" si="2530">$N130*EC130</f>
        <v>0</v>
      </c>
      <c r="BH130" s="41">
        <f t="shared" ref="BH130" si="2531">$N130*ED130</f>
        <v>0</v>
      </c>
      <c r="BI130" s="42">
        <f t="shared" ref="BI130" si="2532">$N130*EE130</f>
        <v>0</v>
      </c>
      <c r="BJ130" s="95">
        <f t="shared" ref="BJ130" si="2533">$N130*EF130</f>
        <v>0</v>
      </c>
      <c r="BK130" s="41">
        <f t="shared" ref="BK130" si="2534">$N130*EG130</f>
        <v>0</v>
      </c>
      <c r="BL130" s="41">
        <f t="shared" ref="BL130" si="2535">$N130*EH130</f>
        <v>0</v>
      </c>
      <c r="BM130" s="42">
        <f t="shared" ref="BM130" si="2536">$N130*EI130</f>
        <v>0</v>
      </c>
      <c r="BN130" s="95">
        <f t="shared" ref="BN130" si="2537">$N130*EJ130</f>
        <v>0</v>
      </c>
      <c r="BO130" s="41">
        <f t="shared" ref="BO130" si="2538">$N130*EK130</f>
        <v>0</v>
      </c>
      <c r="BP130" s="41">
        <f t="shared" ref="BP130" si="2539">$N130*EL130</f>
        <v>0</v>
      </c>
      <c r="BQ130" s="41">
        <f t="shared" ref="BQ130" si="2540">$N130*EM130</f>
        <v>0</v>
      </c>
      <c r="BR130" s="41">
        <f t="shared" ref="BR130" si="2541">$N130*EN130</f>
        <v>0</v>
      </c>
      <c r="BS130" s="42">
        <f t="shared" ref="BS130" si="2542">$N130*EO130</f>
        <v>0</v>
      </c>
      <c r="BT130" s="95">
        <f t="shared" ref="BT130" si="2543">$N130*EP130</f>
        <v>0</v>
      </c>
      <c r="BU130" s="41">
        <f t="shared" ref="BU130" si="2544">$N130*EQ130</f>
        <v>0</v>
      </c>
      <c r="BV130" s="41">
        <f t="shared" ref="BV130" si="2545">$N130*ER130</f>
        <v>0</v>
      </c>
      <c r="BW130" s="41">
        <f t="shared" ref="BW130" si="2546">$N130*ES130</f>
        <v>0</v>
      </c>
      <c r="BX130" s="42">
        <f t="shared" ref="BX130" si="2547">$N130*ET130</f>
        <v>0</v>
      </c>
      <c r="BY130" s="95">
        <f t="shared" ref="BY130" si="2548">$N130*EU130</f>
        <v>0</v>
      </c>
      <c r="BZ130" s="41">
        <f t="shared" ref="BZ130" si="2549">$N130*EV130</f>
        <v>0</v>
      </c>
      <c r="CA130" s="41">
        <f t="shared" ref="CA130" si="2550">$N130*EW130</f>
        <v>0</v>
      </c>
      <c r="CB130" s="41">
        <f t="shared" ref="CB130" si="2551">$N130*EX130</f>
        <v>0</v>
      </c>
      <c r="CC130" s="41">
        <f t="shared" ref="CC130" si="2552">$N130*EY130</f>
        <v>0</v>
      </c>
      <c r="CD130" s="41">
        <f t="shared" ref="CD130" si="2553">$N130*EZ130</f>
        <v>0</v>
      </c>
      <c r="CE130" s="41">
        <f t="shared" ref="CE130" si="2554">$N130*FA130</f>
        <v>0</v>
      </c>
      <c r="CF130" s="41">
        <f t="shared" ref="CF130" si="2555">$N130*FB130</f>
        <v>0</v>
      </c>
      <c r="CG130" s="41">
        <f t="shared" ref="CG130" si="2556">$N130*FC130</f>
        <v>0</v>
      </c>
      <c r="CH130" s="41">
        <f t="shared" ref="CH130" si="2557">$N130*FD130</f>
        <v>0</v>
      </c>
      <c r="CI130" s="41">
        <f t="shared" ref="CI130" si="2558">$N130*FE130</f>
        <v>0</v>
      </c>
      <c r="CJ130" s="42">
        <f t="shared" ref="CJ130" si="2559">$N130*FF130</f>
        <v>0</v>
      </c>
      <c r="CL130" s="36"/>
      <c r="CN130" s="95"/>
      <c r="CO130" s="41"/>
      <c r="CP130" s="41"/>
      <c r="CQ130" s="41"/>
      <c r="CR130" s="41"/>
      <c r="CS130" s="41"/>
      <c r="CT130" s="41"/>
      <c r="CU130" s="42"/>
      <c r="CV130" s="95"/>
      <c r="CW130" s="41"/>
      <c r="CX130" s="41"/>
      <c r="CY130" s="42"/>
      <c r="CZ130" s="95"/>
      <c r="DA130" s="41"/>
      <c r="DB130" s="41"/>
      <c r="DC130" s="41"/>
      <c r="DD130" s="41"/>
      <c r="DE130" s="42"/>
      <c r="DF130" s="95"/>
      <c r="DG130" s="41"/>
      <c r="DH130" s="41"/>
      <c r="DI130" s="41"/>
      <c r="DJ130" s="42"/>
      <c r="DK130" s="95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2"/>
      <c r="DX130" s="138">
        <f t="shared" ref="DX130:DX132" si="2560">P130/$E130</f>
        <v>0</v>
      </c>
      <c r="DY130" s="34">
        <f t="shared" ref="DY130:DY132" si="2561">Q130/$E130</f>
        <v>0</v>
      </c>
      <c r="DZ130" s="34">
        <f t="shared" ref="DZ130:DZ132" si="2562">R130/$E130</f>
        <v>0</v>
      </c>
      <c r="EA130" s="34">
        <f t="shared" ref="EA130:EA132" si="2563">S130/$E130</f>
        <v>0</v>
      </c>
      <c r="EB130" s="34">
        <f t="shared" ref="EB130:EB132" si="2564">T130/$E130</f>
        <v>0</v>
      </c>
      <c r="EC130" s="34">
        <f t="shared" ref="EC130" si="2565">U130/$E130</f>
        <v>0</v>
      </c>
      <c r="ED130" s="34">
        <f t="shared" ref="ED130" si="2566">V130/$E130</f>
        <v>0</v>
      </c>
      <c r="EE130" s="139">
        <f t="shared" ref="EE130" si="2567">W130/$E130</f>
        <v>0</v>
      </c>
      <c r="EF130" s="138">
        <f t="shared" ref="EF130" si="2568">X130/$E130</f>
        <v>0</v>
      </c>
      <c r="EG130" s="34">
        <f t="shared" ref="EG130" si="2569">Y130/$E130</f>
        <v>0</v>
      </c>
      <c r="EH130" s="34">
        <f t="shared" ref="EH130" si="2570">Z130/$E130</f>
        <v>0</v>
      </c>
      <c r="EI130" s="139">
        <f t="shared" ref="EI130" si="2571">AA130/$E130</f>
        <v>0</v>
      </c>
      <c r="EJ130" s="138">
        <f t="shared" ref="EJ130" si="2572">AB130/$E130</f>
        <v>0</v>
      </c>
      <c r="EK130" s="34">
        <f t="shared" ref="EK130" si="2573">AC130/$E130</f>
        <v>0</v>
      </c>
      <c r="EL130" s="34">
        <f t="shared" ref="EL130" si="2574">AD130/$E130</f>
        <v>0</v>
      </c>
      <c r="EM130" s="34">
        <f t="shared" ref="EM130" si="2575">AE130/$E130</f>
        <v>0</v>
      </c>
      <c r="EN130" s="34">
        <f t="shared" ref="EN130" si="2576">AF130/$E130</f>
        <v>0</v>
      </c>
      <c r="EO130" s="139">
        <f t="shared" ref="EO130" si="2577">AG130/$E130</f>
        <v>0</v>
      </c>
      <c r="EP130" s="138">
        <f t="shared" ref="EP130" si="2578">AH130/$E130</f>
        <v>0</v>
      </c>
      <c r="EQ130" s="34">
        <f t="shared" ref="EQ130" si="2579">AI130/$E130</f>
        <v>0</v>
      </c>
      <c r="ER130" s="34">
        <f t="shared" ref="ER130" si="2580">AJ130/$E130</f>
        <v>0</v>
      </c>
      <c r="ES130" s="34">
        <f t="shared" ref="ES130" si="2581">AK130/$E130</f>
        <v>0</v>
      </c>
      <c r="ET130" s="139">
        <f t="shared" ref="ET130" si="2582">AL130/$E130</f>
        <v>0</v>
      </c>
      <c r="EU130" s="138">
        <f t="shared" ref="EU130" si="2583">AM130/$E130</f>
        <v>0</v>
      </c>
      <c r="EV130" s="34">
        <f t="shared" ref="EV130" si="2584">AN130/$E130</f>
        <v>0</v>
      </c>
      <c r="EW130" s="34">
        <f t="shared" ref="EW130" si="2585">AO130/$E130</f>
        <v>0</v>
      </c>
      <c r="EX130" s="34">
        <f t="shared" ref="EX130" si="2586">AP130/$E130</f>
        <v>0</v>
      </c>
      <c r="EY130" s="34">
        <f t="shared" ref="EY130" si="2587">AQ130/$E130</f>
        <v>0</v>
      </c>
      <c r="EZ130" s="34">
        <f t="shared" ref="EZ130" si="2588">AR130/$E130</f>
        <v>0</v>
      </c>
      <c r="FA130" s="34">
        <f t="shared" ref="FA130" si="2589">AS130/$E130</f>
        <v>0</v>
      </c>
      <c r="FB130" s="34">
        <f t="shared" ref="FB130" si="2590">AT130/$E130</f>
        <v>0</v>
      </c>
      <c r="FC130" s="34">
        <f t="shared" ref="FC130" si="2591">AU130/$E130</f>
        <v>0</v>
      </c>
      <c r="FD130" s="34">
        <f t="shared" ref="FD130" si="2592">AV130/$E130</f>
        <v>0</v>
      </c>
      <c r="FE130" s="34">
        <f t="shared" ref="FE130" si="2593">AY130/$E130</f>
        <v>0</v>
      </c>
      <c r="FF130" s="139">
        <f t="shared" ref="FF130" si="2594">AZ130/$E130</f>
        <v>0</v>
      </c>
    </row>
    <row r="131" spans="2:162" x14ac:dyDescent="0.25">
      <c r="B131" s="127">
        <f t="shared" si="2450"/>
        <v>45598</v>
      </c>
      <c r="C131" s="266"/>
      <c r="D131" s="53">
        <v>12</v>
      </c>
      <c r="E131" s="129">
        <v>8.89</v>
      </c>
      <c r="F131" s="25"/>
      <c r="G131" s="25"/>
      <c r="H131" s="150">
        <v>12</v>
      </c>
      <c r="I131" s="24">
        <v>2</v>
      </c>
      <c r="J131" s="151">
        <f>6/16</f>
        <v>0.375</v>
      </c>
      <c r="K131" s="151"/>
      <c r="L131" s="152">
        <v>10.9</v>
      </c>
      <c r="M131" s="152">
        <f t="shared" si="2523"/>
        <v>0</v>
      </c>
      <c r="N131" s="153">
        <f t="shared" si="2524"/>
        <v>26.977500000000006</v>
      </c>
      <c r="O131" s="25"/>
      <c r="P131" s="95">
        <v>2</v>
      </c>
      <c r="Q131" s="41"/>
      <c r="R131" s="41"/>
      <c r="S131" s="41"/>
      <c r="T131" s="41"/>
      <c r="U131" s="41"/>
      <c r="V131" s="41">
        <v>10</v>
      </c>
      <c r="W131" s="42"/>
      <c r="X131" s="95"/>
      <c r="Y131" s="41"/>
      <c r="Z131" s="41"/>
      <c r="AA131" s="42"/>
      <c r="AB131" s="95"/>
      <c r="AC131" s="41"/>
      <c r="AD131" s="41"/>
      <c r="AE131" s="41"/>
      <c r="AF131" s="41"/>
      <c r="AG131" s="42"/>
      <c r="AH131" s="95"/>
      <c r="AI131" s="41"/>
      <c r="AJ131" s="41"/>
      <c r="AK131" s="41"/>
      <c r="AL131" s="42"/>
      <c r="AM131" s="95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2"/>
      <c r="BB131" s="95">
        <f t="shared" ref="BB131:BB132" si="2595">$N131*DX131</f>
        <v>6.0691788526434198</v>
      </c>
      <c r="BC131" s="41">
        <f t="shared" ref="BC131:BC132" si="2596">$N131*DY131</f>
        <v>0</v>
      </c>
      <c r="BD131" s="41">
        <f t="shared" ref="BD131:BD132" si="2597">$N131*DZ131</f>
        <v>0</v>
      </c>
      <c r="BE131" s="41">
        <f t="shared" ref="BE131:BE132" si="2598">$N131*EA131</f>
        <v>0</v>
      </c>
      <c r="BF131" s="41">
        <f t="shared" ref="BF131:BF132" si="2599">$N131*EB131</f>
        <v>0</v>
      </c>
      <c r="BG131" s="41">
        <f t="shared" ref="BG131:BG132" si="2600">$N131*EC131</f>
        <v>0</v>
      </c>
      <c r="BH131" s="41">
        <f t="shared" ref="BH131:BH132" si="2601">$N131*ED131</f>
        <v>30.345894263217104</v>
      </c>
      <c r="BI131" s="42">
        <f t="shared" ref="BI131:BI132" si="2602">$N131*EE131</f>
        <v>0</v>
      </c>
      <c r="BJ131" s="95">
        <f t="shared" ref="BJ131:BJ132" si="2603">$N131*EF131</f>
        <v>0</v>
      </c>
      <c r="BK131" s="41">
        <f t="shared" ref="BK131:BK132" si="2604">$N131*EG131</f>
        <v>0</v>
      </c>
      <c r="BL131" s="41">
        <f t="shared" ref="BL131:BL132" si="2605">$N131*EH131</f>
        <v>0</v>
      </c>
      <c r="BM131" s="42">
        <f t="shared" ref="BM131:BM132" si="2606">$N131*EI131</f>
        <v>0</v>
      </c>
      <c r="BN131" s="95">
        <f t="shared" ref="BN131:BN132" si="2607">$N131*EJ131</f>
        <v>0</v>
      </c>
      <c r="BO131" s="41">
        <f t="shared" ref="BO131:BO132" si="2608">$N131*EK131</f>
        <v>0</v>
      </c>
      <c r="BP131" s="41">
        <f t="shared" ref="BP131:BP132" si="2609">$N131*EL131</f>
        <v>0</v>
      </c>
      <c r="BQ131" s="41">
        <f t="shared" ref="BQ131:BQ132" si="2610">$N131*EM131</f>
        <v>0</v>
      </c>
      <c r="BR131" s="41">
        <f t="shared" ref="BR131:BR132" si="2611">$N131*EN131</f>
        <v>0</v>
      </c>
      <c r="BS131" s="42">
        <f t="shared" ref="BS131:BS132" si="2612">$N131*EO131</f>
        <v>0</v>
      </c>
      <c r="BT131" s="95">
        <f t="shared" ref="BT131:BT132" si="2613">$N131*EP131</f>
        <v>0</v>
      </c>
      <c r="BU131" s="41">
        <f t="shared" ref="BU131:BU132" si="2614">$N131*EQ131</f>
        <v>0</v>
      </c>
      <c r="BV131" s="41">
        <f t="shared" ref="BV131:BV132" si="2615">$N131*ER131</f>
        <v>0</v>
      </c>
      <c r="BW131" s="41">
        <f t="shared" ref="BW131:BW132" si="2616">$N131*ES131</f>
        <v>0</v>
      </c>
      <c r="BX131" s="42">
        <f t="shared" ref="BX131:BX132" si="2617">$N131*ET131</f>
        <v>0</v>
      </c>
      <c r="BY131" s="95">
        <f t="shared" ref="BY131:BY132" si="2618">$N131*EU131</f>
        <v>0</v>
      </c>
      <c r="BZ131" s="41">
        <f t="shared" ref="BZ131:BZ132" si="2619">$N131*EV131</f>
        <v>0</v>
      </c>
      <c r="CA131" s="41">
        <f t="shared" ref="CA131:CA132" si="2620">$N131*EW131</f>
        <v>0</v>
      </c>
      <c r="CB131" s="41">
        <f t="shared" ref="CB131:CB132" si="2621">$N131*EX131</f>
        <v>0</v>
      </c>
      <c r="CC131" s="41">
        <f t="shared" ref="CC131:CC132" si="2622">$N131*EY131</f>
        <v>0</v>
      </c>
      <c r="CD131" s="41">
        <f t="shared" ref="CD131:CD132" si="2623">$N131*EZ131</f>
        <v>0</v>
      </c>
      <c r="CE131" s="41">
        <f t="shared" ref="CE131:CE132" si="2624">$N131*FA131</f>
        <v>0</v>
      </c>
      <c r="CF131" s="41">
        <f t="shared" ref="CF131:CF132" si="2625">$N131*FB131</f>
        <v>0</v>
      </c>
      <c r="CG131" s="41">
        <f t="shared" ref="CG131:CG132" si="2626">$N131*FC131</f>
        <v>0</v>
      </c>
      <c r="CH131" s="41">
        <f t="shared" ref="CH131:CH132" si="2627">$N131*FD131</f>
        <v>0</v>
      </c>
      <c r="CI131" s="41">
        <f t="shared" ref="CI131:CI132" si="2628">$N131*FE131</f>
        <v>0</v>
      </c>
      <c r="CJ131" s="42">
        <f t="shared" ref="CJ131:CJ132" si="2629">$N131*FF131</f>
        <v>0</v>
      </c>
      <c r="CL131" s="36">
        <v>2</v>
      </c>
      <c r="CN131" s="95"/>
      <c r="CO131" s="41"/>
      <c r="CP131" s="41"/>
      <c r="CQ131" s="41"/>
      <c r="CR131" s="41"/>
      <c r="CS131" s="41"/>
      <c r="CT131" s="41"/>
      <c r="CU131" s="42"/>
      <c r="CV131" s="95"/>
      <c r="CW131" s="41"/>
      <c r="CX131" s="41"/>
      <c r="CY131" s="42"/>
      <c r="CZ131" s="95"/>
      <c r="DA131" s="41"/>
      <c r="DB131" s="41"/>
      <c r="DC131" s="41"/>
      <c r="DD131" s="41"/>
      <c r="DE131" s="42"/>
      <c r="DF131" s="95"/>
      <c r="DG131" s="41"/>
      <c r="DH131" s="41"/>
      <c r="DI131" s="41"/>
      <c r="DJ131" s="42"/>
      <c r="DK131" s="95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2"/>
      <c r="DX131" s="138">
        <f t="shared" si="2560"/>
        <v>0.22497187851518557</v>
      </c>
      <c r="DY131" s="34">
        <f t="shared" si="2561"/>
        <v>0</v>
      </c>
      <c r="DZ131" s="34">
        <f t="shared" si="2562"/>
        <v>0</v>
      </c>
      <c r="EA131" s="34">
        <f t="shared" si="2563"/>
        <v>0</v>
      </c>
      <c r="EB131" s="34">
        <f t="shared" si="2564"/>
        <v>0</v>
      </c>
      <c r="EC131" s="34">
        <f t="shared" ref="EC131:EC132" si="2630">U131/$E131</f>
        <v>0</v>
      </c>
      <c r="ED131" s="34">
        <f t="shared" ref="ED131:ED132" si="2631">V131/$E131</f>
        <v>1.124859392575928</v>
      </c>
      <c r="EE131" s="139">
        <f t="shared" ref="EE131:EE132" si="2632">W131/$E131</f>
        <v>0</v>
      </c>
      <c r="EF131" s="138">
        <f t="shared" ref="EF131:EF132" si="2633">X131/$E131</f>
        <v>0</v>
      </c>
      <c r="EG131" s="34">
        <f t="shared" ref="EG131:EG132" si="2634">Y131/$E131</f>
        <v>0</v>
      </c>
      <c r="EH131" s="34">
        <f t="shared" ref="EH131:EH132" si="2635">Z131/$E131</f>
        <v>0</v>
      </c>
      <c r="EI131" s="139">
        <f t="shared" ref="EI131:EI132" si="2636">AA131/$E131</f>
        <v>0</v>
      </c>
      <c r="EJ131" s="138">
        <f t="shared" ref="EJ131:EJ132" si="2637">AB131/$E131</f>
        <v>0</v>
      </c>
      <c r="EK131" s="34">
        <f t="shared" ref="EK131:EK132" si="2638">AC131/$E131</f>
        <v>0</v>
      </c>
      <c r="EL131" s="34">
        <f t="shared" ref="EL131:EL132" si="2639">AD131/$E131</f>
        <v>0</v>
      </c>
      <c r="EM131" s="34">
        <f t="shared" ref="EM131:EM132" si="2640">AE131/$E131</f>
        <v>0</v>
      </c>
      <c r="EN131" s="34">
        <f t="shared" ref="EN131:EN132" si="2641">AF131/$E131</f>
        <v>0</v>
      </c>
      <c r="EO131" s="139">
        <f t="shared" ref="EO131:EO132" si="2642">AG131/$E131</f>
        <v>0</v>
      </c>
      <c r="EP131" s="138">
        <f t="shared" ref="EP131:EP132" si="2643">AH131/$E131</f>
        <v>0</v>
      </c>
      <c r="EQ131" s="34">
        <f t="shared" ref="EQ131:EQ132" si="2644">AI131/$E131</f>
        <v>0</v>
      </c>
      <c r="ER131" s="34">
        <f t="shared" ref="ER131:ER132" si="2645">AJ131/$E131</f>
        <v>0</v>
      </c>
      <c r="ES131" s="34">
        <f t="shared" ref="ES131:ES132" si="2646">AK131/$E131</f>
        <v>0</v>
      </c>
      <c r="ET131" s="139">
        <f t="shared" ref="ET131:ET132" si="2647">AL131/$E131</f>
        <v>0</v>
      </c>
      <c r="EU131" s="138">
        <f t="shared" ref="EU131:EU132" si="2648">AM131/$E131</f>
        <v>0</v>
      </c>
      <c r="EV131" s="34">
        <f t="shared" ref="EV131:EV132" si="2649">AN131/$E131</f>
        <v>0</v>
      </c>
      <c r="EW131" s="34">
        <f t="shared" ref="EW131:EW132" si="2650">AO131/$E131</f>
        <v>0</v>
      </c>
      <c r="EX131" s="34">
        <f t="shared" ref="EX131:EX132" si="2651">AP131/$E131</f>
        <v>0</v>
      </c>
      <c r="EY131" s="34">
        <f t="shared" ref="EY131:EY132" si="2652">AQ131/$E131</f>
        <v>0</v>
      </c>
      <c r="EZ131" s="34">
        <f t="shared" ref="EZ131:EZ132" si="2653">AR131/$E131</f>
        <v>0</v>
      </c>
      <c r="FA131" s="34">
        <f t="shared" ref="FA131:FA132" si="2654">AS131/$E131</f>
        <v>0</v>
      </c>
      <c r="FB131" s="34">
        <f t="shared" ref="FB131:FB132" si="2655">AT131/$E131</f>
        <v>0</v>
      </c>
      <c r="FC131" s="34">
        <f t="shared" ref="FC131:FC132" si="2656">AU131/$E131</f>
        <v>0</v>
      </c>
      <c r="FD131" s="34">
        <f t="shared" ref="FD131:FD132" si="2657">AV131/$E131</f>
        <v>0</v>
      </c>
      <c r="FE131" s="34">
        <f t="shared" ref="FE131:FE132" si="2658">AY131/$E131</f>
        <v>0</v>
      </c>
      <c r="FF131" s="139">
        <f t="shared" ref="FF131:FF132" si="2659">AZ131/$E131</f>
        <v>0</v>
      </c>
    </row>
    <row r="132" spans="2:162" ht="16.5" thickBot="1" x14ac:dyDescent="0.3">
      <c r="B132" s="127">
        <f t="shared" si="2450"/>
        <v>45599</v>
      </c>
      <c r="C132" s="267"/>
      <c r="D132" s="100">
        <v>15</v>
      </c>
      <c r="E132" s="131">
        <v>4.2300000000000004</v>
      </c>
      <c r="F132" s="25"/>
      <c r="G132" s="25"/>
      <c r="H132" s="171">
        <v>15</v>
      </c>
      <c r="I132" s="172">
        <v>2</v>
      </c>
      <c r="J132" s="173">
        <f>2/25</f>
        <v>0.08</v>
      </c>
      <c r="K132" s="173"/>
      <c r="L132" s="174">
        <v>10.9</v>
      </c>
      <c r="M132" s="174">
        <f t="shared" si="2523"/>
        <v>0</v>
      </c>
      <c r="N132" s="175">
        <f t="shared" si="2524"/>
        <v>7.1940000000000008</v>
      </c>
      <c r="O132" s="25"/>
      <c r="P132" s="96">
        <v>1</v>
      </c>
      <c r="Q132" s="76"/>
      <c r="R132" s="76"/>
      <c r="S132" s="76"/>
      <c r="T132" s="76"/>
      <c r="U132" s="76"/>
      <c r="V132" s="76">
        <v>2</v>
      </c>
      <c r="W132" s="77"/>
      <c r="X132" s="96"/>
      <c r="Y132" s="76"/>
      <c r="Z132" s="76"/>
      <c r="AA132" s="77"/>
      <c r="AB132" s="96"/>
      <c r="AC132" s="76"/>
      <c r="AD132" s="76"/>
      <c r="AE132" s="76"/>
      <c r="AF132" s="76"/>
      <c r="AG132" s="77"/>
      <c r="AH132" s="96"/>
      <c r="AI132" s="76"/>
      <c r="AJ132" s="76"/>
      <c r="AK132" s="76"/>
      <c r="AL132" s="77"/>
      <c r="AM132" s="96"/>
      <c r="AN132" s="76"/>
      <c r="AO132" s="76"/>
      <c r="AP132" s="76"/>
      <c r="AQ132" s="76">
        <v>7</v>
      </c>
      <c r="AR132" s="76"/>
      <c r="AS132" s="76"/>
      <c r="AT132" s="76"/>
      <c r="AU132" s="76"/>
      <c r="AV132" s="76"/>
      <c r="AW132" s="76"/>
      <c r="AX132" s="76"/>
      <c r="AY132" s="76"/>
      <c r="AZ132" s="77">
        <v>2</v>
      </c>
      <c r="BB132" s="95">
        <f t="shared" si="2595"/>
        <v>1.7007092198581562</v>
      </c>
      <c r="BC132" s="41">
        <f t="shared" si="2596"/>
        <v>0</v>
      </c>
      <c r="BD132" s="41">
        <f t="shared" si="2597"/>
        <v>0</v>
      </c>
      <c r="BE132" s="41">
        <f t="shared" si="2598"/>
        <v>0</v>
      </c>
      <c r="BF132" s="41">
        <f t="shared" si="2599"/>
        <v>0</v>
      </c>
      <c r="BG132" s="41">
        <f t="shared" si="2600"/>
        <v>0</v>
      </c>
      <c r="BH132" s="41">
        <f t="shared" si="2601"/>
        <v>3.4014184397163123</v>
      </c>
      <c r="BI132" s="42">
        <f t="shared" si="2602"/>
        <v>0</v>
      </c>
      <c r="BJ132" s="95">
        <f t="shared" si="2603"/>
        <v>0</v>
      </c>
      <c r="BK132" s="41">
        <f t="shared" si="2604"/>
        <v>0</v>
      </c>
      <c r="BL132" s="41">
        <f t="shared" si="2605"/>
        <v>0</v>
      </c>
      <c r="BM132" s="42">
        <f t="shared" si="2606"/>
        <v>0</v>
      </c>
      <c r="BN132" s="95">
        <f t="shared" si="2607"/>
        <v>0</v>
      </c>
      <c r="BO132" s="41">
        <f t="shared" si="2608"/>
        <v>0</v>
      </c>
      <c r="BP132" s="41">
        <f t="shared" si="2609"/>
        <v>0</v>
      </c>
      <c r="BQ132" s="41">
        <f t="shared" si="2610"/>
        <v>0</v>
      </c>
      <c r="BR132" s="41">
        <f t="shared" si="2611"/>
        <v>0</v>
      </c>
      <c r="BS132" s="42">
        <f t="shared" si="2612"/>
        <v>0</v>
      </c>
      <c r="BT132" s="95">
        <f t="shared" si="2613"/>
        <v>0</v>
      </c>
      <c r="BU132" s="41">
        <f t="shared" si="2614"/>
        <v>0</v>
      </c>
      <c r="BV132" s="41">
        <f t="shared" si="2615"/>
        <v>0</v>
      </c>
      <c r="BW132" s="41">
        <f t="shared" si="2616"/>
        <v>0</v>
      </c>
      <c r="BX132" s="42">
        <f t="shared" si="2617"/>
        <v>0</v>
      </c>
      <c r="BY132" s="95">
        <f t="shared" si="2618"/>
        <v>0</v>
      </c>
      <c r="BZ132" s="41">
        <f t="shared" si="2619"/>
        <v>0</v>
      </c>
      <c r="CA132" s="41">
        <f t="shared" si="2620"/>
        <v>0</v>
      </c>
      <c r="CB132" s="41">
        <f t="shared" si="2621"/>
        <v>0</v>
      </c>
      <c r="CC132" s="41">
        <f t="shared" si="2622"/>
        <v>11.904964539007091</v>
      </c>
      <c r="CD132" s="41">
        <f t="shared" si="2623"/>
        <v>0</v>
      </c>
      <c r="CE132" s="41">
        <f t="shared" si="2624"/>
        <v>0</v>
      </c>
      <c r="CF132" s="41">
        <f t="shared" si="2625"/>
        <v>0</v>
      </c>
      <c r="CG132" s="41">
        <f t="shared" si="2626"/>
        <v>0</v>
      </c>
      <c r="CH132" s="41">
        <f t="shared" si="2627"/>
        <v>0</v>
      </c>
      <c r="CI132" s="41">
        <f t="shared" si="2628"/>
        <v>0</v>
      </c>
      <c r="CJ132" s="42">
        <f t="shared" si="2629"/>
        <v>3.4014184397163123</v>
      </c>
      <c r="CN132" s="96"/>
      <c r="CO132" s="76"/>
      <c r="CP132" s="76"/>
      <c r="CQ132" s="76"/>
      <c r="CR132" s="76"/>
      <c r="CS132" s="76"/>
      <c r="CT132" s="76"/>
      <c r="CU132" s="77"/>
      <c r="CV132" s="96"/>
      <c r="CW132" s="76"/>
      <c r="CX132" s="76"/>
      <c r="CY132" s="77"/>
      <c r="CZ132" s="96"/>
      <c r="DA132" s="76"/>
      <c r="DB132" s="76"/>
      <c r="DC132" s="76"/>
      <c r="DD132" s="76"/>
      <c r="DE132" s="77"/>
      <c r="DF132" s="96"/>
      <c r="DG132" s="76"/>
      <c r="DH132" s="76"/>
      <c r="DI132" s="76"/>
      <c r="DJ132" s="77"/>
      <c r="DK132" s="96"/>
      <c r="DL132" s="76"/>
      <c r="DM132" s="76"/>
      <c r="DN132" s="76"/>
      <c r="DO132" s="76"/>
      <c r="DP132" s="76"/>
      <c r="DQ132" s="76"/>
      <c r="DR132" s="76"/>
      <c r="DS132" s="76"/>
      <c r="DT132" s="76"/>
      <c r="DU132" s="76"/>
      <c r="DV132" s="77"/>
      <c r="DX132" s="140">
        <f t="shared" si="2560"/>
        <v>0.23640661938534277</v>
      </c>
      <c r="DY132" s="141">
        <f t="shared" si="2561"/>
        <v>0</v>
      </c>
      <c r="DZ132" s="141">
        <f t="shared" si="2562"/>
        <v>0</v>
      </c>
      <c r="EA132" s="141">
        <f t="shared" si="2563"/>
        <v>0</v>
      </c>
      <c r="EB132" s="141">
        <f t="shared" si="2564"/>
        <v>0</v>
      </c>
      <c r="EC132" s="141">
        <f t="shared" si="2630"/>
        <v>0</v>
      </c>
      <c r="ED132" s="141">
        <f t="shared" si="2631"/>
        <v>0.47281323877068554</v>
      </c>
      <c r="EE132" s="142">
        <f t="shared" si="2632"/>
        <v>0</v>
      </c>
      <c r="EF132" s="140">
        <f t="shared" si="2633"/>
        <v>0</v>
      </c>
      <c r="EG132" s="141">
        <f t="shared" si="2634"/>
        <v>0</v>
      </c>
      <c r="EH132" s="141">
        <f t="shared" si="2635"/>
        <v>0</v>
      </c>
      <c r="EI132" s="142">
        <f t="shared" si="2636"/>
        <v>0</v>
      </c>
      <c r="EJ132" s="140">
        <f t="shared" si="2637"/>
        <v>0</v>
      </c>
      <c r="EK132" s="141">
        <f t="shared" si="2638"/>
        <v>0</v>
      </c>
      <c r="EL132" s="141">
        <f t="shared" si="2639"/>
        <v>0</v>
      </c>
      <c r="EM132" s="141">
        <f t="shared" si="2640"/>
        <v>0</v>
      </c>
      <c r="EN132" s="141">
        <f t="shared" si="2641"/>
        <v>0</v>
      </c>
      <c r="EO132" s="142">
        <f t="shared" si="2642"/>
        <v>0</v>
      </c>
      <c r="EP132" s="140">
        <f t="shared" si="2643"/>
        <v>0</v>
      </c>
      <c r="EQ132" s="141">
        <f t="shared" si="2644"/>
        <v>0</v>
      </c>
      <c r="ER132" s="141">
        <f t="shared" si="2645"/>
        <v>0</v>
      </c>
      <c r="ES132" s="141">
        <f t="shared" si="2646"/>
        <v>0</v>
      </c>
      <c r="ET132" s="142">
        <f t="shared" si="2647"/>
        <v>0</v>
      </c>
      <c r="EU132" s="140">
        <f t="shared" si="2648"/>
        <v>0</v>
      </c>
      <c r="EV132" s="141">
        <f t="shared" si="2649"/>
        <v>0</v>
      </c>
      <c r="EW132" s="141">
        <f t="shared" si="2650"/>
        <v>0</v>
      </c>
      <c r="EX132" s="141">
        <f t="shared" si="2651"/>
        <v>0</v>
      </c>
      <c r="EY132" s="141">
        <f t="shared" si="2652"/>
        <v>1.6548463356973993</v>
      </c>
      <c r="EZ132" s="141">
        <f t="shared" si="2653"/>
        <v>0</v>
      </c>
      <c r="FA132" s="141">
        <f t="shared" si="2654"/>
        <v>0</v>
      </c>
      <c r="FB132" s="141">
        <f t="shared" si="2655"/>
        <v>0</v>
      </c>
      <c r="FC132" s="141">
        <f t="shared" si="2656"/>
        <v>0</v>
      </c>
      <c r="FD132" s="141">
        <f t="shared" si="2657"/>
        <v>0</v>
      </c>
      <c r="FE132" s="141">
        <f t="shared" si="2658"/>
        <v>0</v>
      </c>
      <c r="FF132" s="142">
        <f t="shared" si="2659"/>
        <v>0.47281323877068554</v>
      </c>
    </row>
    <row r="133" spans="2:162" ht="17.25" thickTop="1" thickBot="1" x14ac:dyDescent="0.3">
      <c r="B133" s="178"/>
      <c r="C133" s="268"/>
      <c r="D133" s="101">
        <f t="shared" ref="D133:E133" si="2660">SUM(D126:D132)</f>
        <v>43</v>
      </c>
      <c r="E133" s="134">
        <f t="shared" si="2660"/>
        <v>31.78</v>
      </c>
      <c r="F133" s="146"/>
      <c r="G133" s="146"/>
      <c r="H133" s="43"/>
      <c r="I133" s="39"/>
      <c r="J133" s="39"/>
      <c r="K133" s="39"/>
      <c r="L133" s="184"/>
      <c r="M133" s="185"/>
      <c r="N133" s="170">
        <f>N130</f>
        <v>14.714999999999998</v>
      </c>
      <c r="O133" s="146"/>
      <c r="P133" s="68">
        <f t="shared" ref="P133:AZ133" si="2661">SUM(P126:P132)</f>
        <v>3</v>
      </c>
      <c r="Q133" s="65">
        <f t="shared" si="2661"/>
        <v>0</v>
      </c>
      <c r="R133" s="65">
        <f t="shared" si="2661"/>
        <v>0</v>
      </c>
      <c r="S133" s="65">
        <f t="shared" si="2661"/>
        <v>0</v>
      </c>
      <c r="T133" s="65">
        <f t="shared" si="2661"/>
        <v>0</v>
      </c>
      <c r="U133" s="65">
        <f t="shared" si="2661"/>
        <v>0</v>
      </c>
      <c r="V133" s="65">
        <f t="shared" si="2661"/>
        <v>16</v>
      </c>
      <c r="W133" s="66">
        <f t="shared" si="2661"/>
        <v>0</v>
      </c>
      <c r="X133" s="68">
        <f t="shared" si="2661"/>
        <v>0</v>
      </c>
      <c r="Y133" s="65">
        <f t="shared" si="2661"/>
        <v>0</v>
      </c>
      <c r="Z133" s="65">
        <f t="shared" si="2661"/>
        <v>0</v>
      </c>
      <c r="AA133" s="66">
        <f t="shared" si="2661"/>
        <v>0</v>
      </c>
      <c r="AB133" s="68">
        <f t="shared" si="2661"/>
        <v>0</v>
      </c>
      <c r="AC133" s="65">
        <f t="shared" si="2661"/>
        <v>0</v>
      </c>
      <c r="AD133" s="65">
        <f t="shared" si="2661"/>
        <v>0</v>
      </c>
      <c r="AE133" s="65">
        <f t="shared" si="2661"/>
        <v>0</v>
      </c>
      <c r="AF133" s="65">
        <f t="shared" si="2661"/>
        <v>0</v>
      </c>
      <c r="AG133" s="66">
        <f t="shared" si="2661"/>
        <v>0</v>
      </c>
      <c r="AH133" s="68">
        <f t="shared" si="2661"/>
        <v>0</v>
      </c>
      <c r="AI133" s="65">
        <f t="shared" si="2661"/>
        <v>0</v>
      </c>
      <c r="AJ133" s="65">
        <f t="shared" si="2661"/>
        <v>0</v>
      </c>
      <c r="AK133" s="65">
        <f t="shared" si="2661"/>
        <v>0</v>
      </c>
      <c r="AL133" s="66">
        <f t="shared" si="2661"/>
        <v>0</v>
      </c>
      <c r="AM133" s="68">
        <f t="shared" si="2661"/>
        <v>0</v>
      </c>
      <c r="AN133" s="65">
        <f t="shared" si="2661"/>
        <v>0</v>
      </c>
      <c r="AO133" s="65">
        <f t="shared" si="2661"/>
        <v>0</v>
      </c>
      <c r="AP133" s="65">
        <f t="shared" si="2661"/>
        <v>0</v>
      </c>
      <c r="AQ133" s="65">
        <f t="shared" si="2661"/>
        <v>7</v>
      </c>
      <c r="AR133" s="65">
        <f t="shared" si="2661"/>
        <v>0</v>
      </c>
      <c r="AS133" s="65">
        <f t="shared" si="2661"/>
        <v>0</v>
      </c>
      <c r="AT133" s="65">
        <f t="shared" si="2661"/>
        <v>0</v>
      </c>
      <c r="AU133" s="65">
        <f t="shared" si="2661"/>
        <v>0</v>
      </c>
      <c r="AV133" s="65">
        <f t="shared" si="2661"/>
        <v>0</v>
      </c>
      <c r="AW133" s="65">
        <f t="shared" si="2661"/>
        <v>0</v>
      </c>
      <c r="AX133" s="65">
        <f t="shared" si="2661"/>
        <v>0</v>
      </c>
      <c r="AY133" s="65">
        <f t="shared" si="2661"/>
        <v>0</v>
      </c>
      <c r="AZ133" s="66">
        <f t="shared" si="2661"/>
        <v>2</v>
      </c>
      <c r="BB133" s="68">
        <f t="shared" ref="BB133:CJ133" si="2662">SUM(BB126:BB132)</f>
        <v>7.7698880725015762</v>
      </c>
      <c r="BC133" s="65">
        <f t="shared" si="2662"/>
        <v>0</v>
      </c>
      <c r="BD133" s="65">
        <f t="shared" si="2662"/>
        <v>0</v>
      </c>
      <c r="BE133" s="65">
        <f t="shared" si="2662"/>
        <v>0</v>
      </c>
      <c r="BF133" s="65">
        <f t="shared" si="2662"/>
        <v>0</v>
      </c>
      <c r="BG133" s="65">
        <f t="shared" si="2662"/>
        <v>0</v>
      </c>
      <c r="BH133" s="65">
        <f t="shared" si="2662"/>
        <v>42.240670097678802</v>
      </c>
      <c r="BI133" s="66">
        <f t="shared" si="2662"/>
        <v>0</v>
      </c>
      <c r="BJ133" s="68">
        <f t="shared" si="2662"/>
        <v>0</v>
      </c>
      <c r="BK133" s="65">
        <f t="shared" si="2662"/>
        <v>0</v>
      </c>
      <c r="BL133" s="65">
        <f t="shared" si="2662"/>
        <v>0</v>
      </c>
      <c r="BM133" s="66">
        <f t="shared" si="2662"/>
        <v>0</v>
      </c>
      <c r="BN133" s="68">
        <f t="shared" si="2662"/>
        <v>0</v>
      </c>
      <c r="BO133" s="65">
        <f t="shared" si="2662"/>
        <v>0</v>
      </c>
      <c r="BP133" s="65">
        <f t="shared" si="2662"/>
        <v>0</v>
      </c>
      <c r="BQ133" s="65">
        <f t="shared" si="2662"/>
        <v>0</v>
      </c>
      <c r="BR133" s="65">
        <f t="shared" si="2662"/>
        <v>0</v>
      </c>
      <c r="BS133" s="66">
        <f t="shared" si="2662"/>
        <v>0</v>
      </c>
      <c r="BT133" s="68">
        <f t="shared" si="2662"/>
        <v>0</v>
      </c>
      <c r="BU133" s="65">
        <f t="shared" si="2662"/>
        <v>0</v>
      </c>
      <c r="BV133" s="65">
        <f t="shared" si="2662"/>
        <v>0</v>
      </c>
      <c r="BW133" s="65">
        <f t="shared" si="2662"/>
        <v>0</v>
      </c>
      <c r="BX133" s="66">
        <f t="shared" si="2662"/>
        <v>0</v>
      </c>
      <c r="BY133" s="68">
        <f t="shared" si="2662"/>
        <v>0</v>
      </c>
      <c r="BZ133" s="65">
        <f t="shared" si="2662"/>
        <v>0</v>
      </c>
      <c r="CA133" s="65">
        <f t="shared" si="2662"/>
        <v>0</v>
      </c>
      <c r="CB133" s="65">
        <f t="shared" si="2662"/>
        <v>0</v>
      </c>
      <c r="CC133" s="65">
        <f t="shared" si="2662"/>
        <v>11.904964539007091</v>
      </c>
      <c r="CD133" s="65">
        <f t="shared" si="2662"/>
        <v>0</v>
      </c>
      <c r="CE133" s="65">
        <f t="shared" si="2662"/>
        <v>0</v>
      </c>
      <c r="CF133" s="65">
        <f t="shared" si="2662"/>
        <v>0</v>
      </c>
      <c r="CG133" s="65">
        <f t="shared" si="2662"/>
        <v>0</v>
      </c>
      <c r="CH133" s="65">
        <f t="shared" si="2662"/>
        <v>0</v>
      </c>
      <c r="CI133" s="65">
        <f t="shared" si="2662"/>
        <v>0</v>
      </c>
      <c r="CJ133" s="66">
        <f t="shared" si="2662"/>
        <v>3.4014184397163123</v>
      </c>
      <c r="CN133" s="68">
        <f t="shared" ref="CN133:DV133" si="2663">SUM(CN126:CN132)</f>
        <v>0</v>
      </c>
      <c r="CO133" s="65">
        <f t="shared" si="2663"/>
        <v>0</v>
      </c>
      <c r="CP133" s="65">
        <f t="shared" si="2663"/>
        <v>0</v>
      </c>
      <c r="CQ133" s="65">
        <f t="shared" si="2663"/>
        <v>0</v>
      </c>
      <c r="CR133" s="65">
        <f t="shared" si="2663"/>
        <v>0</v>
      </c>
      <c r="CS133" s="65">
        <f t="shared" si="2663"/>
        <v>0</v>
      </c>
      <c r="CT133" s="65">
        <f t="shared" si="2663"/>
        <v>14.155595657908979</v>
      </c>
      <c r="CU133" s="66">
        <f t="shared" si="2663"/>
        <v>0</v>
      </c>
      <c r="CV133" s="68">
        <f t="shared" si="2663"/>
        <v>0</v>
      </c>
      <c r="CW133" s="65">
        <f t="shared" si="2663"/>
        <v>0</v>
      </c>
      <c r="CX133" s="65">
        <f t="shared" si="2663"/>
        <v>0</v>
      </c>
      <c r="CY133" s="66">
        <f t="shared" si="2663"/>
        <v>0</v>
      </c>
      <c r="CZ133" s="68">
        <f t="shared" si="2663"/>
        <v>0</v>
      </c>
      <c r="DA133" s="65">
        <f t="shared" si="2663"/>
        <v>0</v>
      </c>
      <c r="DB133" s="65">
        <f t="shared" si="2663"/>
        <v>0</v>
      </c>
      <c r="DC133" s="65">
        <f t="shared" si="2663"/>
        <v>0</v>
      </c>
      <c r="DD133" s="65">
        <f t="shared" si="2663"/>
        <v>0</v>
      </c>
      <c r="DE133" s="66">
        <f t="shared" si="2663"/>
        <v>0</v>
      </c>
      <c r="DF133" s="68">
        <f t="shared" si="2663"/>
        <v>0</v>
      </c>
      <c r="DG133" s="65">
        <f t="shared" si="2663"/>
        <v>0</v>
      </c>
      <c r="DH133" s="65">
        <f t="shared" si="2663"/>
        <v>0</v>
      </c>
      <c r="DI133" s="65">
        <f t="shared" si="2663"/>
        <v>0</v>
      </c>
      <c r="DJ133" s="66">
        <f t="shared" si="2663"/>
        <v>0</v>
      </c>
      <c r="DK133" s="68">
        <f t="shared" si="2663"/>
        <v>0</v>
      </c>
      <c r="DL133" s="65">
        <f t="shared" si="2663"/>
        <v>0</v>
      </c>
      <c r="DM133" s="65">
        <f t="shared" si="2663"/>
        <v>0</v>
      </c>
      <c r="DN133" s="65">
        <f t="shared" si="2663"/>
        <v>0</v>
      </c>
      <c r="DO133" s="65">
        <f t="shared" si="2663"/>
        <v>0</v>
      </c>
      <c r="DP133" s="65">
        <f t="shared" si="2663"/>
        <v>0</v>
      </c>
      <c r="DQ133" s="65">
        <f t="shared" si="2663"/>
        <v>0</v>
      </c>
      <c r="DR133" s="65">
        <f t="shared" si="2663"/>
        <v>0</v>
      </c>
      <c r="DS133" s="65">
        <f t="shared" si="2663"/>
        <v>0</v>
      </c>
      <c r="DT133" s="65">
        <f t="shared" si="2663"/>
        <v>0</v>
      </c>
      <c r="DU133" s="65">
        <f t="shared" si="2663"/>
        <v>0</v>
      </c>
      <c r="DV133" s="66">
        <f t="shared" si="2663"/>
        <v>0</v>
      </c>
      <c r="DX133" s="143"/>
      <c r="DY133" s="144"/>
      <c r="DZ133" s="144"/>
      <c r="EA133" s="144"/>
      <c r="EB133" s="144"/>
      <c r="EC133" s="144"/>
      <c r="ED133" s="144"/>
      <c r="EE133" s="145"/>
      <c r="EF133" s="143"/>
      <c r="EG133" s="144"/>
      <c r="EH133" s="144"/>
      <c r="EI133" s="145"/>
      <c r="EJ133" s="143"/>
      <c r="EK133" s="144"/>
      <c r="EL133" s="144"/>
      <c r="EM133" s="144"/>
      <c r="EN133" s="144"/>
      <c r="EO133" s="144"/>
      <c r="EP133" s="143"/>
      <c r="EQ133" s="144"/>
      <c r="ER133" s="144"/>
      <c r="ES133" s="144"/>
      <c r="ET133" s="145"/>
      <c r="EU133" s="143"/>
      <c r="EV133" s="144"/>
      <c r="EW133" s="144"/>
      <c r="EX133" s="144"/>
      <c r="EY133" s="144"/>
      <c r="EZ133" s="144"/>
      <c r="FA133" s="144"/>
      <c r="FB133" s="144"/>
      <c r="FC133" s="144"/>
      <c r="FD133" s="144"/>
      <c r="FE133" s="144"/>
      <c r="FF133" s="145"/>
    </row>
    <row r="134" spans="2:162" ht="16.5" thickBot="1" x14ac:dyDescent="0.3">
      <c r="L134" s="253" t="s">
        <v>145</v>
      </c>
    </row>
    <row r="135" spans="2:162" x14ac:dyDescent="0.25">
      <c r="B135" s="176">
        <f>B126+7</f>
        <v>45600</v>
      </c>
      <c r="C135" s="265"/>
      <c r="D135" s="103"/>
      <c r="E135" s="156"/>
      <c r="F135" s="25"/>
      <c r="G135" s="25"/>
      <c r="H135" s="179"/>
      <c r="I135" s="180"/>
      <c r="J135" s="181"/>
      <c r="K135" s="181"/>
      <c r="L135" s="182"/>
      <c r="M135" s="182"/>
      <c r="N135" s="183"/>
      <c r="O135" s="25"/>
      <c r="P135" s="157"/>
      <c r="Q135" s="158"/>
      <c r="R135" s="158"/>
      <c r="S135" s="158"/>
      <c r="T135" s="158"/>
      <c r="U135" s="158"/>
      <c r="V135" s="158"/>
      <c r="W135" s="159"/>
      <c r="X135" s="157"/>
      <c r="Y135" s="158"/>
      <c r="Z135" s="158"/>
      <c r="AA135" s="159"/>
      <c r="AB135" s="157"/>
      <c r="AC135" s="158"/>
      <c r="AD135" s="158"/>
      <c r="AE135" s="158"/>
      <c r="AF135" s="158"/>
      <c r="AG135" s="159"/>
      <c r="AH135" s="157"/>
      <c r="AI135" s="158"/>
      <c r="AJ135" s="158"/>
      <c r="AK135" s="158"/>
      <c r="AL135" s="159"/>
      <c r="AM135" s="157"/>
      <c r="AN135" s="158"/>
      <c r="AO135" s="158"/>
      <c r="AP135" s="158"/>
      <c r="AQ135" s="158"/>
      <c r="AR135" s="158"/>
      <c r="AS135" s="158"/>
      <c r="AT135" s="158"/>
      <c r="AU135" s="158"/>
      <c r="AV135" s="158"/>
      <c r="AW135" s="158"/>
      <c r="AX135" s="158"/>
      <c r="AY135" s="158"/>
      <c r="AZ135" s="159"/>
      <c r="BB135" s="157"/>
      <c r="BC135" s="158"/>
      <c r="BD135" s="158"/>
      <c r="BE135" s="158"/>
      <c r="BF135" s="158"/>
      <c r="BG135" s="158"/>
      <c r="BH135" s="158"/>
      <c r="BI135" s="159"/>
      <c r="BJ135" s="157"/>
      <c r="BK135" s="158"/>
      <c r="BL135" s="158"/>
      <c r="BM135" s="159"/>
      <c r="BN135" s="157"/>
      <c r="BO135" s="158"/>
      <c r="BP135" s="158"/>
      <c r="BQ135" s="158"/>
      <c r="BR135" s="158"/>
      <c r="BS135" s="159"/>
      <c r="BT135" s="157"/>
      <c r="BU135" s="158"/>
      <c r="BV135" s="158"/>
      <c r="BW135" s="158"/>
      <c r="BX135" s="159"/>
      <c r="BY135" s="157"/>
      <c r="BZ135" s="158"/>
      <c r="CA135" s="158"/>
      <c r="CB135" s="158"/>
      <c r="CC135" s="158"/>
      <c r="CD135" s="158"/>
      <c r="CE135" s="158"/>
      <c r="CF135" s="158"/>
      <c r="CG135" s="158"/>
      <c r="CH135" s="158"/>
      <c r="CI135" s="158"/>
      <c r="CJ135" s="159"/>
      <c r="CL135" s="234">
        <v>9</v>
      </c>
      <c r="CN135" s="157">
        <f t="shared" ref="CN135:DV135" si="2664">AVERAGE(BB139:BB141)*$CL135</f>
        <v>21.509593679458245</v>
      </c>
      <c r="CO135" s="158">
        <f t="shared" si="2664"/>
        <v>0</v>
      </c>
      <c r="CP135" s="158">
        <f t="shared" si="2664"/>
        <v>0</v>
      </c>
      <c r="CQ135" s="158">
        <f t="shared" si="2664"/>
        <v>0</v>
      </c>
      <c r="CR135" s="158">
        <f t="shared" si="2664"/>
        <v>0</v>
      </c>
      <c r="CS135" s="158">
        <f t="shared" si="2664"/>
        <v>0</v>
      </c>
      <c r="CT135" s="158">
        <f t="shared" si="2664"/>
        <v>0</v>
      </c>
      <c r="CU135" s="159">
        <f t="shared" si="2664"/>
        <v>0</v>
      </c>
      <c r="CV135" s="157">
        <f t="shared" si="2664"/>
        <v>0</v>
      </c>
      <c r="CW135" s="158">
        <f t="shared" si="2664"/>
        <v>0</v>
      </c>
      <c r="CX135" s="158">
        <f t="shared" si="2664"/>
        <v>0</v>
      </c>
      <c r="CY135" s="158">
        <f t="shared" si="2664"/>
        <v>0</v>
      </c>
      <c r="CZ135" s="157">
        <f t="shared" si="2664"/>
        <v>0</v>
      </c>
      <c r="DA135" s="158">
        <f t="shared" si="2664"/>
        <v>0</v>
      </c>
      <c r="DB135" s="158">
        <f t="shared" si="2664"/>
        <v>0</v>
      </c>
      <c r="DC135" s="158">
        <f t="shared" si="2664"/>
        <v>0</v>
      </c>
      <c r="DD135" s="158">
        <f t="shared" si="2664"/>
        <v>0</v>
      </c>
      <c r="DE135" s="159">
        <f t="shared" si="2664"/>
        <v>0</v>
      </c>
      <c r="DF135" s="158">
        <f t="shared" si="2664"/>
        <v>0</v>
      </c>
      <c r="DG135" s="158">
        <f t="shared" si="2664"/>
        <v>0</v>
      </c>
      <c r="DH135" s="158">
        <f t="shared" si="2664"/>
        <v>0</v>
      </c>
      <c r="DI135" s="158">
        <f t="shared" si="2664"/>
        <v>0</v>
      </c>
      <c r="DJ135" s="158">
        <f t="shared" si="2664"/>
        <v>0</v>
      </c>
      <c r="DK135" s="157">
        <f t="shared" si="2664"/>
        <v>0</v>
      </c>
      <c r="DL135" s="158">
        <f t="shared" si="2664"/>
        <v>0</v>
      </c>
      <c r="DM135" s="158">
        <f t="shared" si="2664"/>
        <v>0</v>
      </c>
      <c r="DN135" s="158">
        <f t="shared" si="2664"/>
        <v>0</v>
      </c>
      <c r="DO135" s="158">
        <f t="shared" si="2664"/>
        <v>0</v>
      </c>
      <c r="DP135" s="158">
        <f t="shared" si="2664"/>
        <v>0</v>
      </c>
      <c r="DQ135" s="158">
        <f t="shared" si="2664"/>
        <v>0</v>
      </c>
      <c r="DR135" s="158">
        <f t="shared" si="2664"/>
        <v>0</v>
      </c>
      <c r="DS135" s="158">
        <f t="shared" si="2664"/>
        <v>0</v>
      </c>
      <c r="DT135" s="158">
        <f t="shared" si="2664"/>
        <v>0</v>
      </c>
      <c r="DU135" s="158">
        <f t="shared" si="2664"/>
        <v>0</v>
      </c>
      <c r="DV135" s="159">
        <f t="shared" si="2664"/>
        <v>0</v>
      </c>
      <c r="DX135" s="186"/>
      <c r="DY135" s="187"/>
      <c r="DZ135" s="187"/>
      <c r="EA135" s="187"/>
      <c r="EB135" s="187"/>
      <c r="EC135" s="187"/>
      <c r="ED135" s="187"/>
      <c r="EE135" s="188"/>
      <c r="EF135" s="186"/>
      <c r="EG135" s="187"/>
      <c r="EH135" s="187"/>
      <c r="EI135" s="188"/>
      <c r="EJ135" s="186"/>
      <c r="EK135" s="187"/>
      <c r="EL135" s="187"/>
      <c r="EM135" s="187"/>
      <c r="EN135" s="187"/>
      <c r="EO135" s="188"/>
      <c r="EP135" s="186"/>
      <c r="EQ135" s="187"/>
      <c r="ER135" s="187"/>
      <c r="ES135" s="187"/>
      <c r="ET135" s="188"/>
      <c r="EU135" s="186"/>
      <c r="EV135" s="187"/>
      <c r="EW135" s="187"/>
      <c r="EX135" s="187"/>
      <c r="EY135" s="187"/>
      <c r="EZ135" s="187"/>
      <c r="FA135" s="187"/>
      <c r="FB135" s="187"/>
      <c r="FC135" s="187"/>
      <c r="FD135" s="187"/>
      <c r="FE135" s="187"/>
      <c r="FF135" s="188"/>
    </row>
    <row r="136" spans="2:162" x14ac:dyDescent="0.25">
      <c r="B136" s="127">
        <f t="shared" ref="B136:B141" si="2665">B135+1</f>
        <v>45601</v>
      </c>
      <c r="C136" s="266"/>
      <c r="D136" s="53"/>
      <c r="E136" s="129"/>
      <c r="F136" s="25"/>
      <c r="G136" s="25"/>
      <c r="H136" s="150"/>
      <c r="I136" s="24"/>
      <c r="J136" s="151"/>
      <c r="K136" s="151"/>
      <c r="L136" s="152"/>
      <c r="M136" s="152"/>
      <c r="N136" s="153"/>
      <c r="O136" s="25"/>
      <c r="P136" s="95"/>
      <c r="Q136" s="41"/>
      <c r="R136" s="41"/>
      <c r="S136" s="41"/>
      <c r="T136" s="41"/>
      <c r="U136" s="41"/>
      <c r="V136" s="41"/>
      <c r="W136" s="42"/>
      <c r="X136" s="95"/>
      <c r="Y136" s="41"/>
      <c r="Z136" s="41"/>
      <c r="AA136" s="42"/>
      <c r="AB136" s="95"/>
      <c r="AC136" s="41"/>
      <c r="AD136" s="41"/>
      <c r="AE136" s="41"/>
      <c r="AF136" s="41"/>
      <c r="AG136" s="42"/>
      <c r="AH136" s="95"/>
      <c r="AI136" s="41"/>
      <c r="AJ136" s="41"/>
      <c r="AK136" s="41"/>
      <c r="AL136" s="42"/>
      <c r="AM136" s="95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2"/>
      <c r="BB136" s="95"/>
      <c r="BC136" s="41"/>
      <c r="BD136" s="41"/>
      <c r="BE136" s="41"/>
      <c r="BF136" s="41"/>
      <c r="BG136" s="41"/>
      <c r="BH136" s="41"/>
      <c r="BI136" s="42"/>
      <c r="BJ136" s="95"/>
      <c r="BK136" s="41"/>
      <c r="BL136" s="41"/>
      <c r="BM136" s="42"/>
      <c r="BN136" s="95"/>
      <c r="BO136" s="41"/>
      <c r="BP136" s="41"/>
      <c r="BQ136" s="41"/>
      <c r="BR136" s="41"/>
      <c r="BS136" s="42"/>
      <c r="BT136" s="95"/>
      <c r="BU136" s="41"/>
      <c r="BV136" s="41"/>
      <c r="BW136" s="41"/>
      <c r="BX136" s="42"/>
      <c r="BY136" s="95"/>
      <c r="BZ136" s="41"/>
      <c r="CA136" s="41"/>
      <c r="CB136" s="41"/>
      <c r="CC136" s="41"/>
      <c r="CD136" s="41"/>
      <c r="CE136" s="41"/>
      <c r="CF136" s="41"/>
      <c r="CG136" s="41"/>
      <c r="CH136" s="41"/>
      <c r="CI136" s="41"/>
      <c r="CJ136" s="42"/>
      <c r="CL136" s="36"/>
      <c r="CN136" s="95" t="s">
        <v>97</v>
      </c>
      <c r="CO136" s="41"/>
      <c r="CP136" s="41"/>
      <c r="CQ136" s="41"/>
      <c r="CR136" s="41"/>
      <c r="CS136" s="41"/>
      <c r="CT136" s="41"/>
      <c r="CU136" s="42"/>
      <c r="CV136" s="95"/>
      <c r="CW136" s="41"/>
      <c r="CX136" s="41"/>
      <c r="CY136" s="41"/>
      <c r="CZ136" s="95"/>
      <c r="DA136" s="41"/>
      <c r="DB136" s="41"/>
      <c r="DC136" s="41"/>
      <c r="DD136" s="41"/>
      <c r="DE136" s="42"/>
      <c r="DF136" s="41"/>
      <c r="DG136" s="41"/>
      <c r="DH136" s="41"/>
      <c r="DI136" s="41"/>
      <c r="DJ136" s="41"/>
      <c r="DK136" s="95"/>
      <c r="DL136" s="41"/>
      <c r="DM136" s="41"/>
      <c r="DN136" s="41"/>
      <c r="DO136" s="41"/>
      <c r="DP136" s="41"/>
      <c r="DQ136" s="41"/>
      <c r="DR136" s="41"/>
      <c r="DS136" s="41"/>
      <c r="DT136" s="41"/>
      <c r="DU136" s="41"/>
      <c r="DV136" s="42"/>
      <c r="DX136" s="138"/>
      <c r="DY136" s="34"/>
      <c r="DZ136" s="34"/>
      <c r="EA136" s="34"/>
      <c r="EB136" s="34"/>
      <c r="EC136" s="34"/>
      <c r="ED136" s="34"/>
      <c r="EE136" s="139"/>
      <c r="EF136" s="138"/>
      <c r="EG136" s="34"/>
      <c r="EH136" s="34"/>
      <c r="EI136" s="139"/>
      <c r="EJ136" s="138"/>
      <c r="EK136" s="34"/>
      <c r="EL136" s="34"/>
      <c r="EM136" s="34"/>
      <c r="EN136" s="34"/>
      <c r="EO136" s="139"/>
      <c r="EP136" s="138"/>
      <c r="EQ136" s="34"/>
      <c r="ER136" s="34"/>
      <c r="ES136" s="34"/>
      <c r="ET136" s="139"/>
      <c r="EU136" s="138"/>
      <c r="EV136" s="34"/>
      <c r="EW136" s="34"/>
      <c r="EX136" s="34"/>
      <c r="EY136" s="34"/>
      <c r="EZ136" s="34"/>
      <c r="FA136" s="34"/>
      <c r="FB136" s="34"/>
      <c r="FC136" s="34"/>
      <c r="FD136" s="34"/>
      <c r="FE136" s="34"/>
      <c r="FF136" s="139"/>
    </row>
    <row r="137" spans="2:162" x14ac:dyDescent="0.25">
      <c r="B137" s="127">
        <f t="shared" si="2665"/>
        <v>45602</v>
      </c>
      <c r="C137" s="266"/>
      <c r="D137" s="53">
        <v>7</v>
      </c>
      <c r="E137" s="129">
        <v>20.87</v>
      </c>
      <c r="F137" s="25"/>
      <c r="G137" s="25"/>
      <c r="H137" s="150">
        <v>7</v>
      </c>
      <c r="I137" s="24">
        <v>2</v>
      </c>
      <c r="J137" s="151">
        <f>10/13</f>
        <v>0.76923076923076927</v>
      </c>
      <c r="K137" s="151"/>
      <c r="L137" s="152">
        <v>10.7</v>
      </c>
      <c r="M137" s="152">
        <f t="shared" ref="M137:M140" si="2666">H137/I137*K137*L137*1.5</f>
        <v>0</v>
      </c>
      <c r="N137" s="153">
        <f t="shared" ref="N137:N140" si="2667">H137/I137*J137*L137*N$4</f>
        <v>31.688461538461539</v>
      </c>
      <c r="O137" s="25"/>
      <c r="P137" s="95">
        <v>2</v>
      </c>
      <c r="Q137" s="41"/>
      <c r="R137" s="41"/>
      <c r="S137" s="41"/>
      <c r="T137" s="41"/>
      <c r="U137" s="41"/>
      <c r="V137" s="41">
        <v>3</v>
      </c>
      <c r="W137" s="42"/>
      <c r="X137" s="95"/>
      <c r="Y137" s="41"/>
      <c r="Z137" s="41"/>
      <c r="AA137" s="42"/>
      <c r="AB137" s="95"/>
      <c r="AC137" s="41"/>
      <c r="AD137" s="41"/>
      <c r="AE137" s="41"/>
      <c r="AF137" s="41"/>
      <c r="AG137" s="42"/>
      <c r="AH137" s="95"/>
      <c r="AI137" s="41"/>
      <c r="AJ137" s="41"/>
      <c r="AK137" s="41"/>
      <c r="AL137" s="42"/>
      <c r="AM137" s="95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2"/>
      <c r="BB137" s="95">
        <f t="shared" ref="BB137:BB140" si="2668">$N137*DX137</f>
        <v>3.0367476318602336</v>
      </c>
      <c r="BC137" s="41">
        <f t="shared" ref="BC137:BC140" si="2669">$N137*DY137</f>
        <v>0</v>
      </c>
      <c r="BD137" s="41">
        <f t="shared" ref="BD137:BD140" si="2670">$N137*DZ137</f>
        <v>0</v>
      </c>
      <c r="BE137" s="41">
        <f t="shared" ref="BE137:BE140" si="2671">$N137*EA137</f>
        <v>0</v>
      </c>
      <c r="BF137" s="41">
        <f t="shared" ref="BF137:BF140" si="2672">$N137*EB137</f>
        <v>0</v>
      </c>
      <c r="BG137" s="41">
        <f t="shared" ref="BG137:BG140" si="2673">$N137*EC137</f>
        <v>0</v>
      </c>
      <c r="BH137" s="41">
        <f t="shared" ref="BH137:BH140" si="2674">$N137*ED137</f>
        <v>4.5551214477903503</v>
      </c>
      <c r="BI137" s="42">
        <f t="shared" ref="BI137:BI140" si="2675">$N137*EE137</f>
        <v>0</v>
      </c>
      <c r="BJ137" s="95">
        <f t="shared" ref="BJ137:BJ140" si="2676">$N137*EF137</f>
        <v>0</v>
      </c>
      <c r="BK137" s="41">
        <f t="shared" ref="BK137:BK140" si="2677">$N137*EG137</f>
        <v>0</v>
      </c>
      <c r="BL137" s="41">
        <f t="shared" ref="BL137:BL140" si="2678">$N137*EH137</f>
        <v>0</v>
      </c>
      <c r="BM137" s="42">
        <f t="shared" ref="BM137:BM140" si="2679">$N137*EI137</f>
        <v>0</v>
      </c>
      <c r="BN137" s="95">
        <f t="shared" ref="BN137:BN140" si="2680">$N137*EJ137</f>
        <v>0</v>
      </c>
      <c r="BO137" s="41">
        <f t="shared" ref="BO137:BO140" si="2681">$N137*EK137</f>
        <v>0</v>
      </c>
      <c r="BP137" s="41">
        <f t="shared" ref="BP137:BP140" si="2682">$N137*EL137</f>
        <v>0</v>
      </c>
      <c r="BQ137" s="41">
        <f t="shared" ref="BQ137:BQ140" si="2683">$N137*EM137</f>
        <v>0</v>
      </c>
      <c r="BR137" s="41">
        <f t="shared" ref="BR137:BR140" si="2684">$N137*EN137</f>
        <v>0</v>
      </c>
      <c r="BS137" s="42">
        <f t="shared" ref="BS137:BS140" si="2685">$N137*EO137</f>
        <v>0</v>
      </c>
      <c r="BT137" s="95">
        <f t="shared" ref="BT137:BT140" si="2686">$N137*EP137</f>
        <v>0</v>
      </c>
      <c r="BU137" s="41">
        <f t="shared" ref="BU137:BU140" si="2687">$N137*EQ137</f>
        <v>0</v>
      </c>
      <c r="BV137" s="41">
        <f t="shared" ref="BV137:BV140" si="2688">$N137*ER137</f>
        <v>0</v>
      </c>
      <c r="BW137" s="41">
        <f t="shared" ref="BW137:BW140" si="2689">$N137*ES137</f>
        <v>0</v>
      </c>
      <c r="BX137" s="42">
        <f t="shared" ref="BX137:BX140" si="2690">$N137*ET137</f>
        <v>0</v>
      </c>
      <c r="BY137" s="95">
        <f t="shared" ref="BY137:BY140" si="2691">$N137*EU137</f>
        <v>0</v>
      </c>
      <c r="BZ137" s="41">
        <f t="shared" ref="BZ137:BZ140" si="2692">$N137*EV137</f>
        <v>0</v>
      </c>
      <c r="CA137" s="41">
        <f t="shared" ref="CA137:CA140" si="2693">$N137*EW137</f>
        <v>0</v>
      </c>
      <c r="CB137" s="41">
        <f t="shared" ref="CB137:CB140" si="2694">$N137*EX137</f>
        <v>0</v>
      </c>
      <c r="CC137" s="41">
        <f t="shared" ref="CC137:CC140" si="2695">$N137*EY137</f>
        <v>0</v>
      </c>
      <c r="CD137" s="41">
        <f t="shared" ref="CD137:CD140" si="2696">$N137*EZ137</f>
        <v>0</v>
      </c>
      <c r="CE137" s="41">
        <f t="shared" ref="CE137:CE140" si="2697">$N137*FA137</f>
        <v>0</v>
      </c>
      <c r="CF137" s="41">
        <f t="shared" ref="CF137:CF140" si="2698">$N137*FB137</f>
        <v>0</v>
      </c>
      <c r="CG137" s="41">
        <f t="shared" ref="CG137:CG140" si="2699">$N137*FC137</f>
        <v>0</v>
      </c>
      <c r="CH137" s="41">
        <f t="shared" ref="CH137:CH140" si="2700">$N137*FD137</f>
        <v>0</v>
      </c>
      <c r="CI137" s="41">
        <f t="shared" ref="CI137:CI140" si="2701">$N137*FE137</f>
        <v>0</v>
      </c>
      <c r="CJ137" s="42">
        <f t="shared" ref="CJ137:CJ140" si="2702">$N137*FF137</f>
        <v>0</v>
      </c>
      <c r="CL137" s="36"/>
      <c r="CN137" s="95"/>
      <c r="CO137" s="41"/>
      <c r="CP137" s="41"/>
      <c r="CQ137" s="41"/>
      <c r="CR137" s="41"/>
      <c r="CS137" s="41"/>
      <c r="CT137" s="41"/>
      <c r="CU137" s="42"/>
      <c r="CV137" s="95"/>
      <c r="CW137" s="41"/>
      <c r="CX137" s="41"/>
      <c r="CY137" s="41"/>
      <c r="CZ137" s="95"/>
      <c r="DA137" s="41"/>
      <c r="DB137" s="41"/>
      <c r="DC137" s="41"/>
      <c r="DD137" s="41"/>
      <c r="DE137" s="42"/>
      <c r="DF137" s="41"/>
      <c r="DG137" s="41"/>
      <c r="DH137" s="41"/>
      <c r="DI137" s="41"/>
      <c r="DJ137" s="41"/>
      <c r="DK137" s="95"/>
      <c r="DL137" s="41"/>
      <c r="DM137" s="41"/>
      <c r="DN137" s="41"/>
      <c r="DO137" s="41"/>
      <c r="DP137" s="41"/>
      <c r="DQ137" s="41"/>
      <c r="DR137" s="41"/>
      <c r="DS137" s="41"/>
      <c r="DT137" s="41"/>
      <c r="DU137" s="41"/>
      <c r="DV137" s="42"/>
      <c r="DX137" s="138">
        <f t="shared" ref="DX137:DX138" si="2703">P137/$E137</f>
        <v>9.5831336847149007E-2</v>
      </c>
      <c r="DY137" s="34">
        <f t="shared" ref="DY137:DY138" si="2704">Q137/$E137</f>
        <v>0</v>
      </c>
      <c r="DZ137" s="34">
        <f t="shared" ref="DZ137:DZ138" si="2705">R137/$E137</f>
        <v>0</v>
      </c>
      <c r="EA137" s="34">
        <f t="shared" ref="EA137:EA138" si="2706">S137/$E137</f>
        <v>0</v>
      </c>
      <c r="EB137" s="34">
        <f t="shared" ref="EB137:EB138" si="2707">T137/$E137</f>
        <v>0</v>
      </c>
      <c r="EC137" s="34">
        <f t="shared" ref="EC137:EC140" si="2708">U137/$E137</f>
        <v>0</v>
      </c>
      <c r="ED137" s="34">
        <f t="shared" ref="ED137:ED140" si="2709">V137/$E137</f>
        <v>0.14374700527072351</v>
      </c>
      <c r="EE137" s="139">
        <f t="shared" ref="EE137:EE140" si="2710">W137/$E137</f>
        <v>0</v>
      </c>
      <c r="EF137" s="138">
        <f t="shared" ref="EF137:EF140" si="2711">X137/$E137</f>
        <v>0</v>
      </c>
      <c r="EG137" s="34">
        <f t="shared" ref="EG137:EG140" si="2712">Y137/$E137</f>
        <v>0</v>
      </c>
      <c r="EH137" s="34">
        <f t="shared" ref="EH137:EH140" si="2713">Z137/$E137</f>
        <v>0</v>
      </c>
      <c r="EI137" s="139">
        <f t="shared" ref="EI137:EI140" si="2714">AA137/$E137</f>
        <v>0</v>
      </c>
      <c r="EJ137" s="138">
        <f t="shared" ref="EJ137:EJ140" si="2715">AB137/$E137</f>
        <v>0</v>
      </c>
      <c r="EK137" s="34">
        <f t="shared" ref="EK137:EK140" si="2716">AC137/$E137</f>
        <v>0</v>
      </c>
      <c r="EL137" s="34">
        <f t="shared" ref="EL137:EL140" si="2717">AD137/$E137</f>
        <v>0</v>
      </c>
      <c r="EM137" s="34">
        <f t="shared" ref="EM137:EM140" si="2718">AE137/$E137</f>
        <v>0</v>
      </c>
      <c r="EN137" s="34">
        <f t="shared" ref="EN137:EN140" si="2719">AF137/$E137</f>
        <v>0</v>
      </c>
      <c r="EO137" s="139">
        <f t="shared" ref="EO137:EO140" si="2720">AG137/$E137</f>
        <v>0</v>
      </c>
      <c r="EP137" s="138">
        <f t="shared" ref="EP137:EP140" si="2721">AH137/$E137</f>
        <v>0</v>
      </c>
      <c r="EQ137" s="34">
        <f t="shared" ref="EQ137:EQ140" si="2722">AI137/$E137</f>
        <v>0</v>
      </c>
      <c r="ER137" s="34">
        <f t="shared" ref="ER137:ER140" si="2723">AJ137/$E137</f>
        <v>0</v>
      </c>
      <c r="ES137" s="34">
        <f t="shared" ref="ES137:ES140" si="2724">AK137/$E137</f>
        <v>0</v>
      </c>
      <c r="ET137" s="139">
        <f t="shared" ref="ET137:ET140" si="2725">AL137/$E137</f>
        <v>0</v>
      </c>
      <c r="EU137" s="138">
        <f t="shared" ref="EU137:EU140" si="2726">AM137/$E137</f>
        <v>0</v>
      </c>
      <c r="EV137" s="34">
        <f t="shared" ref="EV137:EV140" si="2727">AN137/$E137</f>
        <v>0</v>
      </c>
      <c r="EW137" s="34">
        <f t="shared" ref="EW137:EW140" si="2728">AO137/$E137</f>
        <v>0</v>
      </c>
      <c r="EX137" s="34">
        <f t="shared" ref="EX137:EX140" si="2729">AP137/$E137</f>
        <v>0</v>
      </c>
      <c r="EY137" s="34">
        <f t="shared" ref="EY137:EY140" si="2730">AQ137/$E137</f>
        <v>0</v>
      </c>
      <c r="EZ137" s="34">
        <f t="shared" ref="EZ137:EZ140" si="2731">AR137/$E137</f>
        <v>0</v>
      </c>
      <c r="FA137" s="34">
        <f t="shared" ref="FA137:FA140" si="2732">AS137/$E137</f>
        <v>0</v>
      </c>
      <c r="FB137" s="34">
        <f t="shared" ref="FB137:FB140" si="2733">AT137/$E137</f>
        <v>0</v>
      </c>
      <c r="FC137" s="34">
        <f t="shared" ref="FC137:FC140" si="2734">AU137/$E137</f>
        <v>0</v>
      </c>
      <c r="FD137" s="34">
        <f t="shared" ref="FD137:FD140" si="2735">AV137/$E137</f>
        <v>0</v>
      </c>
      <c r="FE137" s="34">
        <f t="shared" ref="FE137:FE140" si="2736">AY137/$E137</f>
        <v>0</v>
      </c>
      <c r="FF137" s="139">
        <f t="shared" ref="FF137:FF140" si="2737">AZ137/$E137</f>
        <v>0</v>
      </c>
    </row>
    <row r="138" spans="2:162" x14ac:dyDescent="0.25">
      <c r="B138" s="127">
        <f t="shared" si="2665"/>
        <v>45603</v>
      </c>
      <c r="C138" s="266"/>
      <c r="D138" s="53">
        <v>6</v>
      </c>
      <c r="E138" s="129">
        <v>14.2</v>
      </c>
      <c r="F138" s="25"/>
      <c r="G138" s="25"/>
      <c r="H138" s="150">
        <v>6</v>
      </c>
      <c r="I138" s="24">
        <v>2</v>
      </c>
      <c r="J138" s="151">
        <v>1</v>
      </c>
      <c r="K138" s="151"/>
      <c r="L138" s="152">
        <v>10.6</v>
      </c>
      <c r="M138" s="152">
        <f t="shared" si="2666"/>
        <v>0</v>
      </c>
      <c r="N138" s="153">
        <f t="shared" si="2667"/>
        <v>34.979999999999997</v>
      </c>
      <c r="O138" s="25"/>
      <c r="P138" s="95"/>
      <c r="Q138" s="41">
        <v>1</v>
      </c>
      <c r="R138" s="41"/>
      <c r="S138" s="41"/>
      <c r="T138" s="41"/>
      <c r="U138" s="41"/>
      <c r="V138" s="41"/>
      <c r="W138" s="42"/>
      <c r="X138" s="95"/>
      <c r="Y138" s="41"/>
      <c r="Z138" s="41"/>
      <c r="AA138" s="42"/>
      <c r="AB138" s="95"/>
      <c r="AC138" s="41"/>
      <c r="AD138" s="41"/>
      <c r="AE138" s="41"/>
      <c r="AF138" s="41"/>
      <c r="AG138" s="42"/>
      <c r="AH138" s="95"/>
      <c r="AI138" s="41"/>
      <c r="AJ138" s="41"/>
      <c r="AK138" s="41"/>
      <c r="AL138" s="42"/>
      <c r="AM138" s="95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2"/>
      <c r="BB138" s="95">
        <f t="shared" si="2668"/>
        <v>0</v>
      </c>
      <c r="BC138" s="41">
        <f t="shared" si="2669"/>
        <v>2.4633802816901409</v>
      </c>
      <c r="BD138" s="41">
        <f t="shared" si="2670"/>
        <v>0</v>
      </c>
      <c r="BE138" s="41">
        <f t="shared" si="2671"/>
        <v>0</v>
      </c>
      <c r="BF138" s="41">
        <f t="shared" si="2672"/>
        <v>0</v>
      </c>
      <c r="BG138" s="41">
        <f t="shared" si="2673"/>
        <v>0</v>
      </c>
      <c r="BH138" s="41">
        <f t="shared" si="2674"/>
        <v>0</v>
      </c>
      <c r="BI138" s="42">
        <f t="shared" si="2675"/>
        <v>0</v>
      </c>
      <c r="BJ138" s="95">
        <f t="shared" si="2676"/>
        <v>0</v>
      </c>
      <c r="BK138" s="41">
        <f t="shared" si="2677"/>
        <v>0</v>
      </c>
      <c r="BL138" s="41">
        <f t="shared" si="2678"/>
        <v>0</v>
      </c>
      <c r="BM138" s="42">
        <f t="shared" si="2679"/>
        <v>0</v>
      </c>
      <c r="BN138" s="95">
        <f t="shared" si="2680"/>
        <v>0</v>
      </c>
      <c r="BO138" s="41">
        <f t="shared" si="2681"/>
        <v>0</v>
      </c>
      <c r="BP138" s="41">
        <f t="shared" si="2682"/>
        <v>0</v>
      </c>
      <c r="BQ138" s="41">
        <f t="shared" si="2683"/>
        <v>0</v>
      </c>
      <c r="BR138" s="41">
        <f t="shared" si="2684"/>
        <v>0</v>
      </c>
      <c r="BS138" s="42">
        <f t="shared" si="2685"/>
        <v>0</v>
      </c>
      <c r="BT138" s="95">
        <f t="shared" si="2686"/>
        <v>0</v>
      </c>
      <c r="BU138" s="41">
        <f t="shared" si="2687"/>
        <v>0</v>
      </c>
      <c r="BV138" s="41">
        <f t="shared" si="2688"/>
        <v>0</v>
      </c>
      <c r="BW138" s="41">
        <f t="shared" si="2689"/>
        <v>0</v>
      </c>
      <c r="BX138" s="42">
        <f t="shared" si="2690"/>
        <v>0</v>
      </c>
      <c r="BY138" s="95">
        <f t="shared" si="2691"/>
        <v>0</v>
      </c>
      <c r="BZ138" s="41">
        <f t="shared" si="2692"/>
        <v>0</v>
      </c>
      <c r="CA138" s="41">
        <f t="shared" si="2693"/>
        <v>0</v>
      </c>
      <c r="CB138" s="41">
        <f t="shared" si="2694"/>
        <v>0</v>
      </c>
      <c r="CC138" s="41">
        <f t="shared" si="2695"/>
        <v>0</v>
      </c>
      <c r="CD138" s="41">
        <f t="shared" si="2696"/>
        <v>0</v>
      </c>
      <c r="CE138" s="41">
        <f t="shared" si="2697"/>
        <v>0</v>
      </c>
      <c r="CF138" s="41">
        <f t="shared" si="2698"/>
        <v>0</v>
      </c>
      <c r="CG138" s="41">
        <f t="shared" si="2699"/>
        <v>0</v>
      </c>
      <c r="CH138" s="41">
        <f t="shared" si="2700"/>
        <v>0</v>
      </c>
      <c r="CI138" s="41">
        <f t="shared" si="2701"/>
        <v>0</v>
      </c>
      <c r="CJ138" s="42">
        <f t="shared" si="2702"/>
        <v>0</v>
      </c>
      <c r="CL138" s="36"/>
      <c r="CN138" s="95"/>
      <c r="CO138" s="41"/>
      <c r="CP138" s="41"/>
      <c r="CQ138" s="41"/>
      <c r="CR138" s="41"/>
      <c r="CS138" s="41"/>
      <c r="CT138" s="41"/>
      <c r="CU138" s="42"/>
      <c r="CV138" s="95"/>
      <c r="CW138" s="41"/>
      <c r="CX138" s="41"/>
      <c r="CY138" s="41"/>
      <c r="CZ138" s="95"/>
      <c r="DA138" s="41"/>
      <c r="DB138" s="41"/>
      <c r="DC138" s="41"/>
      <c r="DD138" s="41"/>
      <c r="DE138" s="42"/>
      <c r="DF138" s="41"/>
      <c r="DG138" s="41"/>
      <c r="DH138" s="41"/>
      <c r="DI138" s="41"/>
      <c r="DJ138" s="41"/>
      <c r="DK138" s="95"/>
      <c r="DL138" s="41"/>
      <c r="DM138" s="41"/>
      <c r="DN138" s="41"/>
      <c r="DO138" s="41"/>
      <c r="DP138" s="41"/>
      <c r="DQ138" s="41"/>
      <c r="DR138" s="41"/>
      <c r="DS138" s="41"/>
      <c r="DT138" s="41"/>
      <c r="DU138" s="41"/>
      <c r="DV138" s="42"/>
      <c r="DX138" s="138">
        <f t="shared" si="2703"/>
        <v>0</v>
      </c>
      <c r="DY138" s="34">
        <f t="shared" si="2704"/>
        <v>7.0422535211267609E-2</v>
      </c>
      <c r="DZ138" s="34">
        <f t="shared" si="2705"/>
        <v>0</v>
      </c>
      <c r="EA138" s="34">
        <f t="shared" si="2706"/>
        <v>0</v>
      </c>
      <c r="EB138" s="34">
        <f t="shared" si="2707"/>
        <v>0</v>
      </c>
      <c r="EC138" s="34">
        <f t="shared" si="2708"/>
        <v>0</v>
      </c>
      <c r="ED138" s="34">
        <f t="shared" si="2709"/>
        <v>0</v>
      </c>
      <c r="EE138" s="139">
        <f t="shared" si="2710"/>
        <v>0</v>
      </c>
      <c r="EF138" s="138">
        <f t="shared" si="2711"/>
        <v>0</v>
      </c>
      <c r="EG138" s="34">
        <f t="shared" si="2712"/>
        <v>0</v>
      </c>
      <c r="EH138" s="34">
        <f t="shared" si="2713"/>
        <v>0</v>
      </c>
      <c r="EI138" s="139">
        <f t="shared" si="2714"/>
        <v>0</v>
      </c>
      <c r="EJ138" s="138">
        <f t="shared" si="2715"/>
        <v>0</v>
      </c>
      <c r="EK138" s="34">
        <f t="shared" si="2716"/>
        <v>0</v>
      </c>
      <c r="EL138" s="34">
        <f t="shared" si="2717"/>
        <v>0</v>
      </c>
      <c r="EM138" s="34">
        <f t="shared" si="2718"/>
        <v>0</v>
      </c>
      <c r="EN138" s="34">
        <f t="shared" si="2719"/>
        <v>0</v>
      </c>
      <c r="EO138" s="139">
        <f t="shared" si="2720"/>
        <v>0</v>
      </c>
      <c r="EP138" s="138">
        <f t="shared" si="2721"/>
        <v>0</v>
      </c>
      <c r="EQ138" s="34">
        <f t="shared" si="2722"/>
        <v>0</v>
      </c>
      <c r="ER138" s="34">
        <f t="shared" si="2723"/>
        <v>0</v>
      </c>
      <c r="ES138" s="34">
        <f t="shared" si="2724"/>
        <v>0</v>
      </c>
      <c r="ET138" s="139">
        <f t="shared" si="2725"/>
        <v>0</v>
      </c>
      <c r="EU138" s="138">
        <f t="shared" si="2726"/>
        <v>0</v>
      </c>
      <c r="EV138" s="34">
        <f t="shared" si="2727"/>
        <v>0</v>
      </c>
      <c r="EW138" s="34">
        <f t="shared" si="2728"/>
        <v>0</v>
      </c>
      <c r="EX138" s="34">
        <f t="shared" si="2729"/>
        <v>0</v>
      </c>
      <c r="EY138" s="34">
        <f t="shared" si="2730"/>
        <v>0</v>
      </c>
      <c r="EZ138" s="34">
        <f t="shared" si="2731"/>
        <v>0</v>
      </c>
      <c r="FA138" s="34">
        <f t="shared" si="2732"/>
        <v>0</v>
      </c>
      <c r="FB138" s="34">
        <f t="shared" si="2733"/>
        <v>0</v>
      </c>
      <c r="FC138" s="34">
        <f t="shared" si="2734"/>
        <v>0</v>
      </c>
      <c r="FD138" s="34">
        <f t="shared" si="2735"/>
        <v>0</v>
      </c>
      <c r="FE138" s="34">
        <f t="shared" si="2736"/>
        <v>0</v>
      </c>
      <c r="FF138" s="139">
        <f t="shared" si="2737"/>
        <v>0</v>
      </c>
    </row>
    <row r="139" spans="2:162" x14ac:dyDescent="0.25">
      <c r="B139" s="127">
        <f t="shared" si="2665"/>
        <v>45604</v>
      </c>
      <c r="C139" s="266"/>
      <c r="D139" s="53"/>
      <c r="E139" s="129"/>
      <c r="F139" s="25"/>
      <c r="G139" s="25"/>
      <c r="H139" s="150"/>
      <c r="I139" s="24"/>
      <c r="J139" s="151"/>
      <c r="K139" s="151"/>
      <c r="L139" s="152"/>
      <c r="M139" s="152"/>
      <c r="N139" s="153"/>
      <c r="O139" s="25"/>
      <c r="P139" s="95"/>
      <c r="Q139" s="41"/>
      <c r="R139" s="41"/>
      <c r="S139" s="41"/>
      <c r="T139" s="41"/>
      <c r="U139" s="41"/>
      <c r="V139" s="41"/>
      <c r="W139" s="42"/>
      <c r="X139" s="95"/>
      <c r="Y139" s="41"/>
      <c r="Z139" s="41"/>
      <c r="AA139" s="42"/>
      <c r="AB139" s="95"/>
      <c r="AC139" s="41"/>
      <c r="AD139" s="41"/>
      <c r="AE139" s="41"/>
      <c r="AF139" s="41"/>
      <c r="AG139" s="42"/>
      <c r="AH139" s="95"/>
      <c r="AI139" s="41"/>
      <c r="AJ139" s="41"/>
      <c r="AK139" s="41"/>
      <c r="AL139" s="42"/>
      <c r="AM139" s="95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2"/>
      <c r="BB139" s="95"/>
      <c r="BC139" s="41"/>
      <c r="BD139" s="41"/>
      <c r="BE139" s="41"/>
      <c r="BF139" s="41"/>
      <c r="BG139" s="41"/>
      <c r="BH139" s="41"/>
      <c r="BI139" s="42"/>
      <c r="BJ139" s="95"/>
      <c r="BK139" s="41"/>
      <c r="BL139" s="41"/>
      <c r="BM139" s="42"/>
      <c r="BN139" s="95"/>
      <c r="BO139" s="41"/>
      <c r="BP139" s="41"/>
      <c r="BQ139" s="41"/>
      <c r="BR139" s="41"/>
      <c r="BS139" s="42"/>
      <c r="BT139" s="95"/>
      <c r="BU139" s="41"/>
      <c r="BV139" s="41"/>
      <c r="BW139" s="41"/>
      <c r="BX139" s="42"/>
      <c r="BY139" s="95"/>
      <c r="BZ139" s="41"/>
      <c r="CA139" s="41"/>
      <c r="CB139" s="41"/>
      <c r="CC139" s="41"/>
      <c r="CD139" s="41"/>
      <c r="CE139" s="41"/>
      <c r="CF139" s="41"/>
      <c r="CG139" s="41"/>
      <c r="CH139" s="41"/>
      <c r="CI139" s="41"/>
      <c r="CJ139" s="42"/>
      <c r="CL139" s="36"/>
      <c r="CN139" s="95"/>
      <c r="CO139" s="41"/>
      <c r="CP139" s="41"/>
      <c r="CQ139" s="41"/>
      <c r="CR139" s="41"/>
      <c r="CS139" s="41"/>
      <c r="CT139" s="41"/>
      <c r="CU139" s="42"/>
      <c r="CV139" s="95"/>
      <c r="CW139" s="41"/>
      <c r="CX139" s="41"/>
      <c r="CY139" s="41"/>
      <c r="CZ139" s="95"/>
      <c r="DA139" s="41"/>
      <c r="DB139" s="41"/>
      <c r="DC139" s="41"/>
      <c r="DD139" s="41"/>
      <c r="DE139" s="42"/>
      <c r="DF139" s="41"/>
      <c r="DG139" s="41"/>
      <c r="DH139" s="41"/>
      <c r="DI139" s="41"/>
      <c r="DJ139" s="41"/>
      <c r="DK139" s="95"/>
      <c r="DL139" s="41"/>
      <c r="DM139" s="41"/>
      <c r="DN139" s="41"/>
      <c r="DO139" s="41"/>
      <c r="DP139" s="41"/>
      <c r="DQ139" s="41"/>
      <c r="DR139" s="41"/>
      <c r="DS139" s="41"/>
      <c r="DT139" s="41"/>
      <c r="DU139" s="41"/>
      <c r="DV139" s="42"/>
      <c r="DX139" s="138"/>
      <c r="DY139" s="34"/>
      <c r="DZ139" s="34"/>
      <c r="EA139" s="34"/>
      <c r="EB139" s="34"/>
      <c r="EC139" s="34"/>
      <c r="ED139" s="34"/>
      <c r="EE139" s="139"/>
      <c r="EF139" s="138"/>
      <c r="EG139" s="34"/>
      <c r="EH139" s="34"/>
      <c r="EI139" s="139"/>
      <c r="EJ139" s="138"/>
      <c r="EK139" s="34"/>
      <c r="EL139" s="34"/>
      <c r="EM139" s="34"/>
      <c r="EN139" s="34"/>
      <c r="EO139" s="139"/>
      <c r="EP139" s="138"/>
      <c r="EQ139" s="34"/>
      <c r="ER139" s="34"/>
      <c r="ES139" s="34"/>
      <c r="ET139" s="139"/>
      <c r="EU139" s="138"/>
      <c r="EV139" s="34"/>
      <c r="EW139" s="34"/>
      <c r="EX139" s="34"/>
      <c r="EY139" s="34"/>
      <c r="EZ139" s="34"/>
      <c r="FA139" s="34"/>
      <c r="FB139" s="34"/>
      <c r="FC139" s="34"/>
      <c r="FD139" s="34"/>
      <c r="FE139" s="34"/>
      <c r="FF139" s="139"/>
    </row>
    <row r="140" spans="2:162" x14ac:dyDescent="0.25">
      <c r="B140" s="127">
        <f t="shared" si="2665"/>
        <v>45605</v>
      </c>
      <c r="C140" s="266"/>
      <c r="D140" s="53">
        <v>10</v>
      </c>
      <c r="E140" s="129">
        <v>22.15</v>
      </c>
      <c r="F140" s="25"/>
      <c r="G140" s="25"/>
      <c r="H140" s="150">
        <v>10</v>
      </c>
      <c r="I140" s="24">
        <v>2</v>
      </c>
      <c r="J140" s="151">
        <f>11/12</f>
        <v>0.91666666666666663</v>
      </c>
      <c r="K140" s="151"/>
      <c r="L140" s="152">
        <v>10.5</v>
      </c>
      <c r="M140" s="152">
        <f t="shared" si="2666"/>
        <v>0</v>
      </c>
      <c r="N140" s="153">
        <f t="shared" si="2667"/>
        <v>52.937500000000007</v>
      </c>
      <c r="O140" s="25"/>
      <c r="P140" s="95">
        <v>1</v>
      </c>
      <c r="Q140" s="41"/>
      <c r="R140" s="41"/>
      <c r="S140" s="41"/>
      <c r="T140" s="41"/>
      <c r="U140" s="41"/>
      <c r="V140" s="41"/>
      <c r="W140" s="42"/>
      <c r="X140" s="95"/>
      <c r="Y140" s="41"/>
      <c r="Z140" s="41"/>
      <c r="AA140" s="42"/>
      <c r="AB140" s="95"/>
      <c r="AC140" s="41"/>
      <c r="AD140" s="41"/>
      <c r="AE140" s="41"/>
      <c r="AF140" s="41"/>
      <c r="AG140" s="42"/>
      <c r="AH140" s="95"/>
      <c r="AI140" s="41"/>
      <c r="AJ140" s="41"/>
      <c r="AK140" s="41"/>
      <c r="AL140" s="42"/>
      <c r="AM140" s="95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2"/>
      <c r="BB140" s="95">
        <f t="shared" si="2668"/>
        <v>2.3899548532731383</v>
      </c>
      <c r="BC140" s="41">
        <f t="shared" si="2669"/>
        <v>0</v>
      </c>
      <c r="BD140" s="41">
        <f t="shared" si="2670"/>
        <v>0</v>
      </c>
      <c r="BE140" s="41">
        <f t="shared" si="2671"/>
        <v>0</v>
      </c>
      <c r="BF140" s="41">
        <f t="shared" si="2672"/>
        <v>0</v>
      </c>
      <c r="BG140" s="41">
        <f t="shared" si="2673"/>
        <v>0</v>
      </c>
      <c r="BH140" s="41">
        <f t="shared" si="2674"/>
        <v>0</v>
      </c>
      <c r="BI140" s="42">
        <f t="shared" si="2675"/>
        <v>0</v>
      </c>
      <c r="BJ140" s="95">
        <f t="shared" si="2676"/>
        <v>0</v>
      </c>
      <c r="BK140" s="41">
        <f t="shared" si="2677"/>
        <v>0</v>
      </c>
      <c r="BL140" s="41">
        <f t="shared" si="2678"/>
        <v>0</v>
      </c>
      <c r="BM140" s="42">
        <f t="shared" si="2679"/>
        <v>0</v>
      </c>
      <c r="BN140" s="95">
        <f t="shared" si="2680"/>
        <v>0</v>
      </c>
      <c r="BO140" s="41">
        <f t="shared" si="2681"/>
        <v>0</v>
      </c>
      <c r="BP140" s="41">
        <f t="shared" si="2682"/>
        <v>0</v>
      </c>
      <c r="BQ140" s="41">
        <f t="shared" si="2683"/>
        <v>0</v>
      </c>
      <c r="BR140" s="41">
        <f t="shared" si="2684"/>
        <v>0</v>
      </c>
      <c r="BS140" s="42">
        <f t="shared" si="2685"/>
        <v>0</v>
      </c>
      <c r="BT140" s="95">
        <f t="shared" si="2686"/>
        <v>0</v>
      </c>
      <c r="BU140" s="41">
        <f t="shared" si="2687"/>
        <v>0</v>
      </c>
      <c r="BV140" s="41">
        <f t="shared" si="2688"/>
        <v>0</v>
      </c>
      <c r="BW140" s="41">
        <f t="shared" si="2689"/>
        <v>0</v>
      </c>
      <c r="BX140" s="42">
        <f t="shared" si="2690"/>
        <v>0</v>
      </c>
      <c r="BY140" s="95">
        <f t="shared" si="2691"/>
        <v>0</v>
      </c>
      <c r="BZ140" s="41">
        <f t="shared" si="2692"/>
        <v>0</v>
      </c>
      <c r="CA140" s="41">
        <f t="shared" si="2693"/>
        <v>0</v>
      </c>
      <c r="CB140" s="41">
        <f t="shared" si="2694"/>
        <v>0</v>
      </c>
      <c r="CC140" s="41">
        <f t="shared" si="2695"/>
        <v>0</v>
      </c>
      <c r="CD140" s="41">
        <f t="shared" si="2696"/>
        <v>0</v>
      </c>
      <c r="CE140" s="41">
        <f t="shared" si="2697"/>
        <v>0</v>
      </c>
      <c r="CF140" s="41">
        <f t="shared" si="2698"/>
        <v>0</v>
      </c>
      <c r="CG140" s="41">
        <f t="shared" si="2699"/>
        <v>0</v>
      </c>
      <c r="CH140" s="41">
        <f t="shared" si="2700"/>
        <v>0</v>
      </c>
      <c r="CI140" s="41">
        <f t="shared" si="2701"/>
        <v>0</v>
      </c>
      <c r="CJ140" s="42">
        <f t="shared" si="2702"/>
        <v>0</v>
      </c>
      <c r="CL140" s="36"/>
      <c r="CN140" s="95"/>
      <c r="CO140" s="41"/>
      <c r="CP140" s="41"/>
      <c r="CQ140" s="41"/>
      <c r="CR140" s="41"/>
      <c r="CS140" s="41"/>
      <c r="CT140" s="41"/>
      <c r="CU140" s="42"/>
      <c r="CV140" s="95"/>
      <c r="CW140" s="41"/>
      <c r="CX140" s="41"/>
      <c r="CY140" s="41"/>
      <c r="CZ140" s="95"/>
      <c r="DA140" s="41"/>
      <c r="DB140" s="41"/>
      <c r="DC140" s="41"/>
      <c r="DD140" s="41"/>
      <c r="DE140" s="42"/>
      <c r="DF140" s="41"/>
      <c r="DG140" s="41"/>
      <c r="DH140" s="41"/>
      <c r="DI140" s="41"/>
      <c r="DJ140" s="41"/>
      <c r="DK140" s="95"/>
      <c r="DL140" s="41"/>
      <c r="DM140" s="41"/>
      <c r="DN140" s="41"/>
      <c r="DO140" s="41"/>
      <c r="DP140" s="41"/>
      <c r="DQ140" s="41"/>
      <c r="DR140" s="41"/>
      <c r="DS140" s="41"/>
      <c r="DT140" s="41"/>
      <c r="DU140" s="41"/>
      <c r="DV140" s="42"/>
      <c r="DX140" s="138">
        <f t="shared" ref="DX140" si="2738">P140/$E140</f>
        <v>4.5146726862302484E-2</v>
      </c>
      <c r="DY140" s="34">
        <f t="shared" ref="DY140" si="2739">Q140/$E140</f>
        <v>0</v>
      </c>
      <c r="DZ140" s="34">
        <f t="shared" ref="DZ140" si="2740">R140/$E140</f>
        <v>0</v>
      </c>
      <c r="EA140" s="34">
        <f t="shared" ref="EA140" si="2741">S140/$E140</f>
        <v>0</v>
      </c>
      <c r="EB140" s="34">
        <f t="shared" ref="EB140" si="2742">T140/$E140</f>
        <v>0</v>
      </c>
      <c r="EC140" s="34">
        <f t="shared" si="2708"/>
        <v>0</v>
      </c>
      <c r="ED140" s="34">
        <f t="shared" si="2709"/>
        <v>0</v>
      </c>
      <c r="EE140" s="139">
        <f t="shared" si="2710"/>
        <v>0</v>
      </c>
      <c r="EF140" s="138">
        <f t="shared" si="2711"/>
        <v>0</v>
      </c>
      <c r="EG140" s="34">
        <f t="shared" si="2712"/>
        <v>0</v>
      </c>
      <c r="EH140" s="34">
        <f t="shared" si="2713"/>
        <v>0</v>
      </c>
      <c r="EI140" s="139">
        <f t="shared" si="2714"/>
        <v>0</v>
      </c>
      <c r="EJ140" s="138">
        <f t="shared" si="2715"/>
        <v>0</v>
      </c>
      <c r="EK140" s="34">
        <f t="shared" si="2716"/>
        <v>0</v>
      </c>
      <c r="EL140" s="34">
        <f t="shared" si="2717"/>
        <v>0</v>
      </c>
      <c r="EM140" s="34">
        <f t="shared" si="2718"/>
        <v>0</v>
      </c>
      <c r="EN140" s="34">
        <f t="shared" si="2719"/>
        <v>0</v>
      </c>
      <c r="EO140" s="139">
        <f t="shared" si="2720"/>
        <v>0</v>
      </c>
      <c r="EP140" s="138">
        <f t="shared" si="2721"/>
        <v>0</v>
      </c>
      <c r="EQ140" s="34">
        <f t="shared" si="2722"/>
        <v>0</v>
      </c>
      <c r="ER140" s="34">
        <f t="shared" si="2723"/>
        <v>0</v>
      </c>
      <c r="ES140" s="34">
        <f t="shared" si="2724"/>
        <v>0</v>
      </c>
      <c r="ET140" s="139">
        <f t="shared" si="2725"/>
        <v>0</v>
      </c>
      <c r="EU140" s="138">
        <f t="shared" si="2726"/>
        <v>0</v>
      </c>
      <c r="EV140" s="34">
        <f t="shared" si="2727"/>
        <v>0</v>
      </c>
      <c r="EW140" s="34">
        <f t="shared" si="2728"/>
        <v>0</v>
      </c>
      <c r="EX140" s="34">
        <f t="shared" si="2729"/>
        <v>0</v>
      </c>
      <c r="EY140" s="34">
        <f t="shared" si="2730"/>
        <v>0</v>
      </c>
      <c r="EZ140" s="34">
        <f t="shared" si="2731"/>
        <v>0</v>
      </c>
      <c r="FA140" s="34">
        <f t="shared" si="2732"/>
        <v>0</v>
      </c>
      <c r="FB140" s="34">
        <f t="shared" si="2733"/>
        <v>0</v>
      </c>
      <c r="FC140" s="34">
        <f t="shared" si="2734"/>
        <v>0</v>
      </c>
      <c r="FD140" s="34">
        <f t="shared" si="2735"/>
        <v>0</v>
      </c>
      <c r="FE140" s="34">
        <f t="shared" si="2736"/>
        <v>0</v>
      </c>
      <c r="FF140" s="139">
        <f t="shared" si="2737"/>
        <v>0</v>
      </c>
    </row>
    <row r="141" spans="2:162" ht="16.5" thickBot="1" x14ac:dyDescent="0.3">
      <c r="B141" s="127">
        <f t="shared" si="2665"/>
        <v>45606</v>
      </c>
      <c r="C141" s="267"/>
      <c r="D141" s="100"/>
      <c r="E141" s="131"/>
      <c r="F141" s="25"/>
      <c r="G141" s="25"/>
      <c r="H141" s="171"/>
      <c r="I141" s="172"/>
      <c r="J141" s="173"/>
      <c r="K141" s="173"/>
      <c r="L141" s="174"/>
      <c r="M141" s="174"/>
      <c r="N141" s="175"/>
      <c r="O141" s="25"/>
      <c r="P141" s="96"/>
      <c r="Q141" s="76"/>
      <c r="R141" s="76"/>
      <c r="S141" s="76"/>
      <c r="T141" s="76"/>
      <c r="U141" s="76"/>
      <c r="V141" s="76"/>
      <c r="W141" s="77"/>
      <c r="X141" s="96"/>
      <c r="Y141" s="76"/>
      <c r="Z141" s="76"/>
      <c r="AA141" s="77"/>
      <c r="AB141" s="96"/>
      <c r="AC141" s="76"/>
      <c r="AD141" s="76"/>
      <c r="AE141" s="76"/>
      <c r="AF141" s="76"/>
      <c r="AG141" s="77"/>
      <c r="AH141" s="96"/>
      <c r="AI141" s="76"/>
      <c r="AJ141" s="76"/>
      <c r="AK141" s="76"/>
      <c r="AL141" s="77"/>
      <c r="AM141" s="96"/>
      <c r="AN141" s="76"/>
      <c r="AO141" s="76"/>
      <c r="AP141" s="76"/>
      <c r="AQ141" s="76"/>
      <c r="AR141" s="76"/>
      <c r="AS141" s="76"/>
      <c r="AT141" s="76"/>
      <c r="AU141" s="76"/>
      <c r="AV141" s="76"/>
      <c r="AW141" s="76"/>
      <c r="AX141" s="76"/>
      <c r="AY141" s="76"/>
      <c r="AZ141" s="77"/>
      <c r="BB141" s="96"/>
      <c r="BC141" s="76"/>
      <c r="BD141" s="76"/>
      <c r="BE141" s="76"/>
      <c r="BF141" s="76"/>
      <c r="BG141" s="76"/>
      <c r="BH141" s="76"/>
      <c r="BI141" s="77"/>
      <c r="BJ141" s="96"/>
      <c r="BK141" s="76"/>
      <c r="BL141" s="76"/>
      <c r="BM141" s="77"/>
      <c r="BN141" s="96"/>
      <c r="BO141" s="76"/>
      <c r="BP141" s="76"/>
      <c r="BQ141" s="76"/>
      <c r="BR141" s="76"/>
      <c r="BS141" s="77"/>
      <c r="BT141" s="96"/>
      <c r="BU141" s="76"/>
      <c r="BV141" s="76"/>
      <c r="BW141" s="76"/>
      <c r="BX141" s="77"/>
      <c r="BY141" s="96"/>
      <c r="BZ141" s="76"/>
      <c r="CA141" s="76"/>
      <c r="CB141" s="76"/>
      <c r="CC141" s="76"/>
      <c r="CD141" s="76"/>
      <c r="CE141" s="76"/>
      <c r="CF141" s="76"/>
      <c r="CG141" s="76"/>
      <c r="CH141" s="76"/>
      <c r="CI141" s="76"/>
      <c r="CJ141" s="77"/>
      <c r="CN141" s="96"/>
      <c r="CO141" s="76"/>
      <c r="CP141" s="76"/>
      <c r="CQ141" s="76"/>
      <c r="CR141" s="76"/>
      <c r="CS141" s="76"/>
      <c r="CT141" s="76"/>
      <c r="CU141" s="77"/>
      <c r="CV141" s="96"/>
      <c r="CW141" s="76"/>
      <c r="CX141" s="76"/>
      <c r="CY141" s="76"/>
      <c r="CZ141" s="96"/>
      <c r="DA141" s="76"/>
      <c r="DB141" s="76"/>
      <c r="DC141" s="76"/>
      <c r="DD141" s="76"/>
      <c r="DE141" s="77"/>
      <c r="DF141" s="76"/>
      <c r="DG141" s="76"/>
      <c r="DH141" s="76"/>
      <c r="DI141" s="76"/>
      <c r="DJ141" s="76"/>
      <c r="DK141" s="96"/>
      <c r="DL141" s="76"/>
      <c r="DM141" s="76"/>
      <c r="DN141" s="76"/>
      <c r="DO141" s="76"/>
      <c r="DP141" s="76"/>
      <c r="DQ141" s="76"/>
      <c r="DR141" s="76"/>
      <c r="DS141" s="76"/>
      <c r="DT141" s="76"/>
      <c r="DU141" s="76"/>
      <c r="DV141" s="77"/>
      <c r="DX141" s="140"/>
      <c r="DY141" s="141"/>
      <c r="DZ141" s="141"/>
      <c r="EA141" s="141"/>
      <c r="EB141" s="141"/>
      <c r="EC141" s="141"/>
      <c r="ED141" s="141"/>
      <c r="EE141" s="142"/>
      <c r="EF141" s="140"/>
      <c r="EG141" s="141"/>
      <c r="EH141" s="141"/>
      <c r="EI141" s="142"/>
      <c r="EJ141" s="140"/>
      <c r="EK141" s="141"/>
      <c r="EL141" s="141"/>
      <c r="EM141" s="141"/>
      <c r="EN141" s="141"/>
      <c r="EO141" s="142"/>
      <c r="EP141" s="140"/>
      <c r="EQ141" s="141"/>
      <c r="ER141" s="141"/>
      <c r="ES141" s="141"/>
      <c r="ET141" s="142"/>
      <c r="EU141" s="140"/>
      <c r="EV141" s="141"/>
      <c r="EW141" s="141"/>
      <c r="EX141" s="141"/>
      <c r="EY141" s="141"/>
      <c r="EZ141" s="141"/>
      <c r="FA141" s="141"/>
      <c r="FB141" s="141"/>
      <c r="FC141" s="141"/>
      <c r="FD141" s="141"/>
      <c r="FE141" s="141"/>
      <c r="FF141" s="142"/>
    </row>
    <row r="142" spans="2:162" ht="17.25" thickTop="1" thickBot="1" x14ac:dyDescent="0.3">
      <c r="B142" s="178"/>
      <c r="C142" s="268"/>
      <c r="D142" s="101">
        <f t="shared" ref="D142:E142" si="2743">SUM(D135:D141)</f>
        <v>23</v>
      </c>
      <c r="E142" s="134">
        <f t="shared" si="2743"/>
        <v>57.22</v>
      </c>
      <c r="F142" s="146"/>
      <c r="G142" s="146"/>
      <c r="H142" s="43"/>
      <c r="I142" s="39"/>
      <c r="J142" s="39"/>
      <c r="K142" s="39"/>
      <c r="L142" s="184"/>
      <c r="M142" s="185"/>
      <c r="N142" s="235">
        <f>AVERAGE(N135:N139)*5+AVERAGE(N140:N141)*2</f>
        <v>272.54615384615386</v>
      </c>
      <c r="O142" s="146"/>
      <c r="P142" s="68">
        <f t="shared" ref="P142:AZ142" si="2744">SUM(P135:P141)</f>
        <v>3</v>
      </c>
      <c r="Q142" s="65">
        <f t="shared" si="2744"/>
        <v>1</v>
      </c>
      <c r="R142" s="65">
        <f t="shared" si="2744"/>
        <v>0</v>
      </c>
      <c r="S142" s="65">
        <f t="shared" si="2744"/>
        <v>0</v>
      </c>
      <c r="T142" s="65">
        <f t="shared" si="2744"/>
        <v>0</v>
      </c>
      <c r="U142" s="65">
        <f t="shared" si="2744"/>
        <v>0</v>
      </c>
      <c r="V142" s="65">
        <f t="shared" si="2744"/>
        <v>3</v>
      </c>
      <c r="W142" s="66">
        <f t="shared" si="2744"/>
        <v>0</v>
      </c>
      <c r="X142" s="68">
        <f t="shared" si="2744"/>
        <v>0</v>
      </c>
      <c r="Y142" s="65">
        <f t="shared" si="2744"/>
        <v>0</v>
      </c>
      <c r="Z142" s="65">
        <f t="shared" si="2744"/>
        <v>0</v>
      </c>
      <c r="AA142" s="66">
        <f t="shared" si="2744"/>
        <v>0</v>
      </c>
      <c r="AB142" s="68">
        <f t="shared" si="2744"/>
        <v>0</v>
      </c>
      <c r="AC142" s="65">
        <f t="shared" si="2744"/>
        <v>0</v>
      </c>
      <c r="AD142" s="65">
        <f t="shared" si="2744"/>
        <v>0</v>
      </c>
      <c r="AE142" s="65">
        <f t="shared" si="2744"/>
        <v>0</v>
      </c>
      <c r="AF142" s="65">
        <f t="shared" si="2744"/>
        <v>0</v>
      </c>
      <c r="AG142" s="66">
        <f t="shared" si="2744"/>
        <v>0</v>
      </c>
      <c r="AH142" s="68">
        <f t="shared" si="2744"/>
        <v>0</v>
      </c>
      <c r="AI142" s="65">
        <f t="shared" si="2744"/>
        <v>0</v>
      </c>
      <c r="AJ142" s="65">
        <f t="shared" si="2744"/>
        <v>0</v>
      </c>
      <c r="AK142" s="65">
        <f t="shared" si="2744"/>
        <v>0</v>
      </c>
      <c r="AL142" s="66">
        <f t="shared" si="2744"/>
        <v>0</v>
      </c>
      <c r="AM142" s="68">
        <f t="shared" si="2744"/>
        <v>0</v>
      </c>
      <c r="AN142" s="65">
        <f t="shared" si="2744"/>
        <v>0</v>
      </c>
      <c r="AO142" s="65">
        <f t="shared" si="2744"/>
        <v>0</v>
      </c>
      <c r="AP142" s="65">
        <f t="shared" si="2744"/>
        <v>0</v>
      </c>
      <c r="AQ142" s="65">
        <f t="shared" si="2744"/>
        <v>0</v>
      </c>
      <c r="AR142" s="65">
        <f t="shared" si="2744"/>
        <v>0</v>
      </c>
      <c r="AS142" s="65">
        <f t="shared" si="2744"/>
        <v>0</v>
      </c>
      <c r="AT142" s="65">
        <f t="shared" si="2744"/>
        <v>0</v>
      </c>
      <c r="AU142" s="65">
        <f t="shared" si="2744"/>
        <v>0</v>
      </c>
      <c r="AV142" s="65">
        <f t="shared" si="2744"/>
        <v>0</v>
      </c>
      <c r="AW142" s="65">
        <f t="shared" si="2744"/>
        <v>0</v>
      </c>
      <c r="AX142" s="65">
        <f t="shared" si="2744"/>
        <v>0</v>
      </c>
      <c r="AY142" s="65">
        <f t="shared" si="2744"/>
        <v>0</v>
      </c>
      <c r="AZ142" s="66">
        <f t="shared" si="2744"/>
        <v>0</v>
      </c>
      <c r="BB142" s="68">
        <f t="shared" ref="BB142:CJ142" si="2745">SUM(BB135:BB141)</f>
        <v>5.4267024851333723</v>
      </c>
      <c r="BC142" s="65">
        <f t="shared" si="2745"/>
        <v>2.4633802816901409</v>
      </c>
      <c r="BD142" s="65">
        <f t="shared" si="2745"/>
        <v>0</v>
      </c>
      <c r="BE142" s="65">
        <f t="shared" si="2745"/>
        <v>0</v>
      </c>
      <c r="BF142" s="65">
        <f t="shared" si="2745"/>
        <v>0</v>
      </c>
      <c r="BG142" s="65">
        <f t="shared" si="2745"/>
        <v>0</v>
      </c>
      <c r="BH142" s="65">
        <f t="shared" si="2745"/>
        <v>4.5551214477903503</v>
      </c>
      <c r="BI142" s="66">
        <f t="shared" si="2745"/>
        <v>0</v>
      </c>
      <c r="BJ142" s="68">
        <f t="shared" si="2745"/>
        <v>0</v>
      </c>
      <c r="BK142" s="65">
        <f t="shared" si="2745"/>
        <v>0</v>
      </c>
      <c r="BL142" s="65">
        <f t="shared" si="2745"/>
        <v>0</v>
      </c>
      <c r="BM142" s="66">
        <f t="shared" si="2745"/>
        <v>0</v>
      </c>
      <c r="BN142" s="68">
        <f t="shared" si="2745"/>
        <v>0</v>
      </c>
      <c r="BO142" s="65">
        <f t="shared" si="2745"/>
        <v>0</v>
      </c>
      <c r="BP142" s="65">
        <f t="shared" si="2745"/>
        <v>0</v>
      </c>
      <c r="BQ142" s="65">
        <f t="shared" si="2745"/>
        <v>0</v>
      </c>
      <c r="BR142" s="65">
        <f t="shared" si="2745"/>
        <v>0</v>
      </c>
      <c r="BS142" s="66">
        <f t="shared" si="2745"/>
        <v>0</v>
      </c>
      <c r="BT142" s="68">
        <f t="shared" si="2745"/>
        <v>0</v>
      </c>
      <c r="BU142" s="65">
        <f t="shared" si="2745"/>
        <v>0</v>
      </c>
      <c r="BV142" s="65">
        <f t="shared" si="2745"/>
        <v>0</v>
      </c>
      <c r="BW142" s="65">
        <f t="shared" si="2745"/>
        <v>0</v>
      </c>
      <c r="BX142" s="66">
        <f t="shared" si="2745"/>
        <v>0</v>
      </c>
      <c r="BY142" s="68">
        <f t="shared" si="2745"/>
        <v>0</v>
      </c>
      <c r="BZ142" s="65">
        <f t="shared" si="2745"/>
        <v>0</v>
      </c>
      <c r="CA142" s="65">
        <f t="shared" si="2745"/>
        <v>0</v>
      </c>
      <c r="CB142" s="65">
        <f t="shared" si="2745"/>
        <v>0</v>
      </c>
      <c r="CC142" s="65">
        <f t="shared" si="2745"/>
        <v>0</v>
      </c>
      <c r="CD142" s="65">
        <f t="shared" si="2745"/>
        <v>0</v>
      </c>
      <c r="CE142" s="65">
        <f t="shared" si="2745"/>
        <v>0</v>
      </c>
      <c r="CF142" s="65">
        <f t="shared" si="2745"/>
        <v>0</v>
      </c>
      <c r="CG142" s="65">
        <f t="shared" si="2745"/>
        <v>0</v>
      </c>
      <c r="CH142" s="65">
        <f t="shared" si="2745"/>
        <v>0</v>
      </c>
      <c r="CI142" s="65">
        <f t="shared" si="2745"/>
        <v>0</v>
      </c>
      <c r="CJ142" s="66">
        <f t="shared" si="2745"/>
        <v>0</v>
      </c>
      <c r="CN142" s="68">
        <f t="shared" ref="CN142:DV142" si="2746">SUM(CN135:CN141)</f>
        <v>21.509593679458245</v>
      </c>
      <c r="CO142" s="65">
        <f t="shared" si="2746"/>
        <v>0</v>
      </c>
      <c r="CP142" s="65">
        <f t="shared" si="2746"/>
        <v>0</v>
      </c>
      <c r="CQ142" s="65">
        <f t="shared" si="2746"/>
        <v>0</v>
      </c>
      <c r="CR142" s="65">
        <f t="shared" si="2746"/>
        <v>0</v>
      </c>
      <c r="CS142" s="65">
        <f t="shared" si="2746"/>
        <v>0</v>
      </c>
      <c r="CT142" s="65">
        <f t="shared" si="2746"/>
        <v>0</v>
      </c>
      <c r="CU142" s="66">
        <f t="shared" si="2746"/>
        <v>0</v>
      </c>
      <c r="CV142" s="68">
        <f t="shared" si="2746"/>
        <v>0</v>
      </c>
      <c r="CW142" s="65">
        <f t="shared" si="2746"/>
        <v>0</v>
      </c>
      <c r="CX142" s="65">
        <f t="shared" si="2746"/>
        <v>0</v>
      </c>
      <c r="CY142" s="65">
        <f t="shared" si="2746"/>
        <v>0</v>
      </c>
      <c r="CZ142" s="68">
        <f t="shared" si="2746"/>
        <v>0</v>
      </c>
      <c r="DA142" s="65">
        <f t="shared" si="2746"/>
        <v>0</v>
      </c>
      <c r="DB142" s="65">
        <f t="shared" si="2746"/>
        <v>0</v>
      </c>
      <c r="DC142" s="65">
        <f t="shared" si="2746"/>
        <v>0</v>
      </c>
      <c r="DD142" s="65">
        <f t="shared" si="2746"/>
        <v>0</v>
      </c>
      <c r="DE142" s="66">
        <f t="shared" si="2746"/>
        <v>0</v>
      </c>
      <c r="DF142" s="65">
        <f t="shared" si="2746"/>
        <v>0</v>
      </c>
      <c r="DG142" s="65">
        <f t="shared" si="2746"/>
        <v>0</v>
      </c>
      <c r="DH142" s="65">
        <f t="shared" si="2746"/>
        <v>0</v>
      </c>
      <c r="DI142" s="65">
        <f t="shared" si="2746"/>
        <v>0</v>
      </c>
      <c r="DJ142" s="65">
        <f t="shared" si="2746"/>
        <v>0</v>
      </c>
      <c r="DK142" s="68">
        <f t="shared" si="2746"/>
        <v>0</v>
      </c>
      <c r="DL142" s="65">
        <f t="shared" si="2746"/>
        <v>0</v>
      </c>
      <c r="DM142" s="65">
        <f t="shared" si="2746"/>
        <v>0</v>
      </c>
      <c r="DN142" s="65">
        <f t="shared" si="2746"/>
        <v>0</v>
      </c>
      <c r="DO142" s="65">
        <f t="shared" si="2746"/>
        <v>0</v>
      </c>
      <c r="DP142" s="65">
        <f t="shared" si="2746"/>
        <v>0</v>
      </c>
      <c r="DQ142" s="65">
        <f t="shared" si="2746"/>
        <v>0</v>
      </c>
      <c r="DR142" s="65">
        <f t="shared" si="2746"/>
        <v>0</v>
      </c>
      <c r="DS142" s="65">
        <f t="shared" si="2746"/>
        <v>0</v>
      </c>
      <c r="DT142" s="65">
        <f t="shared" si="2746"/>
        <v>0</v>
      </c>
      <c r="DU142" s="65">
        <f t="shared" si="2746"/>
        <v>0</v>
      </c>
      <c r="DV142" s="66">
        <f t="shared" si="2746"/>
        <v>0</v>
      </c>
      <c r="DX142" s="143"/>
      <c r="DY142" s="144"/>
      <c r="DZ142" s="144"/>
      <c r="EA142" s="144"/>
      <c r="EB142" s="144"/>
      <c r="EC142" s="144"/>
      <c r="ED142" s="144"/>
      <c r="EE142" s="145"/>
      <c r="EF142" s="143"/>
      <c r="EG142" s="144"/>
      <c r="EH142" s="144"/>
      <c r="EI142" s="145"/>
      <c r="EJ142" s="143"/>
      <c r="EK142" s="144"/>
      <c r="EL142" s="144"/>
      <c r="EM142" s="144"/>
      <c r="EN142" s="144"/>
      <c r="EO142" s="144"/>
      <c r="EP142" s="143"/>
      <c r="EQ142" s="144"/>
      <c r="ER142" s="144"/>
      <c r="ES142" s="144"/>
      <c r="ET142" s="145"/>
      <c r="EU142" s="143"/>
      <c r="EV142" s="144"/>
      <c r="EW142" s="144"/>
      <c r="EX142" s="144"/>
      <c r="EY142" s="144"/>
      <c r="EZ142" s="144"/>
      <c r="FA142" s="144"/>
      <c r="FB142" s="144"/>
      <c r="FC142" s="144"/>
      <c r="FD142" s="144"/>
      <c r="FE142" s="144"/>
      <c r="FF142" s="145"/>
    </row>
    <row r="143" spans="2:162" ht="16.5" thickBot="1" x14ac:dyDescent="0.3">
      <c r="L143" s="253" t="s">
        <v>145</v>
      </c>
    </row>
    <row r="144" spans="2:162" x14ac:dyDescent="0.25">
      <c r="B144" s="176">
        <f>B135+7</f>
        <v>45607</v>
      </c>
      <c r="C144" s="265"/>
      <c r="D144" s="103"/>
      <c r="E144" s="156"/>
      <c r="F144" s="25"/>
      <c r="G144" s="25"/>
      <c r="H144" s="179"/>
      <c r="I144" s="180"/>
      <c r="J144" s="181"/>
      <c r="K144" s="181"/>
      <c r="L144" s="182"/>
      <c r="M144" s="182"/>
      <c r="N144" s="183"/>
      <c r="O144" s="25"/>
      <c r="P144" s="157"/>
      <c r="Q144" s="158"/>
      <c r="R144" s="158"/>
      <c r="S144" s="158"/>
      <c r="T144" s="158"/>
      <c r="U144" s="158"/>
      <c r="V144" s="158"/>
      <c r="W144" s="159"/>
      <c r="X144" s="157"/>
      <c r="Y144" s="158"/>
      <c r="Z144" s="158"/>
      <c r="AA144" s="159"/>
      <c r="AB144" s="157"/>
      <c r="AC144" s="158"/>
      <c r="AD144" s="158"/>
      <c r="AE144" s="158"/>
      <c r="AF144" s="158"/>
      <c r="AG144" s="159"/>
      <c r="AH144" s="157"/>
      <c r="AI144" s="158"/>
      <c r="AJ144" s="158"/>
      <c r="AK144" s="158"/>
      <c r="AL144" s="159"/>
      <c r="AM144" s="157"/>
      <c r="AN144" s="158"/>
      <c r="AO144" s="158"/>
      <c r="AP144" s="158"/>
      <c r="AQ144" s="158"/>
      <c r="AR144" s="158"/>
      <c r="AS144" s="158"/>
      <c r="AT144" s="158"/>
      <c r="AU144" s="158"/>
      <c r="AV144" s="158"/>
      <c r="AW144" s="158"/>
      <c r="AX144" s="158"/>
      <c r="AY144" s="158"/>
      <c r="AZ144" s="159"/>
      <c r="BB144" s="157">
        <f t="shared" ref="BB144:BB150" si="2747">$N144*DX144</f>
        <v>0</v>
      </c>
      <c r="BC144" s="158">
        <f t="shared" ref="BC144:BC150" si="2748">$N144*DY144</f>
        <v>0</v>
      </c>
      <c r="BD144" s="158">
        <f t="shared" ref="BD144:BD150" si="2749">$N144*DZ144</f>
        <v>0</v>
      </c>
      <c r="BE144" s="158">
        <f t="shared" ref="BE144:BE150" si="2750">$N144*EA144</f>
        <v>0</v>
      </c>
      <c r="BF144" s="158">
        <f t="shared" ref="BF144:BF150" si="2751">$N144*EB144</f>
        <v>0</v>
      </c>
      <c r="BG144" s="158">
        <f t="shared" ref="BG144:BG150" si="2752">$N144*EC144</f>
        <v>0</v>
      </c>
      <c r="BH144" s="158">
        <f t="shared" ref="BH144:BH150" si="2753">$N144*ED144</f>
        <v>0</v>
      </c>
      <c r="BI144" s="159">
        <f t="shared" ref="BI144:BI150" si="2754">$N144*EE144</f>
        <v>0</v>
      </c>
      <c r="BJ144" s="157">
        <f t="shared" ref="BJ144:BJ150" si="2755">$N144*EF144</f>
        <v>0</v>
      </c>
      <c r="BK144" s="158">
        <f t="shared" ref="BK144:BK150" si="2756">$N144*EG144</f>
        <v>0</v>
      </c>
      <c r="BL144" s="158">
        <f t="shared" ref="BL144:BL150" si="2757">$N144*EH144</f>
        <v>0</v>
      </c>
      <c r="BM144" s="159">
        <f t="shared" ref="BM144:BM150" si="2758">$N144*EI144</f>
        <v>0</v>
      </c>
      <c r="BN144" s="157">
        <f t="shared" ref="BN144:BN150" si="2759">$N144*EJ144</f>
        <v>0</v>
      </c>
      <c r="BO144" s="158">
        <f t="shared" ref="BO144:BO150" si="2760">$N144*EK144</f>
        <v>0</v>
      </c>
      <c r="BP144" s="158">
        <f t="shared" ref="BP144:BP150" si="2761">$N144*EL144</f>
        <v>0</v>
      </c>
      <c r="BQ144" s="158">
        <f t="shared" ref="BQ144:BQ150" si="2762">$N144*EM144</f>
        <v>0</v>
      </c>
      <c r="BR144" s="158">
        <f t="shared" ref="BR144:BR150" si="2763">$N144*EN144</f>
        <v>0</v>
      </c>
      <c r="BS144" s="159">
        <f t="shared" ref="BS144:BS150" si="2764">$N144*EO144</f>
        <v>0</v>
      </c>
      <c r="BT144" s="157">
        <f t="shared" ref="BT144:BT150" si="2765">$N144*EP144</f>
        <v>0</v>
      </c>
      <c r="BU144" s="158">
        <f t="shared" ref="BU144:BU150" si="2766">$N144*EQ144</f>
        <v>0</v>
      </c>
      <c r="BV144" s="158">
        <f t="shared" ref="BV144:BV150" si="2767">$N144*ER144</f>
        <v>0</v>
      </c>
      <c r="BW144" s="158">
        <f t="shared" ref="BW144:BW150" si="2768">$N144*ES144</f>
        <v>0</v>
      </c>
      <c r="BX144" s="159">
        <f t="shared" ref="BX144:BX150" si="2769">$N144*ET144</f>
        <v>0</v>
      </c>
      <c r="BY144" s="157">
        <f t="shared" ref="BY144:BY150" si="2770">$N144*EU144</f>
        <v>0</v>
      </c>
      <c r="BZ144" s="158">
        <f t="shared" ref="BZ144:BZ150" si="2771">$N144*EV144</f>
        <v>0</v>
      </c>
      <c r="CA144" s="158">
        <f t="shared" ref="CA144:CA150" si="2772">$N144*EW144</f>
        <v>0</v>
      </c>
      <c r="CB144" s="158">
        <f t="shared" ref="CB144:CB150" si="2773">$N144*EX144</f>
        <v>0</v>
      </c>
      <c r="CC144" s="158">
        <f t="shared" ref="CC144:CC150" si="2774">$N144*EY144</f>
        <v>0</v>
      </c>
      <c r="CD144" s="158">
        <f t="shared" ref="CD144:CD150" si="2775">$N144*EZ144</f>
        <v>0</v>
      </c>
      <c r="CE144" s="158">
        <f t="shared" ref="CE144:CE150" si="2776">$N144*FA144</f>
        <v>0</v>
      </c>
      <c r="CF144" s="158">
        <f t="shared" ref="CF144:CF150" si="2777">$N144*FB144</f>
        <v>0</v>
      </c>
      <c r="CG144" s="158">
        <f t="shared" ref="CG144:CG150" si="2778">$N144*FC144</f>
        <v>0</v>
      </c>
      <c r="CH144" s="158">
        <f t="shared" ref="CH144:CH150" si="2779">$N144*FD144</f>
        <v>0</v>
      </c>
      <c r="CI144" s="158">
        <f t="shared" ref="CI144:CI150" si="2780">$N144*FE144</f>
        <v>0</v>
      </c>
      <c r="CJ144" s="159">
        <f t="shared" ref="CJ144:CJ150" si="2781">$N144*FF144</f>
        <v>0</v>
      </c>
      <c r="CL144" s="36">
        <v>5</v>
      </c>
      <c r="CN144" s="157">
        <f>AVERAGE(BB144:BB148)*$CL144</f>
        <v>4.312568404054903</v>
      </c>
      <c r="CO144" s="158">
        <f t="shared" ref="CO144" si="2782">AVERAGE(BC144:BC148)*$CL144</f>
        <v>0</v>
      </c>
      <c r="CP144" s="158">
        <f t="shared" ref="CP144" si="2783">AVERAGE(BD144:BD148)*$CL144</f>
        <v>0</v>
      </c>
      <c r="CQ144" s="158">
        <f t="shared" ref="CQ144" si="2784">AVERAGE(BE144:BE148)*$CL144</f>
        <v>0</v>
      </c>
      <c r="CR144" s="158">
        <f t="shared" ref="CR144" si="2785">AVERAGE(BF144:BF148)*$CL144</f>
        <v>0</v>
      </c>
      <c r="CS144" s="158">
        <f t="shared" ref="CS144" si="2786">AVERAGE(BG144:BG148)*$CL144</f>
        <v>0</v>
      </c>
      <c r="CT144" s="158">
        <f t="shared" ref="CT144" si="2787">AVERAGE(BH144:BH148)*$CL144</f>
        <v>7.5041176998295516</v>
      </c>
      <c r="CU144" s="159">
        <f t="shared" ref="CU144" si="2788">AVERAGE(BI144:BI148)*$CL144</f>
        <v>0</v>
      </c>
      <c r="CV144" s="157">
        <f t="shared" ref="CV144" si="2789">AVERAGE(BJ144:BJ148)*$CL144</f>
        <v>1.8075941289087429</v>
      </c>
      <c r="CW144" s="158">
        <f t="shared" ref="CW144" si="2790">AVERAGE(BK144:BK148)*$CL144</f>
        <v>0</v>
      </c>
      <c r="CX144" s="158">
        <f t="shared" ref="CX144" si="2791">AVERAGE(BL144:BL148)*$CL144</f>
        <v>0</v>
      </c>
      <c r="CY144" s="159">
        <f t="shared" ref="CY144" si="2792">AVERAGE(BM144:BM148)*$CL144</f>
        <v>0</v>
      </c>
      <c r="CZ144" s="157">
        <f t="shared" ref="CZ144" si="2793">AVERAGE(BN144:BN148)*$CL144</f>
        <v>0</v>
      </c>
      <c r="DA144" s="158">
        <f t="shared" ref="DA144" si="2794">AVERAGE(BO144:BO148)*$CL144</f>
        <v>0</v>
      </c>
      <c r="DB144" s="158">
        <f t="shared" ref="DB144" si="2795">AVERAGE(BP144:BP148)*$CL144</f>
        <v>0</v>
      </c>
      <c r="DC144" s="158">
        <f t="shared" ref="DC144" si="2796">AVERAGE(BQ144:BQ148)*$CL144</f>
        <v>0</v>
      </c>
      <c r="DD144" s="158">
        <f t="shared" ref="DD144" si="2797">AVERAGE(BR144:BR148)*$CL144</f>
        <v>0</v>
      </c>
      <c r="DE144" s="159">
        <f t="shared" ref="DE144" si="2798">AVERAGE(BS144:BS148)*$CL144</f>
        <v>0</v>
      </c>
      <c r="DF144" s="157">
        <f t="shared" ref="DF144" si="2799">AVERAGE(BT144:BT148)*$CL144</f>
        <v>0</v>
      </c>
      <c r="DG144" s="158">
        <f t="shared" ref="DG144" si="2800">AVERAGE(BU144:BU148)*$CL144</f>
        <v>0</v>
      </c>
      <c r="DH144" s="158">
        <f t="shared" ref="DH144" si="2801">AVERAGE(BV144:BV148)*$CL144</f>
        <v>0</v>
      </c>
      <c r="DI144" s="158">
        <f t="shared" ref="DI144" si="2802">AVERAGE(BW144:BW148)*$CL144</f>
        <v>0</v>
      </c>
      <c r="DJ144" s="159">
        <f t="shared" ref="DJ144" si="2803">AVERAGE(BX144:BX148)*$CL144</f>
        <v>0</v>
      </c>
      <c r="DK144" s="157">
        <f t="shared" ref="DK144" si="2804">AVERAGE(BY144:BY148)*$CL144</f>
        <v>0</v>
      </c>
      <c r="DL144" s="158">
        <f t="shared" ref="DL144" si="2805">AVERAGE(BZ144:BZ148)*$CL144</f>
        <v>0</v>
      </c>
      <c r="DM144" s="158">
        <f t="shared" ref="DM144" si="2806">AVERAGE(CA144:CA148)*$CL144</f>
        <v>0</v>
      </c>
      <c r="DN144" s="158">
        <f t="shared" ref="DN144" si="2807">AVERAGE(CB144:CB148)*$CL144</f>
        <v>0</v>
      </c>
      <c r="DO144" s="158">
        <f t="shared" ref="DO144" si="2808">AVERAGE(CC144:CC148)*$CL144</f>
        <v>0</v>
      </c>
      <c r="DP144" s="158">
        <f t="shared" ref="DP144" si="2809">AVERAGE(CD144:CD148)*$CL144</f>
        <v>0</v>
      </c>
      <c r="DQ144" s="158">
        <f t="shared" ref="DQ144" si="2810">AVERAGE(CE144:CE148)*$CL144</f>
        <v>0</v>
      </c>
      <c r="DR144" s="158">
        <f t="shared" ref="DR144" si="2811">AVERAGE(CF144:CF148)*$CL144</f>
        <v>0</v>
      </c>
      <c r="DS144" s="158">
        <f t="shared" ref="DS144" si="2812">AVERAGE(CG144:CG148)*$CL144</f>
        <v>0</v>
      </c>
      <c r="DT144" s="158">
        <f t="shared" ref="DT144" si="2813">AVERAGE(CH144:CH148)*$CL144</f>
        <v>0</v>
      </c>
      <c r="DU144" s="158">
        <f t="shared" ref="DU144" si="2814">AVERAGE(CI144:CI148)*$CL144</f>
        <v>0</v>
      </c>
      <c r="DV144" s="159">
        <f t="shared" ref="DV144" si="2815">AVERAGE(CJ144:CJ148)*$CL144</f>
        <v>0</v>
      </c>
      <c r="DX144" s="186"/>
      <c r="DY144" s="187"/>
      <c r="DZ144" s="187"/>
      <c r="EA144" s="187"/>
      <c r="EB144" s="187"/>
      <c r="EC144" s="187"/>
      <c r="ED144" s="187"/>
      <c r="EE144" s="188"/>
      <c r="EF144" s="186"/>
      <c r="EG144" s="187"/>
      <c r="EH144" s="187"/>
      <c r="EI144" s="188"/>
      <c r="EJ144" s="186"/>
      <c r="EK144" s="187"/>
      <c r="EL144" s="187"/>
      <c r="EM144" s="187"/>
      <c r="EN144" s="187"/>
      <c r="EO144" s="188"/>
      <c r="EP144" s="186"/>
      <c r="EQ144" s="187"/>
      <c r="ER144" s="187"/>
      <c r="ES144" s="187"/>
      <c r="ET144" s="188"/>
      <c r="EU144" s="186"/>
      <c r="EV144" s="187"/>
      <c r="EW144" s="187"/>
      <c r="EX144" s="187"/>
      <c r="EY144" s="187"/>
      <c r="EZ144" s="187"/>
      <c r="FA144" s="187"/>
      <c r="FB144" s="187"/>
      <c r="FC144" s="187"/>
      <c r="FD144" s="187"/>
      <c r="FE144" s="187"/>
      <c r="FF144" s="188"/>
    </row>
    <row r="145" spans="2:162" x14ac:dyDescent="0.25">
      <c r="B145" s="127">
        <f t="shared" ref="B145:B150" si="2816">B144+1</f>
        <v>45608</v>
      </c>
      <c r="C145" s="266"/>
      <c r="D145" s="53">
        <v>4</v>
      </c>
      <c r="E145" s="129">
        <v>20.41</v>
      </c>
      <c r="F145" s="25"/>
      <c r="G145" s="25"/>
      <c r="H145" s="150">
        <v>4</v>
      </c>
      <c r="I145" s="24">
        <v>2</v>
      </c>
      <c r="J145" s="151">
        <v>1</v>
      </c>
      <c r="K145" s="151"/>
      <c r="L145" s="152">
        <v>10.4</v>
      </c>
      <c r="M145" s="152">
        <f t="shared" ref="M145:M147" si="2817">H145/I145*K145*L145*1.5</f>
        <v>0</v>
      </c>
      <c r="N145" s="153">
        <f t="shared" ref="N145:N147" si="2818">H145/I145*J145*L145*N$4</f>
        <v>22.880000000000003</v>
      </c>
      <c r="O145" s="25"/>
      <c r="P145" s="95">
        <v>1</v>
      </c>
      <c r="Q145" s="41"/>
      <c r="R145" s="41"/>
      <c r="S145" s="41"/>
      <c r="T145" s="41"/>
      <c r="U145" s="41"/>
      <c r="V145" s="41">
        <v>1</v>
      </c>
      <c r="W145" s="42"/>
      <c r="X145" s="95"/>
      <c r="Y145" s="41"/>
      <c r="Z145" s="41"/>
      <c r="AA145" s="42"/>
      <c r="AB145" s="95"/>
      <c r="AC145" s="41"/>
      <c r="AD145" s="41"/>
      <c r="AE145" s="41"/>
      <c r="AF145" s="41"/>
      <c r="AG145" s="42"/>
      <c r="AH145" s="95"/>
      <c r="AI145" s="41"/>
      <c r="AJ145" s="41"/>
      <c r="AK145" s="41"/>
      <c r="AL145" s="42"/>
      <c r="AM145" s="95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2"/>
      <c r="BB145" s="95">
        <f t="shared" si="2747"/>
        <v>1.121019108280255</v>
      </c>
      <c r="BC145" s="41">
        <f t="shared" si="2748"/>
        <v>0</v>
      </c>
      <c r="BD145" s="41">
        <f t="shared" si="2749"/>
        <v>0</v>
      </c>
      <c r="BE145" s="41">
        <f t="shared" si="2750"/>
        <v>0</v>
      </c>
      <c r="BF145" s="41">
        <f t="shared" si="2751"/>
        <v>0</v>
      </c>
      <c r="BG145" s="41">
        <f t="shared" si="2752"/>
        <v>0</v>
      </c>
      <c r="BH145" s="41">
        <f t="shared" si="2753"/>
        <v>1.121019108280255</v>
      </c>
      <c r="BI145" s="42">
        <f t="shared" si="2754"/>
        <v>0</v>
      </c>
      <c r="BJ145" s="95">
        <f t="shared" si="2755"/>
        <v>0</v>
      </c>
      <c r="BK145" s="41">
        <f t="shared" si="2756"/>
        <v>0</v>
      </c>
      <c r="BL145" s="41">
        <f t="shared" si="2757"/>
        <v>0</v>
      </c>
      <c r="BM145" s="42">
        <f t="shared" si="2758"/>
        <v>0</v>
      </c>
      <c r="BN145" s="95">
        <f t="shared" si="2759"/>
        <v>0</v>
      </c>
      <c r="BO145" s="41">
        <f t="shared" si="2760"/>
        <v>0</v>
      </c>
      <c r="BP145" s="41">
        <f t="shared" si="2761"/>
        <v>0</v>
      </c>
      <c r="BQ145" s="41">
        <f t="shared" si="2762"/>
        <v>0</v>
      </c>
      <c r="BR145" s="41">
        <f t="shared" si="2763"/>
        <v>0</v>
      </c>
      <c r="BS145" s="42">
        <f t="shared" si="2764"/>
        <v>0</v>
      </c>
      <c r="BT145" s="95">
        <f t="shared" si="2765"/>
        <v>0</v>
      </c>
      <c r="BU145" s="41">
        <f t="shared" si="2766"/>
        <v>0</v>
      </c>
      <c r="BV145" s="41">
        <f t="shared" si="2767"/>
        <v>0</v>
      </c>
      <c r="BW145" s="41">
        <f t="shared" si="2768"/>
        <v>0</v>
      </c>
      <c r="BX145" s="42">
        <f t="shared" si="2769"/>
        <v>0</v>
      </c>
      <c r="BY145" s="95">
        <f t="shared" si="2770"/>
        <v>0</v>
      </c>
      <c r="BZ145" s="41">
        <f t="shared" si="2771"/>
        <v>0</v>
      </c>
      <c r="CA145" s="41">
        <f t="shared" si="2772"/>
        <v>0</v>
      </c>
      <c r="CB145" s="41">
        <f t="shared" si="2773"/>
        <v>0</v>
      </c>
      <c r="CC145" s="41">
        <f t="shared" si="2774"/>
        <v>0</v>
      </c>
      <c r="CD145" s="41">
        <f t="shared" si="2775"/>
        <v>0</v>
      </c>
      <c r="CE145" s="41">
        <f t="shared" si="2776"/>
        <v>0</v>
      </c>
      <c r="CF145" s="41">
        <f t="shared" si="2777"/>
        <v>0</v>
      </c>
      <c r="CG145" s="41">
        <f t="shared" si="2778"/>
        <v>0</v>
      </c>
      <c r="CH145" s="41">
        <f t="shared" si="2779"/>
        <v>0</v>
      </c>
      <c r="CI145" s="41">
        <f t="shared" si="2780"/>
        <v>0</v>
      </c>
      <c r="CJ145" s="42">
        <f t="shared" si="2781"/>
        <v>0</v>
      </c>
      <c r="CL145" s="36"/>
      <c r="CN145" s="95"/>
      <c r="CO145" s="41"/>
      <c r="CP145" s="41"/>
      <c r="CQ145" s="41"/>
      <c r="CR145" s="41"/>
      <c r="CS145" s="41"/>
      <c r="CT145" s="41"/>
      <c r="CU145" s="42"/>
      <c r="CV145" s="95"/>
      <c r="CW145" s="41"/>
      <c r="CX145" s="41"/>
      <c r="CY145" s="42"/>
      <c r="CZ145" s="95"/>
      <c r="DA145" s="41"/>
      <c r="DB145" s="41"/>
      <c r="DC145" s="41"/>
      <c r="DD145" s="41"/>
      <c r="DE145" s="42"/>
      <c r="DF145" s="95"/>
      <c r="DG145" s="41"/>
      <c r="DH145" s="41"/>
      <c r="DI145" s="41"/>
      <c r="DJ145" s="42"/>
      <c r="DK145" s="95"/>
      <c r="DL145" s="41"/>
      <c r="DM145" s="41"/>
      <c r="DN145" s="41"/>
      <c r="DO145" s="41"/>
      <c r="DP145" s="41"/>
      <c r="DQ145" s="41"/>
      <c r="DR145" s="41"/>
      <c r="DS145" s="41"/>
      <c r="DT145" s="41"/>
      <c r="DU145" s="41"/>
      <c r="DV145" s="42"/>
      <c r="DX145" s="138">
        <f t="shared" ref="DX145:DX147" si="2819">P145/$E145</f>
        <v>4.8995590396864283E-2</v>
      </c>
      <c r="DY145" s="34">
        <f t="shared" ref="DY145:DY147" si="2820">Q145/$E145</f>
        <v>0</v>
      </c>
      <c r="DZ145" s="34">
        <f t="shared" ref="DZ145:DZ147" si="2821">R145/$E145</f>
        <v>0</v>
      </c>
      <c r="EA145" s="34">
        <f t="shared" ref="EA145:EA147" si="2822">S145/$E145</f>
        <v>0</v>
      </c>
      <c r="EB145" s="34">
        <f t="shared" ref="EB145:EB147" si="2823">T145/$E145</f>
        <v>0</v>
      </c>
      <c r="EC145" s="34">
        <f t="shared" ref="EC145:EC147" si="2824">U145/$E145</f>
        <v>0</v>
      </c>
      <c r="ED145" s="34">
        <f t="shared" ref="ED145:ED147" si="2825">V145/$E145</f>
        <v>4.8995590396864283E-2</v>
      </c>
      <c r="EE145" s="139">
        <f t="shared" ref="EE145:EE147" si="2826">W145/$E145</f>
        <v>0</v>
      </c>
      <c r="EF145" s="138">
        <f t="shared" ref="EF145:EF147" si="2827">X145/$E145</f>
        <v>0</v>
      </c>
      <c r="EG145" s="34">
        <f t="shared" ref="EG145:EG147" si="2828">Y145/$E145</f>
        <v>0</v>
      </c>
      <c r="EH145" s="34">
        <f t="shared" ref="EH145:EH147" si="2829">Z145/$E145</f>
        <v>0</v>
      </c>
      <c r="EI145" s="139">
        <f t="shared" ref="EI145:EI147" si="2830">AA145/$E145</f>
        <v>0</v>
      </c>
      <c r="EJ145" s="138">
        <f t="shared" ref="EJ145:EJ147" si="2831">AB145/$E145</f>
        <v>0</v>
      </c>
      <c r="EK145" s="34">
        <f t="shared" ref="EK145:EK147" si="2832">AC145/$E145</f>
        <v>0</v>
      </c>
      <c r="EL145" s="34">
        <f t="shared" ref="EL145:EL147" si="2833">AD145/$E145</f>
        <v>0</v>
      </c>
      <c r="EM145" s="34">
        <f t="shared" ref="EM145:EM147" si="2834">AE145/$E145</f>
        <v>0</v>
      </c>
      <c r="EN145" s="34">
        <f t="shared" ref="EN145:EN147" si="2835">AF145/$E145</f>
        <v>0</v>
      </c>
      <c r="EO145" s="139">
        <f t="shared" ref="EO145:EO147" si="2836">AG145/$E145</f>
        <v>0</v>
      </c>
      <c r="EP145" s="138">
        <f t="shared" ref="EP145:EP147" si="2837">AH145/$E145</f>
        <v>0</v>
      </c>
      <c r="EQ145" s="34">
        <f t="shared" ref="EQ145:EQ147" si="2838">AI145/$E145</f>
        <v>0</v>
      </c>
      <c r="ER145" s="34">
        <f t="shared" ref="ER145:ER147" si="2839">AJ145/$E145</f>
        <v>0</v>
      </c>
      <c r="ES145" s="34">
        <f t="shared" ref="ES145:ES147" si="2840">AK145/$E145</f>
        <v>0</v>
      </c>
      <c r="ET145" s="139">
        <f t="shared" ref="ET145:ET147" si="2841">AL145/$E145</f>
        <v>0</v>
      </c>
      <c r="EU145" s="138">
        <f t="shared" ref="EU145:EU147" si="2842">AM145/$E145</f>
        <v>0</v>
      </c>
      <c r="EV145" s="34">
        <f t="shared" ref="EV145:EV147" si="2843">AN145/$E145</f>
        <v>0</v>
      </c>
      <c r="EW145" s="34">
        <f t="shared" ref="EW145:EW147" si="2844">AO145/$E145</f>
        <v>0</v>
      </c>
      <c r="EX145" s="34">
        <f t="shared" ref="EX145:EX147" si="2845">AP145/$E145</f>
        <v>0</v>
      </c>
      <c r="EY145" s="34">
        <f t="shared" ref="EY145:EY147" si="2846">AQ145/$E145</f>
        <v>0</v>
      </c>
      <c r="EZ145" s="34">
        <f t="shared" ref="EZ145:EZ147" si="2847">AR145/$E145</f>
        <v>0</v>
      </c>
      <c r="FA145" s="34">
        <f t="shared" ref="FA145:FA147" si="2848">AS145/$E145</f>
        <v>0</v>
      </c>
      <c r="FB145" s="34">
        <f t="shared" ref="FB145:FB147" si="2849">AT145/$E145</f>
        <v>0</v>
      </c>
      <c r="FC145" s="34">
        <f t="shared" ref="FC145:FC147" si="2850">AU145/$E145</f>
        <v>0</v>
      </c>
      <c r="FD145" s="34">
        <f t="shared" ref="FD145:FD147" si="2851">AV145/$E145</f>
        <v>0</v>
      </c>
      <c r="FE145" s="34">
        <f t="shared" ref="FE145:FE147" si="2852">AY145/$E145</f>
        <v>0</v>
      </c>
      <c r="FF145" s="139">
        <f t="shared" ref="FF145:FF147" si="2853">AZ145/$E145</f>
        <v>0</v>
      </c>
    </row>
    <row r="146" spans="2:162" x14ac:dyDescent="0.25">
      <c r="B146" s="127">
        <f t="shared" si="2816"/>
        <v>45609</v>
      </c>
      <c r="C146" s="266"/>
      <c r="D146" s="53">
        <v>5</v>
      </c>
      <c r="E146" s="129">
        <v>15.67</v>
      </c>
      <c r="F146" s="25"/>
      <c r="G146" s="25"/>
      <c r="H146" s="150">
        <v>5</v>
      </c>
      <c r="I146" s="24">
        <v>2</v>
      </c>
      <c r="J146" s="151">
        <v>1</v>
      </c>
      <c r="K146" s="151"/>
      <c r="L146" s="152">
        <v>10.3</v>
      </c>
      <c r="M146" s="152">
        <f t="shared" si="2817"/>
        <v>0</v>
      </c>
      <c r="N146" s="153">
        <f t="shared" si="2818"/>
        <v>28.325000000000003</v>
      </c>
      <c r="O146" s="25"/>
      <c r="P146" s="95"/>
      <c r="Q146" s="41"/>
      <c r="R146" s="41"/>
      <c r="S146" s="41"/>
      <c r="T146" s="41"/>
      <c r="U146" s="41"/>
      <c r="V146" s="41"/>
      <c r="W146" s="42"/>
      <c r="X146" s="95">
        <v>1</v>
      </c>
      <c r="Y146" s="41"/>
      <c r="Z146" s="41"/>
      <c r="AA146" s="42"/>
      <c r="AB146" s="95"/>
      <c r="AC146" s="41"/>
      <c r="AD146" s="41"/>
      <c r="AE146" s="41"/>
      <c r="AF146" s="41"/>
      <c r="AG146" s="42"/>
      <c r="AH146" s="95"/>
      <c r="AI146" s="41"/>
      <c r="AJ146" s="41"/>
      <c r="AK146" s="41"/>
      <c r="AL146" s="42"/>
      <c r="AM146" s="95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2"/>
      <c r="BB146" s="95">
        <f t="shared" si="2747"/>
        <v>0</v>
      </c>
      <c r="BC146" s="41">
        <f t="shared" si="2748"/>
        <v>0</v>
      </c>
      <c r="BD146" s="41">
        <f t="shared" si="2749"/>
        <v>0</v>
      </c>
      <c r="BE146" s="41">
        <f t="shared" si="2750"/>
        <v>0</v>
      </c>
      <c r="BF146" s="41">
        <f t="shared" si="2751"/>
        <v>0</v>
      </c>
      <c r="BG146" s="41">
        <f t="shared" si="2752"/>
        <v>0</v>
      </c>
      <c r="BH146" s="41">
        <f t="shared" si="2753"/>
        <v>0</v>
      </c>
      <c r="BI146" s="42">
        <f t="shared" si="2754"/>
        <v>0</v>
      </c>
      <c r="BJ146" s="95">
        <f t="shared" si="2755"/>
        <v>1.8075941289087429</v>
      </c>
      <c r="BK146" s="41">
        <f t="shared" si="2756"/>
        <v>0</v>
      </c>
      <c r="BL146" s="41">
        <f t="shared" si="2757"/>
        <v>0</v>
      </c>
      <c r="BM146" s="42">
        <f t="shared" si="2758"/>
        <v>0</v>
      </c>
      <c r="BN146" s="95">
        <f t="shared" si="2759"/>
        <v>0</v>
      </c>
      <c r="BO146" s="41">
        <f t="shared" si="2760"/>
        <v>0</v>
      </c>
      <c r="BP146" s="41">
        <f t="shared" si="2761"/>
        <v>0</v>
      </c>
      <c r="BQ146" s="41">
        <f t="shared" si="2762"/>
        <v>0</v>
      </c>
      <c r="BR146" s="41">
        <f t="shared" si="2763"/>
        <v>0</v>
      </c>
      <c r="BS146" s="42">
        <f t="shared" si="2764"/>
        <v>0</v>
      </c>
      <c r="BT146" s="95">
        <f t="shared" si="2765"/>
        <v>0</v>
      </c>
      <c r="BU146" s="41">
        <f t="shared" si="2766"/>
        <v>0</v>
      </c>
      <c r="BV146" s="41">
        <f t="shared" si="2767"/>
        <v>0</v>
      </c>
      <c r="BW146" s="41">
        <f t="shared" si="2768"/>
        <v>0</v>
      </c>
      <c r="BX146" s="42">
        <f t="shared" si="2769"/>
        <v>0</v>
      </c>
      <c r="BY146" s="95">
        <f t="shared" si="2770"/>
        <v>0</v>
      </c>
      <c r="BZ146" s="41">
        <f t="shared" si="2771"/>
        <v>0</v>
      </c>
      <c r="CA146" s="41">
        <f t="shared" si="2772"/>
        <v>0</v>
      </c>
      <c r="CB146" s="41">
        <f t="shared" si="2773"/>
        <v>0</v>
      </c>
      <c r="CC146" s="41">
        <f t="shared" si="2774"/>
        <v>0</v>
      </c>
      <c r="CD146" s="41">
        <f t="shared" si="2775"/>
        <v>0</v>
      </c>
      <c r="CE146" s="41">
        <f t="shared" si="2776"/>
        <v>0</v>
      </c>
      <c r="CF146" s="41">
        <f t="shared" si="2777"/>
        <v>0</v>
      </c>
      <c r="CG146" s="41">
        <f t="shared" si="2778"/>
        <v>0</v>
      </c>
      <c r="CH146" s="41">
        <f t="shared" si="2779"/>
        <v>0</v>
      </c>
      <c r="CI146" s="41">
        <f t="shared" si="2780"/>
        <v>0</v>
      </c>
      <c r="CJ146" s="42">
        <f t="shared" si="2781"/>
        <v>0</v>
      </c>
      <c r="CL146" s="36"/>
      <c r="CN146" s="95"/>
      <c r="CO146" s="41"/>
      <c r="CP146" s="41"/>
      <c r="CQ146" s="41"/>
      <c r="CR146" s="41"/>
      <c r="CS146" s="41"/>
      <c r="CT146" s="41"/>
      <c r="CU146" s="42"/>
      <c r="CV146" s="95"/>
      <c r="CW146" s="41"/>
      <c r="CX146" s="41"/>
      <c r="CY146" s="42"/>
      <c r="CZ146" s="95"/>
      <c r="DA146" s="41"/>
      <c r="DB146" s="41"/>
      <c r="DC146" s="41"/>
      <c r="DD146" s="41"/>
      <c r="DE146" s="42"/>
      <c r="DF146" s="95"/>
      <c r="DG146" s="41"/>
      <c r="DH146" s="41"/>
      <c r="DI146" s="41"/>
      <c r="DJ146" s="42"/>
      <c r="DK146" s="95"/>
      <c r="DL146" s="41"/>
      <c r="DM146" s="41"/>
      <c r="DN146" s="41"/>
      <c r="DO146" s="41"/>
      <c r="DP146" s="41"/>
      <c r="DQ146" s="41"/>
      <c r="DR146" s="41"/>
      <c r="DS146" s="41"/>
      <c r="DT146" s="41"/>
      <c r="DU146" s="41"/>
      <c r="DV146" s="42"/>
      <c r="DX146" s="138">
        <f t="shared" si="2819"/>
        <v>0</v>
      </c>
      <c r="DY146" s="34">
        <f t="shared" si="2820"/>
        <v>0</v>
      </c>
      <c r="DZ146" s="34">
        <f t="shared" si="2821"/>
        <v>0</v>
      </c>
      <c r="EA146" s="34">
        <f t="shared" si="2822"/>
        <v>0</v>
      </c>
      <c r="EB146" s="34">
        <f t="shared" si="2823"/>
        <v>0</v>
      </c>
      <c r="EC146" s="34">
        <f t="shared" si="2824"/>
        <v>0</v>
      </c>
      <c r="ED146" s="34">
        <f t="shared" si="2825"/>
        <v>0</v>
      </c>
      <c r="EE146" s="139">
        <f t="shared" si="2826"/>
        <v>0</v>
      </c>
      <c r="EF146" s="138">
        <f t="shared" si="2827"/>
        <v>6.3816209317166556E-2</v>
      </c>
      <c r="EG146" s="34">
        <f t="shared" si="2828"/>
        <v>0</v>
      </c>
      <c r="EH146" s="34">
        <f t="shared" si="2829"/>
        <v>0</v>
      </c>
      <c r="EI146" s="139">
        <f t="shared" si="2830"/>
        <v>0</v>
      </c>
      <c r="EJ146" s="138">
        <f t="shared" si="2831"/>
        <v>0</v>
      </c>
      <c r="EK146" s="34">
        <f t="shared" si="2832"/>
        <v>0</v>
      </c>
      <c r="EL146" s="34">
        <f t="shared" si="2833"/>
        <v>0</v>
      </c>
      <c r="EM146" s="34">
        <f t="shared" si="2834"/>
        <v>0</v>
      </c>
      <c r="EN146" s="34">
        <f t="shared" si="2835"/>
        <v>0</v>
      </c>
      <c r="EO146" s="139">
        <f t="shared" si="2836"/>
        <v>0</v>
      </c>
      <c r="EP146" s="138">
        <f t="shared" si="2837"/>
        <v>0</v>
      </c>
      <c r="EQ146" s="34">
        <f t="shared" si="2838"/>
        <v>0</v>
      </c>
      <c r="ER146" s="34">
        <f t="shared" si="2839"/>
        <v>0</v>
      </c>
      <c r="ES146" s="34">
        <f t="shared" si="2840"/>
        <v>0</v>
      </c>
      <c r="ET146" s="139">
        <f t="shared" si="2841"/>
        <v>0</v>
      </c>
      <c r="EU146" s="138">
        <f t="shared" si="2842"/>
        <v>0</v>
      </c>
      <c r="EV146" s="34">
        <f t="shared" si="2843"/>
        <v>0</v>
      </c>
      <c r="EW146" s="34">
        <f t="shared" si="2844"/>
        <v>0</v>
      </c>
      <c r="EX146" s="34">
        <f t="shared" si="2845"/>
        <v>0</v>
      </c>
      <c r="EY146" s="34">
        <f t="shared" si="2846"/>
        <v>0</v>
      </c>
      <c r="EZ146" s="34">
        <f t="shared" si="2847"/>
        <v>0</v>
      </c>
      <c r="FA146" s="34">
        <f t="shared" si="2848"/>
        <v>0</v>
      </c>
      <c r="FB146" s="34">
        <f t="shared" si="2849"/>
        <v>0</v>
      </c>
      <c r="FC146" s="34">
        <f t="shared" si="2850"/>
        <v>0</v>
      </c>
      <c r="FD146" s="34">
        <f t="shared" si="2851"/>
        <v>0</v>
      </c>
      <c r="FE146" s="34">
        <f t="shared" si="2852"/>
        <v>0</v>
      </c>
      <c r="FF146" s="139">
        <f t="shared" si="2853"/>
        <v>0</v>
      </c>
    </row>
    <row r="147" spans="2:162" x14ac:dyDescent="0.25">
      <c r="B147" s="127">
        <f t="shared" si="2816"/>
        <v>45610</v>
      </c>
      <c r="C147" s="266"/>
      <c r="D147" s="53">
        <v>6</v>
      </c>
      <c r="E147" s="129">
        <v>10.65</v>
      </c>
      <c r="F147" s="25"/>
      <c r="G147" s="25"/>
      <c r="H147" s="150">
        <v>6</v>
      </c>
      <c r="I147" s="24">
        <v>2</v>
      </c>
      <c r="J147" s="151">
        <v>1</v>
      </c>
      <c r="K147" s="151"/>
      <c r="L147" s="152">
        <v>10.3</v>
      </c>
      <c r="M147" s="152">
        <f t="shared" si="2817"/>
        <v>0</v>
      </c>
      <c r="N147" s="153">
        <f t="shared" si="2818"/>
        <v>33.99</v>
      </c>
      <c r="O147" s="25"/>
      <c r="P147" s="95">
        <v>1</v>
      </c>
      <c r="Q147" s="41"/>
      <c r="R147" s="41"/>
      <c r="S147" s="41"/>
      <c r="T147" s="41"/>
      <c r="U147" s="41"/>
      <c r="V147" s="41">
        <v>2</v>
      </c>
      <c r="W147" s="42"/>
      <c r="X147" s="95"/>
      <c r="Y147" s="41"/>
      <c r="Z147" s="41"/>
      <c r="AA147" s="42"/>
      <c r="AB147" s="95"/>
      <c r="AC147" s="41"/>
      <c r="AD147" s="41"/>
      <c r="AE147" s="41"/>
      <c r="AF147" s="41"/>
      <c r="AG147" s="42"/>
      <c r="AH147" s="95"/>
      <c r="AI147" s="41"/>
      <c r="AJ147" s="41"/>
      <c r="AK147" s="41"/>
      <c r="AL147" s="42"/>
      <c r="AM147" s="95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2"/>
      <c r="BB147" s="95">
        <f t="shared" si="2747"/>
        <v>3.1915492957746481</v>
      </c>
      <c r="BC147" s="41">
        <f t="shared" si="2748"/>
        <v>0</v>
      </c>
      <c r="BD147" s="41">
        <f t="shared" si="2749"/>
        <v>0</v>
      </c>
      <c r="BE147" s="41">
        <f t="shared" si="2750"/>
        <v>0</v>
      </c>
      <c r="BF147" s="41">
        <f t="shared" si="2751"/>
        <v>0</v>
      </c>
      <c r="BG147" s="41">
        <f t="shared" si="2752"/>
        <v>0</v>
      </c>
      <c r="BH147" s="41">
        <f t="shared" si="2753"/>
        <v>6.3830985915492962</v>
      </c>
      <c r="BI147" s="42">
        <f t="shared" si="2754"/>
        <v>0</v>
      </c>
      <c r="BJ147" s="95">
        <f t="shared" si="2755"/>
        <v>0</v>
      </c>
      <c r="BK147" s="41">
        <f t="shared" si="2756"/>
        <v>0</v>
      </c>
      <c r="BL147" s="41">
        <f t="shared" si="2757"/>
        <v>0</v>
      </c>
      <c r="BM147" s="42">
        <f t="shared" si="2758"/>
        <v>0</v>
      </c>
      <c r="BN147" s="95">
        <f t="shared" si="2759"/>
        <v>0</v>
      </c>
      <c r="BO147" s="41">
        <f t="shared" si="2760"/>
        <v>0</v>
      </c>
      <c r="BP147" s="41">
        <f t="shared" si="2761"/>
        <v>0</v>
      </c>
      <c r="BQ147" s="41">
        <f t="shared" si="2762"/>
        <v>0</v>
      </c>
      <c r="BR147" s="41">
        <f t="shared" si="2763"/>
        <v>0</v>
      </c>
      <c r="BS147" s="42">
        <f t="shared" si="2764"/>
        <v>0</v>
      </c>
      <c r="BT147" s="95">
        <f t="shared" si="2765"/>
        <v>0</v>
      </c>
      <c r="BU147" s="41">
        <f t="shared" si="2766"/>
        <v>0</v>
      </c>
      <c r="BV147" s="41">
        <f t="shared" si="2767"/>
        <v>0</v>
      </c>
      <c r="BW147" s="41">
        <f t="shared" si="2768"/>
        <v>0</v>
      </c>
      <c r="BX147" s="42">
        <f t="shared" si="2769"/>
        <v>0</v>
      </c>
      <c r="BY147" s="95">
        <f t="shared" si="2770"/>
        <v>0</v>
      </c>
      <c r="BZ147" s="41">
        <f t="shared" si="2771"/>
        <v>0</v>
      </c>
      <c r="CA147" s="41">
        <f t="shared" si="2772"/>
        <v>0</v>
      </c>
      <c r="CB147" s="41">
        <f t="shared" si="2773"/>
        <v>0</v>
      </c>
      <c r="CC147" s="41">
        <f t="shared" si="2774"/>
        <v>0</v>
      </c>
      <c r="CD147" s="41">
        <f t="shared" si="2775"/>
        <v>0</v>
      </c>
      <c r="CE147" s="41">
        <f t="shared" si="2776"/>
        <v>0</v>
      </c>
      <c r="CF147" s="41">
        <f t="shared" si="2777"/>
        <v>0</v>
      </c>
      <c r="CG147" s="41">
        <f t="shared" si="2778"/>
        <v>0</v>
      </c>
      <c r="CH147" s="41">
        <f t="shared" si="2779"/>
        <v>0</v>
      </c>
      <c r="CI147" s="41">
        <f t="shared" si="2780"/>
        <v>0</v>
      </c>
      <c r="CJ147" s="42">
        <f t="shared" si="2781"/>
        <v>0</v>
      </c>
      <c r="CL147" s="36"/>
      <c r="CN147" s="95"/>
      <c r="CO147" s="41"/>
      <c r="CP147" s="41"/>
      <c r="CQ147" s="41"/>
      <c r="CR147" s="41"/>
      <c r="CS147" s="41"/>
      <c r="CT147" s="41"/>
      <c r="CU147" s="42"/>
      <c r="CV147" s="95"/>
      <c r="CW147" s="41"/>
      <c r="CX147" s="41"/>
      <c r="CY147" s="42"/>
      <c r="CZ147" s="95"/>
      <c r="DA147" s="41"/>
      <c r="DB147" s="41"/>
      <c r="DC147" s="41"/>
      <c r="DD147" s="41"/>
      <c r="DE147" s="42"/>
      <c r="DF147" s="95"/>
      <c r="DG147" s="41"/>
      <c r="DH147" s="41"/>
      <c r="DI147" s="41"/>
      <c r="DJ147" s="42"/>
      <c r="DK147" s="95"/>
      <c r="DL147" s="41"/>
      <c r="DM147" s="41"/>
      <c r="DN147" s="41"/>
      <c r="DO147" s="41"/>
      <c r="DP147" s="41"/>
      <c r="DQ147" s="41"/>
      <c r="DR147" s="41"/>
      <c r="DS147" s="41"/>
      <c r="DT147" s="41"/>
      <c r="DU147" s="41"/>
      <c r="DV147" s="42"/>
      <c r="DX147" s="138">
        <f t="shared" si="2819"/>
        <v>9.3896713615023469E-2</v>
      </c>
      <c r="DY147" s="34">
        <f t="shared" si="2820"/>
        <v>0</v>
      </c>
      <c r="DZ147" s="34">
        <f t="shared" si="2821"/>
        <v>0</v>
      </c>
      <c r="EA147" s="34">
        <f t="shared" si="2822"/>
        <v>0</v>
      </c>
      <c r="EB147" s="34">
        <f t="shared" si="2823"/>
        <v>0</v>
      </c>
      <c r="EC147" s="34">
        <f t="shared" si="2824"/>
        <v>0</v>
      </c>
      <c r="ED147" s="34">
        <f t="shared" si="2825"/>
        <v>0.18779342723004694</v>
      </c>
      <c r="EE147" s="139">
        <f t="shared" si="2826"/>
        <v>0</v>
      </c>
      <c r="EF147" s="138">
        <f t="shared" si="2827"/>
        <v>0</v>
      </c>
      <c r="EG147" s="34">
        <f t="shared" si="2828"/>
        <v>0</v>
      </c>
      <c r="EH147" s="34">
        <f t="shared" si="2829"/>
        <v>0</v>
      </c>
      <c r="EI147" s="139">
        <f t="shared" si="2830"/>
        <v>0</v>
      </c>
      <c r="EJ147" s="138">
        <f t="shared" si="2831"/>
        <v>0</v>
      </c>
      <c r="EK147" s="34">
        <f t="shared" si="2832"/>
        <v>0</v>
      </c>
      <c r="EL147" s="34">
        <f t="shared" si="2833"/>
        <v>0</v>
      </c>
      <c r="EM147" s="34">
        <f t="shared" si="2834"/>
        <v>0</v>
      </c>
      <c r="EN147" s="34">
        <f t="shared" si="2835"/>
        <v>0</v>
      </c>
      <c r="EO147" s="139">
        <f t="shared" si="2836"/>
        <v>0</v>
      </c>
      <c r="EP147" s="138">
        <f t="shared" si="2837"/>
        <v>0</v>
      </c>
      <c r="EQ147" s="34">
        <f t="shared" si="2838"/>
        <v>0</v>
      </c>
      <c r="ER147" s="34">
        <f t="shared" si="2839"/>
        <v>0</v>
      </c>
      <c r="ES147" s="34">
        <f t="shared" si="2840"/>
        <v>0</v>
      </c>
      <c r="ET147" s="139">
        <f t="shared" si="2841"/>
        <v>0</v>
      </c>
      <c r="EU147" s="138">
        <f t="shared" si="2842"/>
        <v>0</v>
      </c>
      <c r="EV147" s="34">
        <f t="shared" si="2843"/>
        <v>0</v>
      </c>
      <c r="EW147" s="34">
        <f t="shared" si="2844"/>
        <v>0</v>
      </c>
      <c r="EX147" s="34">
        <f t="shared" si="2845"/>
        <v>0</v>
      </c>
      <c r="EY147" s="34">
        <f t="shared" si="2846"/>
        <v>0</v>
      </c>
      <c r="EZ147" s="34">
        <f t="shared" si="2847"/>
        <v>0</v>
      </c>
      <c r="FA147" s="34">
        <f t="shared" si="2848"/>
        <v>0</v>
      </c>
      <c r="FB147" s="34">
        <f t="shared" si="2849"/>
        <v>0</v>
      </c>
      <c r="FC147" s="34">
        <f t="shared" si="2850"/>
        <v>0</v>
      </c>
      <c r="FD147" s="34">
        <f t="shared" si="2851"/>
        <v>0</v>
      </c>
      <c r="FE147" s="34">
        <f t="shared" si="2852"/>
        <v>0</v>
      </c>
      <c r="FF147" s="139">
        <f t="shared" si="2853"/>
        <v>0</v>
      </c>
    </row>
    <row r="148" spans="2:162" x14ac:dyDescent="0.25">
      <c r="B148" s="127">
        <f t="shared" si="2816"/>
        <v>45611</v>
      </c>
      <c r="C148" s="266"/>
      <c r="D148" s="53"/>
      <c r="E148" s="129"/>
      <c r="F148" s="25"/>
      <c r="G148" s="25"/>
      <c r="H148" s="150"/>
      <c r="I148" s="24"/>
      <c r="J148" s="151"/>
      <c r="K148" s="151"/>
      <c r="L148" s="152"/>
      <c r="M148" s="152"/>
      <c r="N148" s="153"/>
      <c r="O148" s="25"/>
      <c r="P148" s="95"/>
      <c r="Q148" s="41"/>
      <c r="R148" s="41"/>
      <c r="S148" s="41"/>
      <c r="T148" s="41"/>
      <c r="U148" s="41"/>
      <c r="V148" s="41"/>
      <c r="W148" s="42"/>
      <c r="X148" s="95"/>
      <c r="Y148" s="41"/>
      <c r="Z148" s="41"/>
      <c r="AA148" s="42"/>
      <c r="AB148" s="95"/>
      <c r="AC148" s="41"/>
      <c r="AD148" s="41"/>
      <c r="AE148" s="41"/>
      <c r="AF148" s="41"/>
      <c r="AG148" s="42"/>
      <c r="AH148" s="95"/>
      <c r="AI148" s="41"/>
      <c r="AJ148" s="41"/>
      <c r="AK148" s="41"/>
      <c r="AL148" s="42"/>
      <c r="AM148" s="95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2"/>
      <c r="BB148" s="95">
        <f t="shared" si="2747"/>
        <v>0</v>
      </c>
      <c r="BC148" s="41">
        <f t="shared" si="2748"/>
        <v>0</v>
      </c>
      <c r="BD148" s="41">
        <f t="shared" si="2749"/>
        <v>0</v>
      </c>
      <c r="BE148" s="41">
        <f t="shared" si="2750"/>
        <v>0</v>
      </c>
      <c r="BF148" s="41">
        <f t="shared" si="2751"/>
        <v>0</v>
      </c>
      <c r="BG148" s="41">
        <f t="shared" si="2752"/>
        <v>0</v>
      </c>
      <c r="BH148" s="41">
        <f t="shared" si="2753"/>
        <v>0</v>
      </c>
      <c r="BI148" s="42">
        <f t="shared" si="2754"/>
        <v>0</v>
      </c>
      <c r="BJ148" s="95">
        <f t="shared" si="2755"/>
        <v>0</v>
      </c>
      <c r="BK148" s="41">
        <f t="shared" si="2756"/>
        <v>0</v>
      </c>
      <c r="BL148" s="41">
        <f t="shared" si="2757"/>
        <v>0</v>
      </c>
      <c r="BM148" s="42">
        <f t="shared" si="2758"/>
        <v>0</v>
      </c>
      <c r="BN148" s="95">
        <f t="shared" si="2759"/>
        <v>0</v>
      </c>
      <c r="BO148" s="41">
        <f t="shared" si="2760"/>
        <v>0</v>
      </c>
      <c r="BP148" s="41">
        <f t="shared" si="2761"/>
        <v>0</v>
      </c>
      <c r="BQ148" s="41">
        <f t="shared" si="2762"/>
        <v>0</v>
      </c>
      <c r="BR148" s="41">
        <f t="shared" si="2763"/>
        <v>0</v>
      </c>
      <c r="BS148" s="42">
        <f t="shared" si="2764"/>
        <v>0</v>
      </c>
      <c r="BT148" s="95">
        <f t="shared" si="2765"/>
        <v>0</v>
      </c>
      <c r="BU148" s="41">
        <f t="shared" si="2766"/>
        <v>0</v>
      </c>
      <c r="BV148" s="41">
        <f t="shared" si="2767"/>
        <v>0</v>
      </c>
      <c r="BW148" s="41">
        <f t="shared" si="2768"/>
        <v>0</v>
      </c>
      <c r="BX148" s="42">
        <f t="shared" si="2769"/>
        <v>0</v>
      </c>
      <c r="BY148" s="95">
        <f t="shared" si="2770"/>
        <v>0</v>
      </c>
      <c r="BZ148" s="41">
        <f t="shared" si="2771"/>
        <v>0</v>
      </c>
      <c r="CA148" s="41">
        <f t="shared" si="2772"/>
        <v>0</v>
      </c>
      <c r="CB148" s="41">
        <f t="shared" si="2773"/>
        <v>0</v>
      </c>
      <c r="CC148" s="41">
        <f t="shared" si="2774"/>
        <v>0</v>
      </c>
      <c r="CD148" s="41">
        <f t="shared" si="2775"/>
        <v>0</v>
      </c>
      <c r="CE148" s="41">
        <f t="shared" si="2776"/>
        <v>0</v>
      </c>
      <c r="CF148" s="41">
        <f t="shared" si="2777"/>
        <v>0</v>
      </c>
      <c r="CG148" s="41">
        <f t="shared" si="2778"/>
        <v>0</v>
      </c>
      <c r="CH148" s="41">
        <f t="shared" si="2779"/>
        <v>0</v>
      </c>
      <c r="CI148" s="41">
        <f t="shared" si="2780"/>
        <v>0</v>
      </c>
      <c r="CJ148" s="42">
        <f t="shared" si="2781"/>
        <v>0</v>
      </c>
      <c r="CL148" s="36"/>
      <c r="CN148" s="95"/>
      <c r="CO148" s="41"/>
      <c r="CP148" s="41"/>
      <c r="CQ148" s="41"/>
      <c r="CR148" s="41"/>
      <c r="CS148" s="41"/>
      <c r="CT148" s="41"/>
      <c r="CU148" s="42"/>
      <c r="CV148" s="95"/>
      <c r="CW148" s="41"/>
      <c r="CX148" s="41"/>
      <c r="CY148" s="42"/>
      <c r="CZ148" s="95"/>
      <c r="DA148" s="41"/>
      <c r="DB148" s="41"/>
      <c r="DC148" s="41"/>
      <c r="DD148" s="41"/>
      <c r="DE148" s="42"/>
      <c r="DF148" s="95"/>
      <c r="DG148" s="41"/>
      <c r="DH148" s="41"/>
      <c r="DI148" s="41"/>
      <c r="DJ148" s="42"/>
      <c r="DK148" s="95"/>
      <c r="DL148" s="41"/>
      <c r="DM148" s="41"/>
      <c r="DN148" s="41"/>
      <c r="DO148" s="41"/>
      <c r="DP148" s="41"/>
      <c r="DQ148" s="41"/>
      <c r="DR148" s="41"/>
      <c r="DS148" s="41"/>
      <c r="DT148" s="41"/>
      <c r="DU148" s="41"/>
      <c r="DV148" s="42"/>
      <c r="DX148" s="138"/>
      <c r="DY148" s="34"/>
      <c r="DZ148" s="34"/>
      <c r="EA148" s="34"/>
      <c r="EB148" s="34"/>
      <c r="EC148" s="34"/>
      <c r="ED148" s="34"/>
      <c r="EE148" s="139"/>
      <c r="EF148" s="138"/>
      <c r="EG148" s="34"/>
      <c r="EH148" s="34"/>
      <c r="EI148" s="139"/>
      <c r="EJ148" s="138"/>
      <c r="EK148" s="34"/>
      <c r="EL148" s="34"/>
      <c r="EM148" s="34"/>
      <c r="EN148" s="34"/>
      <c r="EO148" s="139"/>
      <c r="EP148" s="138"/>
      <c r="EQ148" s="34"/>
      <c r="ER148" s="34"/>
      <c r="ES148" s="34"/>
      <c r="ET148" s="139"/>
      <c r="EU148" s="138"/>
      <c r="EV148" s="34"/>
      <c r="EW148" s="34"/>
      <c r="EX148" s="34"/>
      <c r="EY148" s="34"/>
      <c r="EZ148" s="34"/>
      <c r="FA148" s="34"/>
      <c r="FB148" s="34"/>
      <c r="FC148" s="34"/>
      <c r="FD148" s="34"/>
      <c r="FE148" s="34"/>
      <c r="FF148" s="139"/>
    </row>
    <row r="149" spans="2:162" x14ac:dyDescent="0.25">
      <c r="B149" s="127">
        <f t="shared" si="2816"/>
        <v>45612</v>
      </c>
      <c r="C149" s="266"/>
      <c r="D149" s="53"/>
      <c r="E149" s="129"/>
      <c r="F149" s="25"/>
      <c r="G149" s="25"/>
      <c r="H149" s="150"/>
      <c r="I149" s="24"/>
      <c r="J149" s="151"/>
      <c r="K149" s="151"/>
      <c r="L149" s="152"/>
      <c r="M149" s="152"/>
      <c r="N149" s="153"/>
      <c r="O149" s="25"/>
      <c r="P149" s="95"/>
      <c r="Q149" s="41"/>
      <c r="R149" s="41"/>
      <c r="S149" s="41"/>
      <c r="T149" s="41"/>
      <c r="U149" s="41"/>
      <c r="V149" s="41"/>
      <c r="W149" s="42"/>
      <c r="X149" s="95"/>
      <c r="Y149" s="41"/>
      <c r="Z149" s="41"/>
      <c r="AA149" s="42"/>
      <c r="AB149" s="95"/>
      <c r="AC149" s="41"/>
      <c r="AD149" s="41"/>
      <c r="AE149" s="41"/>
      <c r="AF149" s="41"/>
      <c r="AG149" s="42"/>
      <c r="AH149" s="95"/>
      <c r="AI149" s="41"/>
      <c r="AJ149" s="41"/>
      <c r="AK149" s="41"/>
      <c r="AL149" s="42"/>
      <c r="AM149" s="95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2"/>
      <c r="BB149" s="95">
        <f t="shared" si="2747"/>
        <v>0</v>
      </c>
      <c r="BC149" s="41">
        <f t="shared" si="2748"/>
        <v>0</v>
      </c>
      <c r="BD149" s="41">
        <f t="shared" si="2749"/>
        <v>0</v>
      </c>
      <c r="BE149" s="41">
        <f t="shared" si="2750"/>
        <v>0</v>
      </c>
      <c r="BF149" s="41">
        <f t="shared" si="2751"/>
        <v>0</v>
      </c>
      <c r="BG149" s="41">
        <f t="shared" si="2752"/>
        <v>0</v>
      </c>
      <c r="BH149" s="41">
        <f t="shared" si="2753"/>
        <v>0</v>
      </c>
      <c r="BI149" s="42">
        <f t="shared" si="2754"/>
        <v>0</v>
      </c>
      <c r="BJ149" s="95">
        <f t="shared" si="2755"/>
        <v>0</v>
      </c>
      <c r="BK149" s="41">
        <f t="shared" si="2756"/>
        <v>0</v>
      </c>
      <c r="BL149" s="41">
        <f t="shared" si="2757"/>
        <v>0</v>
      </c>
      <c r="BM149" s="42">
        <f t="shared" si="2758"/>
        <v>0</v>
      </c>
      <c r="BN149" s="95">
        <f t="shared" si="2759"/>
        <v>0</v>
      </c>
      <c r="BO149" s="41">
        <f t="shared" si="2760"/>
        <v>0</v>
      </c>
      <c r="BP149" s="41">
        <f t="shared" si="2761"/>
        <v>0</v>
      </c>
      <c r="BQ149" s="41">
        <f t="shared" si="2762"/>
        <v>0</v>
      </c>
      <c r="BR149" s="41">
        <f t="shared" si="2763"/>
        <v>0</v>
      </c>
      <c r="BS149" s="42">
        <f t="shared" si="2764"/>
        <v>0</v>
      </c>
      <c r="BT149" s="95">
        <f t="shared" si="2765"/>
        <v>0</v>
      </c>
      <c r="BU149" s="41">
        <f t="shared" si="2766"/>
        <v>0</v>
      </c>
      <c r="BV149" s="41">
        <f t="shared" si="2767"/>
        <v>0</v>
      </c>
      <c r="BW149" s="41">
        <f t="shared" si="2768"/>
        <v>0</v>
      </c>
      <c r="BX149" s="42">
        <f t="shared" si="2769"/>
        <v>0</v>
      </c>
      <c r="BY149" s="95">
        <f t="shared" si="2770"/>
        <v>0</v>
      </c>
      <c r="BZ149" s="41">
        <f t="shared" si="2771"/>
        <v>0</v>
      </c>
      <c r="CA149" s="41">
        <f t="shared" si="2772"/>
        <v>0</v>
      </c>
      <c r="CB149" s="41">
        <f t="shared" si="2773"/>
        <v>0</v>
      </c>
      <c r="CC149" s="41">
        <f t="shared" si="2774"/>
        <v>0</v>
      </c>
      <c r="CD149" s="41">
        <f t="shared" si="2775"/>
        <v>0</v>
      </c>
      <c r="CE149" s="41">
        <f t="shared" si="2776"/>
        <v>0</v>
      </c>
      <c r="CF149" s="41">
        <f t="shared" si="2777"/>
        <v>0</v>
      </c>
      <c r="CG149" s="41">
        <f t="shared" si="2778"/>
        <v>0</v>
      </c>
      <c r="CH149" s="41">
        <f t="shared" si="2779"/>
        <v>0</v>
      </c>
      <c r="CI149" s="41">
        <f t="shared" si="2780"/>
        <v>0</v>
      </c>
      <c r="CJ149" s="42">
        <f t="shared" si="2781"/>
        <v>0</v>
      </c>
      <c r="CL149" s="36">
        <v>2</v>
      </c>
      <c r="CN149" s="95">
        <f t="shared" ref="CN149" si="2854">AVERAGE(BB149:BB150)*$CL149</f>
        <v>0</v>
      </c>
      <c r="CO149" s="41">
        <f t="shared" ref="CO149" si="2855">AVERAGE(BC149:BC150)*$CL149</f>
        <v>0</v>
      </c>
      <c r="CP149" s="41">
        <f t="shared" ref="CP149" si="2856">AVERAGE(BD149:BD150)*$CL149</f>
        <v>0</v>
      </c>
      <c r="CQ149" s="41">
        <f t="shared" ref="CQ149" si="2857">AVERAGE(BE149:BE150)*$CL149</f>
        <v>0</v>
      </c>
      <c r="CR149" s="41">
        <f t="shared" ref="CR149" si="2858">AVERAGE(BF149:BF150)*$CL149</f>
        <v>0</v>
      </c>
      <c r="CS149" s="41">
        <f t="shared" ref="CS149" si="2859">AVERAGE(BG149:BG150)*$CL149</f>
        <v>0</v>
      </c>
      <c r="CT149" s="41">
        <f t="shared" ref="CT149" si="2860">AVERAGE(BH149:BH150)*$CL149</f>
        <v>0</v>
      </c>
      <c r="CU149" s="42">
        <f t="shared" ref="CU149" si="2861">AVERAGE(BI149:BI150)*$CL149</f>
        <v>0</v>
      </c>
      <c r="CV149" s="95">
        <f t="shared" ref="CV149" si="2862">AVERAGE(BJ149:BJ150)*$CL149</f>
        <v>0</v>
      </c>
      <c r="CW149" s="41">
        <f t="shared" ref="CW149" si="2863">AVERAGE(BK149:BK150)*$CL149</f>
        <v>0</v>
      </c>
      <c r="CX149" s="41">
        <f t="shared" ref="CX149" si="2864">AVERAGE(BL149:BL150)*$CL149</f>
        <v>0</v>
      </c>
      <c r="CY149" s="42">
        <f t="shared" ref="CY149" si="2865">AVERAGE(BM149:BM150)*$CL149</f>
        <v>0</v>
      </c>
      <c r="CZ149" s="95">
        <f t="shared" ref="CZ149" si="2866">AVERAGE(BN149:BN150)*$CL149</f>
        <v>0</v>
      </c>
      <c r="DA149" s="41">
        <f t="shared" ref="DA149" si="2867">AVERAGE(BO149:BO150)*$CL149</f>
        <v>0</v>
      </c>
      <c r="DB149" s="41">
        <f t="shared" ref="DB149" si="2868">AVERAGE(BP149:BP150)*$CL149</f>
        <v>0</v>
      </c>
      <c r="DC149" s="41">
        <f t="shared" ref="DC149" si="2869">AVERAGE(BQ149:BQ150)*$CL149</f>
        <v>0</v>
      </c>
      <c r="DD149" s="41">
        <f t="shared" ref="DD149" si="2870">AVERAGE(BR149:BR150)*$CL149</f>
        <v>0</v>
      </c>
      <c r="DE149" s="42">
        <f t="shared" ref="DE149" si="2871">AVERAGE(BS149:BS150)*$CL149</f>
        <v>0</v>
      </c>
      <c r="DF149" s="95">
        <f t="shared" ref="DF149" si="2872">AVERAGE(BT149:BT150)*$CL149</f>
        <v>0</v>
      </c>
      <c r="DG149" s="41">
        <f t="shared" ref="DG149" si="2873">AVERAGE(BU149:BU150)*$CL149</f>
        <v>0</v>
      </c>
      <c r="DH149" s="41">
        <f t="shared" ref="DH149" si="2874">AVERAGE(BV149:BV150)*$CL149</f>
        <v>0</v>
      </c>
      <c r="DI149" s="41">
        <f t="shared" ref="DI149" si="2875">AVERAGE(BW149:BW150)*$CL149</f>
        <v>0</v>
      </c>
      <c r="DJ149" s="42">
        <f t="shared" ref="DJ149" si="2876">AVERAGE(BX149:BX150)*$CL149</f>
        <v>0</v>
      </c>
      <c r="DK149" s="95">
        <f t="shared" ref="DK149" si="2877">AVERAGE(BY149:BY150)*$CL149</f>
        <v>0</v>
      </c>
      <c r="DL149" s="41">
        <f t="shared" ref="DL149" si="2878">AVERAGE(BZ149:BZ150)*$CL149</f>
        <v>0</v>
      </c>
      <c r="DM149" s="41">
        <f t="shared" ref="DM149" si="2879">AVERAGE(CA149:CA150)*$CL149</f>
        <v>0</v>
      </c>
      <c r="DN149" s="41">
        <f t="shared" ref="DN149" si="2880">AVERAGE(CB149:CB150)*$CL149</f>
        <v>0</v>
      </c>
      <c r="DO149" s="41">
        <f t="shared" ref="DO149" si="2881">AVERAGE(CC149:CC150)*$CL149</f>
        <v>0</v>
      </c>
      <c r="DP149" s="41">
        <f t="shared" ref="DP149" si="2882">AVERAGE(CD149:CD150)*$CL149</f>
        <v>0</v>
      </c>
      <c r="DQ149" s="41">
        <f t="shared" ref="DQ149" si="2883">AVERAGE(CE149:CE150)*$CL149</f>
        <v>0</v>
      </c>
      <c r="DR149" s="41">
        <f t="shared" ref="DR149" si="2884">AVERAGE(CF149:CF150)*$CL149</f>
        <v>0</v>
      </c>
      <c r="DS149" s="41">
        <f t="shared" ref="DS149" si="2885">AVERAGE(CG149:CG150)*$CL149</f>
        <v>0</v>
      </c>
      <c r="DT149" s="41">
        <f t="shared" ref="DT149" si="2886">AVERAGE(CH149:CH150)*$CL149</f>
        <v>0</v>
      </c>
      <c r="DU149" s="41">
        <f t="shared" ref="DU149" si="2887">AVERAGE(CI149:CI150)*$CL149</f>
        <v>0</v>
      </c>
      <c r="DV149" s="42">
        <f t="shared" ref="DV149" si="2888">AVERAGE(CJ149:CJ150)*$CL149</f>
        <v>0</v>
      </c>
      <c r="DX149" s="138"/>
      <c r="DY149" s="34"/>
      <c r="DZ149" s="34"/>
      <c r="EA149" s="34"/>
      <c r="EB149" s="34"/>
      <c r="EC149" s="34"/>
      <c r="ED149" s="34"/>
      <c r="EE149" s="139"/>
      <c r="EF149" s="138"/>
      <c r="EG149" s="34"/>
      <c r="EH149" s="34"/>
      <c r="EI149" s="139"/>
      <c r="EJ149" s="138"/>
      <c r="EK149" s="34"/>
      <c r="EL149" s="34"/>
      <c r="EM149" s="34"/>
      <c r="EN149" s="34"/>
      <c r="EO149" s="139"/>
      <c r="EP149" s="138"/>
      <c r="EQ149" s="34"/>
      <c r="ER149" s="34"/>
      <c r="ES149" s="34"/>
      <c r="ET149" s="139"/>
      <c r="EU149" s="138"/>
      <c r="EV149" s="34"/>
      <c r="EW149" s="34"/>
      <c r="EX149" s="34"/>
      <c r="EY149" s="34"/>
      <c r="EZ149" s="34"/>
      <c r="FA149" s="34"/>
      <c r="FB149" s="34"/>
      <c r="FC149" s="34"/>
      <c r="FD149" s="34"/>
      <c r="FE149" s="34"/>
      <c r="FF149" s="139"/>
    </row>
    <row r="150" spans="2:162" ht="16.5" thickBot="1" x14ac:dyDescent="0.3">
      <c r="B150" s="127">
        <f t="shared" si="2816"/>
        <v>45613</v>
      </c>
      <c r="C150" s="267"/>
      <c r="D150" s="100"/>
      <c r="E150" s="131"/>
      <c r="F150" s="25"/>
      <c r="G150" s="25"/>
      <c r="H150" s="171"/>
      <c r="I150" s="172"/>
      <c r="J150" s="173"/>
      <c r="K150" s="173"/>
      <c r="L150" s="174"/>
      <c r="M150" s="174"/>
      <c r="N150" s="175"/>
      <c r="O150" s="25"/>
      <c r="P150" s="96"/>
      <c r="Q150" s="76"/>
      <c r="R150" s="76"/>
      <c r="S150" s="76"/>
      <c r="T150" s="76"/>
      <c r="U150" s="76"/>
      <c r="V150" s="76"/>
      <c r="W150" s="77"/>
      <c r="X150" s="96"/>
      <c r="Y150" s="76"/>
      <c r="Z150" s="76"/>
      <c r="AA150" s="77"/>
      <c r="AB150" s="96"/>
      <c r="AC150" s="76"/>
      <c r="AD150" s="76"/>
      <c r="AE150" s="76"/>
      <c r="AF150" s="76"/>
      <c r="AG150" s="77"/>
      <c r="AH150" s="96"/>
      <c r="AI150" s="76"/>
      <c r="AJ150" s="76"/>
      <c r="AK150" s="76"/>
      <c r="AL150" s="77"/>
      <c r="AM150" s="96"/>
      <c r="AN150" s="76"/>
      <c r="AO150" s="76"/>
      <c r="AP150" s="76"/>
      <c r="AQ150" s="76"/>
      <c r="AR150" s="76"/>
      <c r="AS150" s="76"/>
      <c r="AT150" s="76"/>
      <c r="AU150" s="76"/>
      <c r="AV150" s="76"/>
      <c r="AW150" s="76"/>
      <c r="AX150" s="76"/>
      <c r="AY150" s="76"/>
      <c r="AZ150" s="77"/>
      <c r="BB150" s="96">
        <f t="shared" si="2747"/>
        <v>0</v>
      </c>
      <c r="BC150" s="76">
        <f t="shared" si="2748"/>
        <v>0</v>
      </c>
      <c r="BD150" s="76">
        <f t="shared" si="2749"/>
        <v>0</v>
      </c>
      <c r="BE150" s="76">
        <f t="shared" si="2750"/>
        <v>0</v>
      </c>
      <c r="BF150" s="76">
        <f t="shared" si="2751"/>
        <v>0</v>
      </c>
      <c r="BG150" s="76">
        <f t="shared" si="2752"/>
        <v>0</v>
      </c>
      <c r="BH150" s="76">
        <f t="shared" si="2753"/>
        <v>0</v>
      </c>
      <c r="BI150" s="77">
        <f t="shared" si="2754"/>
        <v>0</v>
      </c>
      <c r="BJ150" s="96">
        <f t="shared" si="2755"/>
        <v>0</v>
      </c>
      <c r="BK150" s="76">
        <f t="shared" si="2756"/>
        <v>0</v>
      </c>
      <c r="BL150" s="76">
        <f t="shared" si="2757"/>
        <v>0</v>
      </c>
      <c r="BM150" s="77">
        <f t="shared" si="2758"/>
        <v>0</v>
      </c>
      <c r="BN150" s="96">
        <f t="shared" si="2759"/>
        <v>0</v>
      </c>
      <c r="BO150" s="76">
        <f t="shared" si="2760"/>
        <v>0</v>
      </c>
      <c r="BP150" s="76">
        <f t="shared" si="2761"/>
        <v>0</v>
      </c>
      <c r="BQ150" s="76">
        <f t="shared" si="2762"/>
        <v>0</v>
      </c>
      <c r="BR150" s="76">
        <f t="shared" si="2763"/>
        <v>0</v>
      </c>
      <c r="BS150" s="77">
        <f t="shared" si="2764"/>
        <v>0</v>
      </c>
      <c r="BT150" s="96">
        <f t="shared" si="2765"/>
        <v>0</v>
      </c>
      <c r="BU150" s="76">
        <f t="shared" si="2766"/>
        <v>0</v>
      </c>
      <c r="BV150" s="76">
        <f t="shared" si="2767"/>
        <v>0</v>
      </c>
      <c r="BW150" s="76">
        <f t="shared" si="2768"/>
        <v>0</v>
      </c>
      <c r="BX150" s="77">
        <f t="shared" si="2769"/>
        <v>0</v>
      </c>
      <c r="BY150" s="96">
        <f t="shared" si="2770"/>
        <v>0</v>
      </c>
      <c r="BZ150" s="76">
        <f t="shared" si="2771"/>
        <v>0</v>
      </c>
      <c r="CA150" s="76">
        <f t="shared" si="2772"/>
        <v>0</v>
      </c>
      <c r="CB150" s="76">
        <f t="shared" si="2773"/>
        <v>0</v>
      </c>
      <c r="CC150" s="76">
        <f t="shared" si="2774"/>
        <v>0</v>
      </c>
      <c r="CD150" s="76">
        <f t="shared" si="2775"/>
        <v>0</v>
      </c>
      <c r="CE150" s="76">
        <f t="shared" si="2776"/>
        <v>0</v>
      </c>
      <c r="CF150" s="76">
        <f t="shared" si="2777"/>
        <v>0</v>
      </c>
      <c r="CG150" s="76">
        <f t="shared" si="2778"/>
        <v>0</v>
      </c>
      <c r="CH150" s="76">
        <f t="shared" si="2779"/>
        <v>0</v>
      </c>
      <c r="CI150" s="76">
        <f t="shared" si="2780"/>
        <v>0</v>
      </c>
      <c r="CJ150" s="77">
        <f t="shared" si="2781"/>
        <v>0</v>
      </c>
      <c r="CN150" s="96"/>
      <c r="CO150" s="76"/>
      <c r="CP150" s="76"/>
      <c r="CQ150" s="76"/>
      <c r="CR150" s="76"/>
      <c r="CS150" s="76"/>
      <c r="CT150" s="76"/>
      <c r="CU150" s="77"/>
      <c r="CV150" s="96"/>
      <c r="CW150" s="76"/>
      <c r="CX150" s="76"/>
      <c r="CY150" s="77"/>
      <c r="CZ150" s="96"/>
      <c r="DA150" s="76"/>
      <c r="DB150" s="76"/>
      <c r="DC150" s="76"/>
      <c r="DD150" s="76"/>
      <c r="DE150" s="77"/>
      <c r="DF150" s="96"/>
      <c r="DG150" s="76"/>
      <c r="DH150" s="76"/>
      <c r="DI150" s="76"/>
      <c r="DJ150" s="77"/>
      <c r="DK150" s="96"/>
      <c r="DL150" s="76"/>
      <c r="DM150" s="76"/>
      <c r="DN150" s="76"/>
      <c r="DO150" s="76"/>
      <c r="DP150" s="76"/>
      <c r="DQ150" s="76"/>
      <c r="DR150" s="76"/>
      <c r="DS150" s="76"/>
      <c r="DT150" s="76"/>
      <c r="DU150" s="76"/>
      <c r="DV150" s="77"/>
      <c r="DX150" s="140"/>
      <c r="DY150" s="141"/>
      <c r="DZ150" s="141"/>
      <c r="EA150" s="141"/>
      <c r="EB150" s="141"/>
      <c r="EC150" s="141"/>
      <c r="ED150" s="141"/>
      <c r="EE150" s="142"/>
      <c r="EF150" s="140"/>
      <c r="EG150" s="141"/>
      <c r="EH150" s="141"/>
      <c r="EI150" s="142"/>
      <c r="EJ150" s="140"/>
      <c r="EK150" s="141"/>
      <c r="EL150" s="141"/>
      <c r="EM150" s="141"/>
      <c r="EN150" s="141"/>
      <c r="EO150" s="142"/>
      <c r="EP150" s="140"/>
      <c r="EQ150" s="141"/>
      <c r="ER150" s="141"/>
      <c r="ES150" s="141"/>
      <c r="ET150" s="142"/>
      <c r="EU150" s="140"/>
      <c r="EV150" s="141"/>
      <c r="EW150" s="141"/>
      <c r="EX150" s="141"/>
      <c r="EY150" s="141"/>
      <c r="EZ150" s="141"/>
      <c r="FA150" s="141"/>
      <c r="FB150" s="141"/>
      <c r="FC150" s="141"/>
      <c r="FD150" s="141"/>
      <c r="FE150" s="141"/>
      <c r="FF150" s="142"/>
    </row>
    <row r="151" spans="2:162" ht="17.25" thickTop="1" thickBot="1" x14ac:dyDescent="0.3">
      <c r="B151" s="178"/>
      <c r="C151" s="268"/>
      <c r="D151" s="101">
        <f t="shared" ref="D151:E151" si="2889">SUM(D144:D150)</f>
        <v>15</v>
      </c>
      <c r="E151" s="134">
        <f t="shared" si="2889"/>
        <v>46.73</v>
      </c>
      <c r="F151" s="146"/>
      <c r="G151" s="146"/>
      <c r="H151" s="43"/>
      <c r="I151" s="39"/>
      <c r="J151" s="39"/>
      <c r="K151" s="39"/>
      <c r="L151" s="184"/>
      <c r="M151" s="185"/>
      <c r="N151" s="170">
        <f>AVERAGE(N144:N148)*5</f>
        <v>141.99166666666667</v>
      </c>
      <c r="O151" s="146"/>
      <c r="P151" s="68">
        <f t="shared" ref="P151:AZ151" si="2890">SUM(P144:P150)</f>
        <v>2</v>
      </c>
      <c r="Q151" s="65">
        <f t="shared" si="2890"/>
        <v>0</v>
      </c>
      <c r="R151" s="65">
        <f t="shared" si="2890"/>
        <v>0</v>
      </c>
      <c r="S151" s="65">
        <f t="shared" si="2890"/>
        <v>0</v>
      </c>
      <c r="T151" s="65">
        <f t="shared" si="2890"/>
        <v>0</v>
      </c>
      <c r="U151" s="65">
        <f t="shared" si="2890"/>
        <v>0</v>
      </c>
      <c r="V151" s="65">
        <f t="shared" si="2890"/>
        <v>3</v>
      </c>
      <c r="W151" s="66">
        <f t="shared" si="2890"/>
        <v>0</v>
      </c>
      <c r="X151" s="68">
        <f t="shared" si="2890"/>
        <v>1</v>
      </c>
      <c r="Y151" s="65">
        <f t="shared" si="2890"/>
        <v>0</v>
      </c>
      <c r="Z151" s="65">
        <f t="shared" si="2890"/>
        <v>0</v>
      </c>
      <c r="AA151" s="66">
        <f t="shared" si="2890"/>
        <v>0</v>
      </c>
      <c r="AB151" s="68">
        <f t="shared" si="2890"/>
        <v>0</v>
      </c>
      <c r="AC151" s="65">
        <f t="shared" si="2890"/>
        <v>0</v>
      </c>
      <c r="AD151" s="65">
        <f t="shared" si="2890"/>
        <v>0</v>
      </c>
      <c r="AE151" s="65">
        <f t="shared" si="2890"/>
        <v>0</v>
      </c>
      <c r="AF151" s="65">
        <f t="shared" si="2890"/>
        <v>0</v>
      </c>
      <c r="AG151" s="66">
        <f t="shared" si="2890"/>
        <v>0</v>
      </c>
      <c r="AH151" s="68">
        <f t="shared" si="2890"/>
        <v>0</v>
      </c>
      <c r="AI151" s="65">
        <f t="shared" si="2890"/>
        <v>0</v>
      </c>
      <c r="AJ151" s="65">
        <f t="shared" si="2890"/>
        <v>0</v>
      </c>
      <c r="AK151" s="65">
        <f t="shared" si="2890"/>
        <v>0</v>
      </c>
      <c r="AL151" s="66">
        <f t="shared" si="2890"/>
        <v>0</v>
      </c>
      <c r="AM151" s="68">
        <f t="shared" si="2890"/>
        <v>0</v>
      </c>
      <c r="AN151" s="65">
        <f t="shared" si="2890"/>
        <v>0</v>
      </c>
      <c r="AO151" s="65">
        <f t="shared" si="2890"/>
        <v>0</v>
      </c>
      <c r="AP151" s="65">
        <f t="shared" si="2890"/>
        <v>0</v>
      </c>
      <c r="AQ151" s="65">
        <f t="shared" si="2890"/>
        <v>0</v>
      </c>
      <c r="AR151" s="65">
        <f t="shared" si="2890"/>
        <v>0</v>
      </c>
      <c r="AS151" s="65">
        <f t="shared" si="2890"/>
        <v>0</v>
      </c>
      <c r="AT151" s="65">
        <f t="shared" si="2890"/>
        <v>0</v>
      </c>
      <c r="AU151" s="65">
        <f t="shared" si="2890"/>
        <v>0</v>
      </c>
      <c r="AV151" s="65">
        <f t="shared" si="2890"/>
        <v>0</v>
      </c>
      <c r="AW151" s="65">
        <f t="shared" si="2890"/>
        <v>0</v>
      </c>
      <c r="AX151" s="65">
        <f t="shared" si="2890"/>
        <v>0</v>
      </c>
      <c r="AY151" s="65">
        <f t="shared" si="2890"/>
        <v>0</v>
      </c>
      <c r="AZ151" s="66">
        <f t="shared" si="2890"/>
        <v>0</v>
      </c>
      <c r="BB151" s="68">
        <f t="shared" ref="BB151:CJ151" si="2891">SUM(BB144:BB150)</f>
        <v>4.312568404054903</v>
      </c>
      <c r="BC151" s="65">
        <f t="shared" si="2891"/>
        <v>0</v>
      </c>
      <c r="BD151" s="65">
        <f t="shared" si="2891"/>
        <v>0</v>
      </c>
      <c r="BE151" s="65">
        <f t="shared" si="2891"/>
        <v>0</v>
      </c>
      <c r="BF151" s="65">
        <f t="shared" si="2891"/>
        <v>0</v>
      </c>
      <c r="BG151" s="65">
        <f t="shared" si="2891"/>
        <v>0</v>
      </c>
      <c r="BH151" s="65">
        <f t="shared" si="2891"/>
        <v>7.5041176998295516</v>
      </c>
      <c r="BI151" s="66">
        <f t="shared" si="2891"/>
        <v>0</v>
      </c>
      <c r="BJ151" s="68">
        <f t="shared" si="2891"/>
        <v>1.8075941289087429</v>
      </c>
      <c r="BK151" s="65">
        <f t="shared" si="2891"/>
        <v>0</v>
      </c>
      <c r="BL151" s="65">
        <f t="shared" si="2891"/>
        <v>0</v>
      </c>
      <c r="BM151" s="66">
        <f t="shared" si="2891"/>
        <v>0</v>
      </c>
      <c r="BN151" s="68">
        <f t="shared" si="2891"/>
        <v>0</v>
      </c>
      <c r="BO151" s="65">
        <f t="shared" si="2891"/>
        <v>0</v>
      </c>
      <c r="BP151" s="65">
        <f t="shared" si="2891"/>
        <v>0</v>
      </c>
      <c r="BQ151" s="65">
        <f t="shared" si="2891"/>
        <v>0</v>
      </c>
      <c r="BR151" s="65">
        <f t="shared" si="2891"/>
        <v>0</v>
      </c>
      <c r="BS151" s="66">
        <f t="shared" si="2891"/>
        <v>0</v>
      </c>
      <c r="BT151" s="68">
        <f t="shared" si="2891"/>
        <v>0</v>
      </c>
      <c r="BU151" s="65">
        <f t="shared" si="2891"/>
        <v>0</v>
      </c>
      <c r="BV151" s="65">
        <f t="shared" si="2891"/>
        <v>0</v>
      </c>
      <c r="BW151" s="65">
        <f t="shared" si="2891"/>
        <v>0</v>
      </c>
      <c r="BX151" s="66">
        <f t="shared" si="2891"/>
        <v>0</v>
      </c>
      <c r="BY151" s="68">
        <f t="shared" si="2891"/>
        <v>0</v>
      </c>
      <c r="BZ151" s="65">
        <f t="shared" si="2891"/>
        <v>0</v>
      </c>
      <c r="CA151" s="65">
        <f t="shared" si="2891"/>
        <v>0</v>
      </c>
      <c r="CB151" s="65">
        <f t="shared" si="2891"/>
        <v>0</v>
      </c>
      <c r="CC151" s="65">
        <f t="shared" si="2891"/>
        <v>0</v>
      </c>
      <c r="CD151" s="65">
        <f t="shared" si="2891"/>
        <v>0</v>
      </c>
      <c r="CE151" s="65">
        <f t="shared" si="2891"/>
        <v>0</v>
      </c>
      <c r="CF151" s="65">
        <f t="shared" si="2891"/>
        <v>0</v>
      </c>
      <c r="CG151" s="65">
        <f t="shared" si="2891"/>
        <v>0</v>
      </c>
      <c r="CH151" s="65">
        <f t="shared" si="2891"/>
        <v>0</v>
      </c>
      <c r="CI151" s="65">
        <f t="shared" si="2891"/>
        <v>0</v>
      </c>
      <c r="CJ151" s="66">
        <f t="shared" si="2891"/>
        <v>0</v>
      </c>
      <c r="CN151" s="68">
        <f t="shared" ref="CN151:DV151" si="2892">SUM(CN144:CN150)</f>
        <v>4.312568404054903</v>
      </c>
      <c r="CO151" s="65">
        <f t="shared" si="2892"/>
        <v>0</v>
      </c>
      <c r="CP151" s="65">
        <f t="shared" si="2892"/>
        <v>0</v>
      </c>
      <c r="CQ151" s="65">
        <f t="shared" si="2892"/>
        <v>0</v>
      </c>
      <c r="CR151" s="65">
        <f t="shared" si="2892"/>
        <v>0</v>
      </c>
      <c r="CS151" s="65">
        <f t="shared" si="2892"/>
        <v>0</v>
      </c>
      <c r="CT151" s="65">
        <f t="shared" si="2892"/>
        <v>7.5041176998295516</v>
      </c>
      <c r="CU151" s="66">
        <f t="shared" si="2892"/>
        <v>0</v>
      </c>
      <c r="CV151" s="68">
        <f t="shared" si="2892"/>
        <v>1.8075941289087429</v>
      </c>
      <c r="CW151" s="65">
        <f t="shared" si="2892"/>
        <v>0</v>
      </c>
      <c r="CX151" s="65">
        <f t="shared" si="2892"/>
        <v>0</v>
      </c>
      <c r="CY151" s="66">
        <f t="shared" si="2892"/>
        <v>0</v>
      </c>
      <c r="CZ151" s="68">
        <f t="shared" si="2892"/>
        <v>0</v>
      </c>
      <c r="DA151" s="65">
        <f t="shared" si="2892"/>
        <v>0</v>
      </c>
      <c r="DB151" s="65">
        <f t="shared" si="2892"/>
        <v>0</v>
      </c>
      <c r="DC151" s="65">
        <f t="shared" si="2892"/>
        <v>0</v>
      </c>
      <c r="DD151" s="65">
        <f t="shared" si="2892"/>
        <v>0</v>
      </c>
      <c r="DE151" s="66">
        <f t="shared" si="2892"/>
        <v>0</v>
      </c>
      <c r="DF151" s="68">
        <f t="shared" si="2892"/>
        <v>0</v>
      </c>
      <c r="DG151" s="65">
        <f t="shared" si="2892"/>
        <v>0</v>
      </c>
      <c r="DH151" s="65">
        <f t="shared" si="2892"/>
        <v>0</v>
      </c>
      <c r="DI151" s="65">
        <f t="shared" si="2892"/>
        <v>0</v>
      </c>
      <c r="DJ151" s="66">
        <f t="shared" si="2892"/>
        <v>0</v>
      </c>
      <c r="DK151" s="68">
        <f t="shared" si="2892"/>
        <v>0</v>
      </c>
      <c r="DL151" s="65">
        <f t="shared" si="2892"/>
        <v>0</v>
      </c>
      <c r="DM151" s="65">
        <f t="shared" si="2892"/>
        <v>0</v>
      </c>
      <c r="DN151" s="65">
        <f t="shared" si="2892"/>
        <v>0</v>
      </c>
      <c r="DO151" s="65">
        <f t="shared" si="2892"/>
        <v>0</v>
      </c>
      <c r="DP151" s="65">
        <f t="shared" si="2892"/>
        <v>0</v>
      </c>
      <c r="DQ151" s="65">
        <f t="shared" si="2892"/>
        <v>0</v>
      </c>
      <c r="DR151" s="65">
        <f t="shared" si="2892"/>
        <v>0</v>
      </c>
      <c r="DS151" s="65">
        <f t="shared" si="2892"/>
        <v>0</v>
      </c>
      <c r="DT151" s="65">
        <f t="shared" si="2892"/>
        <v>0</v>
      </c>
      <c r="DU151" s="65">
        <f t="shared" si="2892"/>
        <v>0</v>
      </c>
      <c r="DV151" s="66">
        <f t="shared" si="2892"/>
        <v>0</v>
      </c>
      <c r="DX151" s="143"/>
      <c r="DY151" s="144"/>
      <c r="DZ151" s="144"/>
      <c r="EA151" s="144"/>
      <c r="EB151" s="144"/>
      <c r="EC151" s="144"/>
      <c r="ED151" s="144"/>
      <c r="EE151" s="145"/>
      <c r="EF151" s="143"/>
      <c r="EG151" s="144"/>
      <c r="EH151" s="144"/>
      <c r="EI151" s="145"/>
      <c r="EJ151" s="143"/>
      <c r="EK151" s="144"/>
      <c r="EL151" s="144"/>
      <c r="EM151" s="144"/>
      <c r="EN151" s="144"/>
      <c r="EO151" s="144"/>
      <c r="EP151" s="143"/>
      <c r="EQ151" s="144"/>
      <c r="ER151" s="144"/>
      <c r="ES151" s="144"/>
      <c r="ET151" s="145"/>
      <c r="EU151" s="143"/>
      <c r="EV151" s="144"/>
      <c r="EW151" s="144"/>
      <c r="EX151" s="144"/>
      <c r="EY151" s="144"/>
      <c r="EZ151" s="144"/>
      <c r="FA151" s="144"/>
      <c r="FB151" s="144"/>
      <c r="FC151" s="144"/>
      <c r="FD151" s="144"/>
      <c r="FE151" s="144"/>
      <c r="FF151" s="145"/>
    </row>
    <row r="152" spans="2:162" ht="16.5" thickBot="1" x14ac:dyDescent="0.3">
      <c r="L152" s="253"/>
    </row>
    <row r="153" spans="2:162" x14ac:dyDescent="0.25">
      <c r="B153" s="176">
        <f>B144+7</f>
        <v>45614</v>
      </c>
      <c r="C153" s="265"/>
      <c r="D153" s="103">
        <v>4</v>
      </c>
      <c r="E153" s="156">
        <v>23.42</v>
      </c>
      <c r="F153" s="25"/>
      <c r="G153" s="25"/>
      <c r="H153" s="179">
        <v>4</v>
      </c>
      <c r="I153" s="180">
        <v>2</v>
      </c>
      <c r="J153" s="181">
        <v>1</v>
      </c>
      <c r="K153" s="181"/>
      <c r="L153" s="182">
        <v>10.1</v>
      </c>
      <c r="M153" s="182">
        <f t="shared" ref="M153:M158" si="2893">H153/I153*K153*L153*1.5</f>
        <v>0</v>
      </c>
      <c r="N153" s="183">
        <f t="shared" ref="N153:N158" si="2894">H153/I153*J153*L153*N$4</f>
        <v>22.220000000000002</v>
      </c>
      <c r="O153" s="25"/>
      <c r="P153" s="157"/>
      <c r="Q153" s="158">
        <v>1</v>
      </c>
      <c r="R153" s="158"/>
      <c r="S153" s="158"/>
      <c r="T153" s="158"/>
      <c r="U153" s="158"/>
      <c r="V153" s="158"/>
      <c r="W153" s="159"/>
      <c r="X153" s="157"/>
      <c r="Y153" s="158"/>
      <c r="Z153" s="158"/>
      <c r="AA153" s="159"/>
      <c r="AB153" s="157"/>
      <c r="AC153" s="158"/>
      <c r="AD153" s="158"/>
      <c r="AE153" s="158"/>
      <c r="AF153" s="158"/>
      <c r="AG153" s="159"/>
      <c r="AH153" s="157"/>
      <c r="AI153" s="158"/>
      <c r="AJ153" s="158"/>
      <c r="AK153" s="158"/>
      <c r="AL153" s="159"/>
      <c r="AM153" s="157"/>
      <c r="AN153" s="158"/>
      <c r="AO153" s="158"/>
      <c r="AP153" s="158"/>
      <c r="AQ153" s="158"/>
      <c r="AR153" s="158"/>
      <c r="AS153" s="158"/>
      <c r="AT153" s="158"/>
      <c r="AU153" s="158"/>
      <c r="AV153" s="158"/>
      <c r="AW153" s="158"/>
      <c r="AX153" s="158"/>
      <c r="AY153" s="158"/>
      <c r="AZ153" s="159"/>
      <c r="BB153" s="157">
        <f t="shared" ref="BB153:BB159" si="2895">$N153*DX153</f>
        <v>0</v>
      </c>
      <c r="BC153" s="158">
        <f t="shared" ref="BC153:BC159" si="2896">$N153*DY153</f>
        <v>0</v>
      </c>
      <c r="BD153" s="158">
        <f t="shared" ref="BD153:BD159" si="2897">$N153*DZ153</f>
        <v>0</v>
      </c>
      <c r="BE153" s="158">
        <f t="shared" ref="BE153:BE159" si="2898">$N153*EA153</f>
        <v>0</v>
      </c>
      <c r="BF153" s="158">
        <f t="shared" ref="BF153:BF159" si="2899">$N153*EB153</f>
        <v>0</v>
      </c>
      <c r="BG153" s="158">
        <f t="shared" ref="BG153:BG159" si="2900">$N153*EC153</f>
        <v>0</v>
      </c>
      <c r="BH153" s="158">
        <f t="shared" ref="BH153:BH159" si="2901">$N153*ED153</f>
        <v>0</v>
      </c>
      <c r="BI153" s="159">
        <f t="shared" ref="BI153:BI159" si="2902">$N153*EE153</f>
        <v>0</v>
      </c>
      <c r="BJ153" s="157">
        <f t="shared" ref="BJ153:BJ159" si="2903">$N153*EF153</f>
        <v>0</v>
      </c>
      <c r="BK153" s="158">
        <f t="shared" ref="BK153:BK159" si="2904">$N153*EG153</f>
        <v>0</v>
      </c>
      <c r="BL153" s="158">
        <f t="shared" ref="BL153:BL159" si="2905">$N153*EH153</f>
        <v>0</v>
      </c>
      <c r="BM153" s="159">
        <f t="shared" ref="BM153:BM159" si="2906">$N153*EI153</f>
        <v>0</v>
      </c>
      <c r="BN153" s="157">
        <f t="shared" ref="BN153:BN159" si="2907">$N153*EJ153</f>
        <v>0</v>
      </c>
      <c r="BO153" s="158">
        <f t="shared" ref="BO153:BO159" si="2908">$N153*EK153</f>
        <v>0</v>
      </c>
      <c r="BP153" s="158">
        <f t="shared" ref="BP153:BP159" si="2909">$N153*EL153</f>
        <v>0</v>
      </c>
      <c r="BQ153" s="158">
        <f t="shared" ref="BQ153:BQ159" si="2910">$N153*EM153</f>
        <v>0</v>
      </c>
      <c r="BR153" s="158">
        <f t="shared" ref="BR153:BR159" si="2911">$N153*EN153</f>
        <v>0</v>
      </c>
      <c r="BS153" s="159">
        <f t="shared" ref="BS153:BS159" si="2912">$N153*EO153</f>
        <v>0</v>
      </c>
      <c r="BT153" s="157">
        <f t="shared" ref="BT153:BT159" si="2913">$N153*EP153</f>
        <v>0</v>
      </c>
      <c r="BU153" s="158">
        <f t="shared" ref="BU153:BU159" si="2914">$N153*EQ153</f>
        <v>0</v>
      </c>
      <c r="BV153" s="158">
        <f t="shared" ref="BV153:BV159" si="2915">$N153*ER153</f>
        <v>0</v>
      </c>
      <c r="BW153" s="158">
        <f t="shared" ref="BW153:BW159" si="2916">$N153*ES153</f>
        <v>0</v>
      </c>
      <c r="BX153" s="159">
        <f t="shared" ref="BX153:BX159" si="2917">$N153*ET153</f>
        <v>0</v>
      </c>
      <c r="BY153" s="157">
        <f t="shared" ref="BY153:BY159" si="2918">$N153*EU153</f>
        <v>0</v>
      </c>
      <c r="BZ153" s="158">
        <f t="shared" ref="BZ153:BZ159" si="2919">$N153*EV153</f>
        <v>0</v>
      </c>
      <c r="CA153" s="158">
        <f t="shared" ref="CA153:CA159" si="2920">$N153*EW153</f>
        <v>0</v>
      </c>
      <c r="CB153" s="158">
        <f t="shared" ref="CB153:CB159" si="2921">$N153*EX153</f>
        <v>0</v>
      </c>
      <c r="CC153" s="158">
        <f t="shared" ref="CC153:CC159" si="2922">$N153*EY153</f>
        <v>0</v>
      </c>
      <c r="CD153" s="158">
        <f t="shared" ref="CD153:CD159" si="2923">$N153*EZ153</f>
        <v>0</v>
      </c>
      <c r="CE153" s="158">
        <f t="shared" ref="CE153:CE159" si="2924">$N153*FA153</f>
        <v>0</v>
      </c>
      <c r="CF153" s="158">
        <f t="shared" ref="CF153:CF159" si="2925">$N153*FB153</f>
        <v>0</v>
      </c>
      <c r="CG153" s="158">
        <f t="shared" ref="CG153:CG159" si="2926">$N153*FC153</f>
        <v>0</v>
      </c>
      <c r="CH153" s="158">
        <f t="shared" ref="CH153:CH159" si="2927">$N153*FD153</f>
        <v>0</v>
      </c>
      <c r="CI153" s="158">
        <f t="shared" ref="CI153:CI159" si="2928">$N153*FE153</f>
        <v>0</v>
      </c>
      <c r="CJ153" s="159">
        <f t="shared" ref="CJ153:CJ159" si="2929">$N153*FF153</f>
        <v>0</v>
      </c>
      <c r="CL153" s="36">
        <v>5</v>
      </c>
      <c r="CN153" s="157">
        <f>AVERAGE(BB153:BB157)*$CL153</f>
        <v>0</v>
      </c>
      <c r="CO153" s="158">
        <f t="shared" ref="CO153" si="2930">AVERAGE(BC153:BC157)*$CL153</f>
        <v>0</v>
      </c>
      <c r="CP153" s="158">
        <f t="shared" ref="CP153" si="2931">AVERAGE(BD153:BD157)*$CL153</f>
        <v>0</v>
      </c>
      <c r="CQ153" s="158">
        <f t="shared" ref="CQ153" si="2932">AVERAGE(BE153:BE157)*$CL153</f>
        <v>0</v>
      </c>
      <c r="CR153" s="158">
        <f t="shared" ref="CR153" si="2933">AVERAGE(BF153:BF157)*$CL153</f>
        <v>0</v>
      </c>
      <c r="CS153" s="158">
        <f t="shared" ref="CS153" si="2934">AVERAGE(BG153:BG157)*$CL153</f>
        <v>0</v>
      </c>
      <c r="CT153" s="158">
        <f t="shared" ref="CT153" si="2935">AVERAGE(BH153:BH157)*$CL153</f>
        <v>0</v>
      </c>
      <c r="CU153" s="159">
        <f t="shared" ref="CU153" si="2936">AVERAGE(BI153:BI157)*$CL153</f>
        <v>0</v>
      </c>
      <c r="CV153" s="157">
        <f t="shared" ref="CV153" si="2937">AVERAGE(BJ153:BJ157)*$CL153</f>
        <v>0</v>
      </c>
      <c r="CW153" s="158">
        <f t="shared" ref="CW153" si="2938">AVERAGE(BK153:BK157)*$CL153</f>
        <v>0</v>
      </c>
      <c r="CX153" s="158">
        <f t="shared" ref="CX153" si="2939">AVERAGE(BL153:BL157)*$CL153</f>
        <v>0</v>
      </c>
      <c r="CY153" s="159">
        <f t="shared" ref="CY153" si="2940">AVERAGE(BM153:BM157)*$CL153</f>
        <v>0</v>
      </c>
      <c r="CZ153" s="157">
        <f t="shared" ref="CZ153" si="2941">AVERAGE(BN153:BN157)*$CL153</f>
        <v>0</v>
      </c>
      <c r="DA153" s="158">
        <f t="shared" ref="DA153" si="2942">AVERAGE(BO153:BO157)*$CL153</f>
        <v>0</v>
      </c>
      <c r="DB153" s="158">
        <f t="shared" ref="DB153" si="2943">AVERAGE(BP153:BP157)*$CL153</f>
        <v>0</v>
      </c>
      <c r="DC153" s="158">
        <f t="shared" ref="DC153" si="2944">AVERAGE(BQ153:BQ157)*$CL153</f>
        <v>0</v>
      </c>
      <c r="DD153" s="158">
        <f t="shared" ref="DD153" si="2945">AVERAGE(BR153:BR157)*$CL153</f>
        <v>0</v>
      </c>
      <c r="DE153" s="159">
        <f t="shared" ref="DE153" si="2946">AVERAGE(BS153:BS157)*$CL153</f>
        <v>0</v>
      </c>
      <c r="DF153" s="157">
        <f t="shared" ref="DF153" si="2947">AVERAGE(BT153:BT157)*$CL153</f>
        <v>0</v>
      </c>
      <c r="DG153" s="158">
        <f t="shared" ref="DG153" si="2948">AVERAGE(BU153:BU157)*$CL153</f>
        <v>0</v>
      </c>
      <c r="DH153" s="158">
        <f t="shared" ref="DH153" si="2949">AVERAGE(BV153:BV157)*$CL153</f>
        <v>0</v>
      </c>
      <c r="DI153" s="158">
        <f t="shared" ref="DI153" si="2950">AVERAGE(BW153:BW157)*$CL153</f>
        <v>0</v>
      </c>
      <c r="DJ153" s="159">
        <f t="shared" ref="DJ153" si="2951">AVERAGE(BX153:BX157)*$CL153</f>
        <v>0</v>
      </c>
      <c r="DK153" s="157">
        <f t="shared" ref="DK153" si="2952">AVERAGE(BY153:BY157)*$CL153</f>
        <v>0</v>
      </c>
      <c r="DL153" s="158">
        <f t="shared" ref="DL153" si="2953">AVERAGE(BZ153:BZ157)*$CL153</f>
        <v>0</v>
      </c>
      <c r="DM153" s="158">
        <f t="shared" ref="DM153" si="2954">AVERAGE(CA153:CA157)*$CL153</f>
        <v>0</v>
      </c>
      <c r="DN153" s="158">
        <f t="shared" ref="DN153" si="2955">AVERAGE(CB153:CB157)*$CL153</f>
        <v>0</v>
      </c>
      <c r="DO153" s="158">
        <f t="shared" ref="DO153" si="2956">AVERAGE(CC153:CC157)*$CL153</f>
        <v>0</v>
      </c>
      <c r="DP153" s="158">
        <f t="shared" ref="DP153" si="2957">AVERAGE(CD153:CD157)*$CL153</f>
        <v>0</v>
      </c>
      <c r="DQ153" s="158">
        <f t="shared" ref="DQ153" si="2958">AVERAGE(CE153:CE157)*$CL153</f>
        <v>0</v>
      </c>
      <c r="DR153" s="158">
        <f t="shared" ref="DR153" si="2959">AVERAGE(CF153:CF157)*$CL153</f>
        <v>0</v>
      </c>
      <c r="DS153" s="158">
        <f t="shared" ref="DS153" si="2960">AVERAGE(CG153:CG157)*$CL153</f>
        <v>0</v>
      </c>
      <c r="DT153" s="158">
        <f t="shared" ref="DT153" si="2961">AVERAGE(CH153:CH157)*$CL153</f>
        <v>0</v>
      </c>
      <c r="DU153" s="158">
        <f t="shared" ref="DU153" si="2962">AVERAGE(CI153:CI157)*$CL153</f>
        <v>0</v>
      </c>
      <c r="DV153" s="159">
        <f t="shared" ref="DV153" si="2963">AVERAGE(CJ153:CJ157)*$CL153</f>
        <v>0</v>
      </c>
      <c r="DX153" s="186"/>
      <c r="DY153" s="187"/>
      <c r="DZ153" s="187"/>
      <c r="EA153" s="187"/>
      <c r="EB153" s="187"/>
      <c r="EC153" s="187"/>
      <c r="ED153" s="187"/>
      <c r="EE153" s="188"/>
      <c r="EF153" s="186"/>
      <c r="EG153" s="187"/>
      <c r="EH153" s="187"/>
      <c r="EI153" s="188"/>
      <c r="EJ153" s="186"/>
      <c r="EK153" s="187"/>
      <c r="EL153" s="187"/>
      <c r="EM153" s="187"/>
      <c r="EN153" s="187"/>
      <c r="EO153" s="188"/>
      <c r="EP153" s="186"/>
      <c r="EQ153" s="187"/>
      <c r="ER153" s="187"/>
      <c r="ES153" s="187"/>
      <c r="ET153" s="188"/>
      <c r="EU153" s="186"/>
      <c r="EV153" s="187"/>
      <c r="EW153" s="187"/>
      <c r="EX153" s="187"/>
      <c r="EY153" s="187"/>
      <c r="EZ153" s="187"/>
      <c r="FA153" s="187"/>
      <c r="FB153" s="187"/>
      <c r="FC153" s="187"/>
      <c r="FD153" s="187"/>
      <c r="FE153" s="187"/>
      <c r="FF153" s="188"/>
    </row>
    <row r="154" spans="2:162" x14ac:dyDescent="0.25">
      <c r="B154" s="127">
        <f t="shared" ref="B154:B159" si="2964">B153+1</f>
        <v>45615</v>
      </c>
      <c r="C154" s="266"/>
      <c r="D154" s="53">
        <v>9</v>
      </c>
      <c r="E154" s="129">
        <v>30.07</v>
      </c>
      <c r="F154" s="25"/>
      <c r="G154" s="25"/>
      <c r="H154" s="150">
        <v>9</v>
      </c>
      <c r="I154" s="24">
        <v>2</v>
      </c>
      <c r="J154" s="151">
        <v>1</v>
      </c>
      <c r="K154" s="151"/>
      <c r="L154" s="152">
        <v>10.1</v>
      </c>
      <c r="M154" s="152">
        <f t="shared" si="2893"/>
        <v>0</v>
      </c>
      <c r="N154" s="153">
        <f t="shared" si="2894"/>
        <v>49.994999999999997</v>
      </c>
      <c r="O154" s="25"/>
      <c r="P154" s="95">
        <v>2</v>
      </c>
      <c r="Q154" s="41">
        <v>1</v>
      </c>
      <c r="R154" s="41">
        <v>1</v>
      </c>
      <c r="S154" s="41"/>
      <c r="T154" s="41"/>
      <c r="U154" s="41"/>
      <c r="V154" s="41"/>
      <c r="W154" s="42">
        <v>2</v>
      </c>
      <c r="X154" s="95"/>
      <c r="Y154" s="41"/>
      <c r="Z154" s="41"/>
      <c r="AA154" s="42"/>
      <c r="AB154" s="95"/>
      <c r="AC154" s="41"/>
      <c r="AD154" s="41"/>
      <c r="AE154" s="41"/>
      <c r="AF154" s="41"/>
      <c r="AG154" s="42"/>
      <c r="AH154" s="95"/>
      <c r="AI154" s="41"/>
      <c r="AJ154" s="41"/>
      <c r="AK154" s="41"/>
      <c r="AL154" s="42"/>
      <c r="AM154" s="95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2"/>
      <c r="BB154" s="95">
        <f t="shared" si="2895"/>
        <v>0</v>
      </c>
      <c r="BC154" s="41">
        <f t="shared" si="2896"/>
        <v>0</v>
      </c>
      <c r="BD154" s="41">
        <f t="shared" si="2897"/>
        <v>0</v>
      </c>
      <c r="BE154" s="41">
        <f t="shared" si="2898"/>
        <v>0</v>
      </c>
      <c r="BF154" s="41">
        <f t="shared" si="2899"/>
        <v>0</v>
      </c>
      <c r="BG154" s="41">
        <f t="shared" si="2900"/>
        <v>0</v>
      </c>
      <c r="BH154" s="41">
        <f t="shared" si="2901"/>
        <v>0</v>
      </c>
      <c r="BI154" s="42">
        <f t="shared" si="2902"/>
        <v>0</v>
      </c>
      <c r="BJ154" s="95">
        <f t="shared" si="2903"/>
        <v>0</v>
      </c>
      <c r="BK154" s="41">
        <f t="shared" si="2904"/>
        <v>0</v>
      </c>
      <c r="BL154" s="41">
        <f t="shared" si="2905"/>
        <v>0</v>
      </c>
      <c r="BM154" s="42">
        <f t="shared" si="2906"/>
        <v>0</v>
      </c>
      <c r="BN154" s="95">
        <f t="shared" si="2907"/>
        <v>0</v>
      </c>
      <c r="BO154" s="41">
        <f t="shared" si="2908"/>
        <v>0</v>
      </c>
      <c r="BP154" s="41">
        <f t="shared" si="2909"/>
        <v>0</v>
      </c>
      <c r="BQ154" s="41">
        <f t="shared" si="2910"/>
        <v>0</v>
      </c>
      <c r="BR154" s="41">
        <f t="shared" si="2911"/>
        <v>0</v>
      </c>
      <c r="BS154" s="42">
        <f t="shared" si="2912"/>
        <v>0</v>
      </c>
      <c r="BT154" s="95">
        <f t="shared" si="2913"/>
        <v>0</v>
      </c>
      <c r="BU154" s="41">
        <f t="shared" si="2914"/>
        <v>0</v>
      </c>
      <c r="BV154" s="41">
        <f t="shared" si="2915"/>
        <v>0</v>
      </c>
      <c r="BW154" s="41">
        <f t="shared" si="2916"/>
        <v>0</v>
      </c>
      <c r="BX154" s="42">
        <f t="shared" si="2917"/>
        <v>0</v>
      </c>
      <c r="BY154" s="95">
        <f t="shared" si="2918"/>
        <v>0</v>
      </c>
      <c r="BZ154" s="41">
        <f t="shared" si="2919"/>
        <v>0</v>
      </c>
      <c r="CA154" s="41">
        <f t="shared" si="2920"/>
        <v>0</v>
      </c>
      <c r="CB154" s="41">
        <f t="shared" si="2921"/>
        <v>0</v>
      </c>
      <c r="CC154" s="41">
        <f t="shared" si="2922"/>
        <v>0</v>
      </c>
      <c r="CD154" s="41">
        <f t="shared" si="2923"/>
        <v>0</v>
      </c>
      <c r="CE154" s="41">
        <f t="shared" si="2924"/>
        <v>0</v>
      </c>
      <c r="CF154" s="41">
        <f t="shared" si="2925"/>
        <v>0</v>
      </c>
      <c r="CG154" s="41">
        <f t="shared" si="2926"/>
        <v>0</v>
      </c>
      <c r="CH154" s="41">
        <f t="shared" si="2927"/>
        <v>0</v>
      </c>
      <c r="CI154" s="41">
        <f t="shared" si="2928"/>
        <v>0</v>
      </c>
      <c r="CJ154" s="42">
        <f t="shared" si="2929"/>
        <v>0</v>
      </c>
      <c r="CL154" s="36"/>
      <c r="CN154" s="95"/>
      <c r="CO154" s="41"/>
      <c r="CP154" s="41"/>
      <c r="CQ154" s="41"/>
      <c r="CR154" s="41"/>
      <c r="CS154" s="41"/>
      <c r="CT154" s="41"/>
      <c r="CU154" s="42"/>
      <c r="CV154" s="95"/>
      <c r="CW154" s="41"/>
      <c r="CX154" s="41"/>
      <c r="CY154" s="42"/>
      <c r="CZ154" s="95"/>
      <c r="DA154" s="41"/>
      <c r="DB154" s="41"/>
      <c r="DC154" s="41"/>
      <c r="DD154" s="41"/>
      <c r="DE154" s="42"/>
      <c r="DF154" s="95"/>
      <c r="DG154" s="41"/>
      <c r="DH154" s="41"/>
      <c r="DI154" s="41"/>
      <c r="DJ154" s="42"/>
      <c r="DK154" s="95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2"/>
      <c r="DX154" s="138"/>
      <c r="DY154" s="34"/>
      <c r="DZ154" s="34"/>
      <c r="EA154" s="34"/>
      <c r="EB154" s="34"/>
      <c r="EC154" s="34"/>
      <c r="ED154" s="34"/>
      <c r="EE154" s="139"/>
      <c r="EF154" s="138"/>
      <c r="EG154" s="34"/>
      <c r="EH154" s="34"/>
      <c r="EI154" s="139"/>
      <c r="EJ154" s="138"/>
      <c r="EK154" s="34"/>
      <c r="EL154" s="34"/>
      <c r="EM154" s="34"/>
      <c r="EN154" s="34"/>
      <c r="EO154" s="139"/>
      <c r="EP154" s="138"/>
      <c r="EQ154" s="34"/>
      <c r="ER154" s="34"/>
      <c r="ES154" s="34"/>
      <c r="ET154" s="139"/>
      <c r="EU154" s="138"/>
      <c r="EV154" s="34"/>
      <c r="EW154" s="34"/>
      <c r="EX154" s="34"/>
      <c r="EY154" s="34"/>
      <c r="EZ154" s="34"/>
      <c r="FA154" s="34"/>
      <c r="FB154" s="34"/>
      <c r="FC154" s="34"/>
      <c r="FD154" s="34"/>
      <c r="FE154" s="34"/>
      <c r="FF154" s="139"/>
    </row>
    <row r="155" spans="2:162" x14ac:dyDescent="0.25">
      <c r="B155" s="127">
        <f t="shared" si="2964"/>
        <v>45616</v>
      </c>
      <c r="C155" s="266"/>
      <c r="D155" s="53">
        <v>3</v>
      </c>
      <c r="E155" s="129">
        <v>4.18</v>
      </c>
      <c r="F155" s="25"/>
      <c r="G155" s="25"/>
      <c r="H155" s="150">
        <v>3</v>
      </c>
      <c r="I155" s="24">
        <v>2</v>
      </c>
      <c r="J155" s="151">
        <v>1</v>
      </c>
      <c r="K155" s="151"/>
      <c r="L155" s="152">
        <v>10</v>
      </c>
      <c r="M155" s="152">
        <f t="shared" si="2893"/>
        <v>0</v>
      </c>
      <c r="N155" s="153">
        <f t="shared" si="2894"/>
        <v>16.5</v>
      </c>
      <c r="O155" s="25"/>
      <c r="P155" s="95"/>
      <c r="Q155" s="41"/>
      <c r="R155" s="41"/>
      <c r="S155" s="41"/>
      <c r="T155" s="41"/>
      <c r="U155" s="41"/>
      <c r="V155" s="41"/>
      <c r="W155" s="42"/>
      <c r="X155" s="95"/>
      <c r="Y155" s="41"/>
      <c r="Z155" s="41"/>
      <c r="AA155" s="42"/>
      <c r="AB155" s="95"/>
      <c r="AC155" s="41"/>
      <c r="AD155" s="41"/>
      <c r="AE155" s="41"/>
      <c r="AF155" s="41"/>
      <c r="AG155" s="42"/>
      <c r="AH155" s="95"/>
      <c r="AI155" s="41"/>
      <c r="AJ155" s="41"/>
      <c r="AK155" s="41"/>
      <c r="AL155" s="42"/>
      <c r="AM155" s="95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2"/>
      <c r="BB155" s="95">
        <f t="shared" si="2895"/>
        <v>0</v>
      </c>
      <c r="BC155" s="41">
        <f t="shared" si="2896"/>
        <v>0</v>
      </c>
      <c r="BD155" s="41">
        <f t="shared" si="2897"/>
        <v>0</v>
      </c>
      <c r="BE155" s="41">
        <f t="shared" si="2898"/>
        <v>0</v>
      </c>
      <c r="BF155" s="41">
        <f t="shared" si="2899"/>
        <v>0</v>
      </c>
      <c r="BG155" s="41">
        <f t="shared" si="2900"/>
        <v>0</v>
      </c>
      <c r="BH155" s="41">
        <f t="shared" si="2901"/>
        <v>0</v>
      </c>
      <c r="BI155" s="42">
        <f t="shared" si="2902"/>
        <v>0</v>
      </c>
      <c r="BJ155" s="95">
        <f t="shared" si="2903"/>
        <v>0</v>
      </c>
      <c r="BK155" s="41">
        <f t="shared" si="2904"/>
        <v>0</v>
      </c>
      <c r="BL155" s="41">
        <f t="shared" si="2905"/>
        <v>0</v>
      </c>
      <c r="BM155" s="42">
        <f t="shared" si="2906"/>
        <v>0</v>
      </c>
      <c r="BN155" s="95">
        <f t="shared" si="2907"/>
        <v>0</v>
      </c>
      <c r="BO155" s="41">
        <f t="shared" si="2908"/>
        <v>0</v>
      </c>
      <c r="BP155" s="41">
        <f t="shared" si="2909"/>
        <v>0</v>
      </c>
      <c r="BQ155" s="41">
        <f t="shared" si="2910"/>
        <v>0</v>
      </c>
      <c r="BR155" s="41">
        <f t="shared" si="2911"/>
        <v>0</v>
      </c>
      <c r="BS155" s="42">
        <f t="shared" si="2912"/>
        <v>0</v>
      </c>
      <c r="BT155" s="95">
        <f t="shared" si="2913"/>
        <v>0</v>
      </c>
      <c r="BU155" s="41">
        <f t="shared" si="2914"/>
        <v>0</v>
      </c>
      <c r="BV155" s="41">
        <f t="shared" si="2915"/>
        <v>0</v>
      </c>
      <c r="BW155" s="41">
        <f t="shared" si="2916"/>
        <v>0</v>
      </c>
      <c r="BX155" s="42">
        <f t="shared" si="2917"/>
        <v>0</v>
      </c>
      <c r="BY155" s="95">
        <f t="shared" si="2918"/>
        <v>0</v>
      </c>
      <c r="BZ155" s="41">
        <f t="shared" si="2919"/>
        <v>0</v>
      </c>
      <c r="CA155" s="41">
        <f t="shared" si="2920"/>
        <v>0</v>
      </c>
      <c r="CB155" s="41">
        <f t="shared" si="2921"/>
        <v>0</v>
      </c>
      <c r="CC155" s="41">
        <f t="shared" si="2922"/>
        <v>0</v>
      </c>
      <c r="CD155" s="41">
        <f t="shared" si="2923"/>
        <v>0</v>
      </c>
      <c r="CE155" s="41">
        <f t="shared" si="2924"/>
        <v>0</v>
      </c>
      <c r="CF155" s="41">
        <f t="shared" si="2925"/>
        <v>0</v>
      </c>
      <c r="CG155" s="41">
        <f t="shared" si="2926"/>
        <v>0</v>
      </c>
      <c r="CH155" s="41">
        <f t="shared" si="2927"/>
        <v>0</v>
      </c>
      <c r="CI155" s="41">
        <f t="shared" si="2928"/>
        <v>0</v>
      </c>
      <c r="CJ155" s="42">
        <f t="shared" si="2929"/>
        <v>0</v>
      </c>
      <c r="CL155" s="36"/>
      <c r="CN155" s="95"/>
      <c r="CO155" s="41"/>
      <c r="CP155" s="41"/>
      <c r="CQ155" s="41"/>
      <c r="CR155" s="41"/>
      <c r="CS155" s="41"/>
      <c r="CT155" s="41"/>
      <c r="CU155" s="42"/>
      <c r="CV155" s="95"/>
      <c r="CW155" s="41"/>
      <c r="CX155" s="41"/>
      <c r="CY155" s="42"/>
      <c r="CZ155" s="95"/>
      <c r="DA155" s="41"/>
      <c r="DB155" s="41"/>
      <c r="DC155" s="41"/>
      <c r="DD155" s="41"/>
      <c r="DE155" s="42"/>
      <c r="DF155" s="95"/>
      <c r="DG155" s="41"/>
      <c r="DH155" s="41"/>
      <c r="DI155" s="41"/>
      <c r="DJ155" s="42"/>
      <c r="DK155" s="95"/>
      <c r="DL155" s="41"/>
      <c r="DM155" s="41"/>
      <c r="DN155" s="41"/>
      <c r="DO155" s="41"/>
      <c r="DP155" s="41"/>
      <c r="DQ155" s="41"/>
      <c r="DR155" s="41"/>
      <c r="DS155" s="41"/>
      <c r="DT155" s="41"/>
      <c r="DU155" s="41"/>
      <c r="DV155" s="42"/>
      <c r="DX155" s="138"/>
      <c r="DY155" s="34"/>
      <c r="DZ155" s="34"/>
      <c r="EA155" s="34"/>
      <c r="EB155" s="34"/>
      <c r="EC155" s="34"/>
      <c r="ED155" s="34"/>
      <c r="EE155" s="139"/>
      <c r="EF155" s="138"/>
      <c r="EG155" s="34"/>
      <c r="EH155" s="34"/>
      <c r="EI155" s="139"/>
      <c r="EJ155" s="138"/>
      <c r="EK155" s="34"/>
      <c r="EL155" s="34"/>
      <c r="EM155" s="34"/>
      <c r="EN155" s="34"/>
      <c r="EO155" s="139"/>
      <c r="EP155" s="138"/>
      <c r="EQ155" s="34"/>
      <c r="ER155" s="34"/>
      <c r="ES155" s="34"/>
      <c r="ET155" s="139"/>
      <c r="EU155" s="138"/>
      <c r="EV155" s="34"/>
      <c r="EW155" s="34"/>
      <c r="EX155" s="34"/>
      <c r="EY155" s="34"/>
      <c r="EZ155" s="34"/>
      <c r="FA155" s="34"/>
      <c r="FB155" s="34"/>
      <c r="FC155" s="34"/>
      <c r="FD155" s="34"/>
      <c r="FE155" s="34"/>
      <c r="FF155" s="139"/>
    </row>
    <row r="156" spans="2:162" x14ac:dyDescent="0.25">
      <c r="B156" s="127">
        <f t="shared" si="2964"/>
        <v>45617</v>
      </c>
      <c r="C156" s="266"/>
      <c r="D156" s="53">
        <v>3</v>
      </c>
      <c r="E156" s="129">
        <v>8.0500000000000007</v>
      </c>
      <c r="F156" s="25"/>
      <c r="G156" s="25"/>
      <c r="H156" s="150">
        <v>3</v>
      </c>
      <c r="I156" s="24">
        <v>2</v>
      </c>
      <c r="J156" s="151">
        <v>1</v>
      </c>
      <c r="K156" s="151"/>
      <c r="L156" s="152">
        <v>10</v>
      </c>
      <c r="M156" s="152">
        <f t="shared" si="2893"/>
        <v>0</v>
      </c>
      <c r="N156" s="153">
        <f t="shared" si="2894"/>
        <v>16.5</v>
      </c>
      <c r="O156" s="25"/>
      <c r="P156" s="95"/>
      <c r="Q156" s="41"/>
      <c r="R156" s="41"/>
      <c r="S156" s="41"/>
      <c r="T156" s="41"/>
      <c r="U156" s="41"/>
      <c r="V156" s="41">
        <v>1</v>
      </c>
      <c r="W156" s="42"/>
      <c r="X156" s="95"/>
      <c r="Y156" s="41"/>
      <c r="Z156" s="41"/>
      <c r="AA156" s="42"/>
      <c r="AB156" s="95"/>
      <c r="AC156" s="41"/>
      <c r="AD156" s="41"/>
      <c r="AE156" s="41"/>
      <c r="AF156" s="41"/>
      <c r="AG156" s="42"/>
      <c r="AH156" s="95"/>
      <c r="AI156" s="41"/>
      <c r="AJ156" s="41"/>
      <c r="AK156" s="41"/>
      <c r="AL156" s="42"/>
      <c r="AM156" s="95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2"/>
      <c r="BB156" s="95">
        <f t="shared" si="2895"/>
        <v>0</v>
      </c>
      <c r="BC156" s="41">
        <f t="shared" si="2896"/>
        <v>0</v>
      </c>
      <c r="BD156" s="41">
        <f t="shared" si="2897"/>
        <v>0</v>
      </c>
      <c r="BE156" s="41">
        <f t="shared" si="2898"/>
        <v>0</v>
      </c>
      <c r="BF156" s="41">
        <f t="shared" si="2899"/>
        <v>0</v>
      </c>
      <c r="BG156" s="41">
        <f t="shared" si="2900"/>
        <v>0</v>
      </c>
      <c r="BH156" s="41">
        <f t="shared" si="2901"/>
        <v>0</v>
      </c>
      <c r="BI156" s="42">
        <f t="shared" si="2902"/>
        <v>0</v>
      </c>
      <c r="BJ156" s="95">
        <f t="shared" si="2903"/>
        <v>0</v>
      </c>
      <c r="BK156" s="41">
        <f t="shared" si="2904"/>
        <v>0</v>
      </c>
      <c r="BL156" s="41">
        <f t="shared" si="2905"/>
        <v>0</v>
      </c>
      <c r="BM156" s="42">
        <f t="shared" si="2906"/>
        <v>0</v>
      </c>
      <c r="BN156" s="95">
        <f t="shared" si="2907"/>
        <v>0</v>
      </c>
      <c r="BO156" s="41">
        <f t="shared" si="2908"/>
        <v>0</v>
      </c>
      <c r="BP156" s="41">
        <f t="shared" si="2909"/>
        <v>0</v>
      </c>
      <c r="BQ156" s="41">
        <f t="shared" si="2910"/>
        <v>0</v>
      </c>
      <c r="BR156" s="41">
        <f t="shared" si="2911"/>
        <v>0</v>
      </c>
      <c r="BS156" s="42">
        <f t="shared" si="2912"/>
        <v>0</v>
      </c>
      <c r="BT156" s="95">
        <f t="shared" si="2913"/>
        <v>0</v>
      </c>
      <c r="BU156" s="41">
        <f t="shared" si="2914"/>
        <v>0</v>
      </c>
      <c r="BV156" s="41">
        <f t="shared" si="2915"/>
        <v>0</v>
      </c>
      <c r="BW156" s="41">
        <f t="shared" si="2916"/>
        <v>0</v>
      </c>
      <c r="BX156" s="42">
        <f t="shared" si="2917"/>
        <v>0</v>
      </c>
      <c r="BY156" s="95">
        <f t="shared" si="2918"/>
        <v>0</v>
      </c>
      <c r="BZ156" s="41">
        <f t="shared" si="2919"/>
        <v>0</v>
      </c>
      <c r="CA156" s="41">
        <f t="shared" si="2920"/>
        <v>0</v>
      </c>
      <c r="CB156" s="41">
        <f t="shared" si="2921"/>
        <v>0</v>
      </c>
      <c r="CC156" s="41">
        <f t="shared" si="2922"/>
        <v>0</v>
      </c>
      <c r="CD156" s="41">
        <f t="shared" si="2923"/>
        <v>0</v>
      </c>
      <c r="CE156" s="41">
        <f t="shared" si="2924"/>
        <v>0</v>
      </c>
      <c r="CF156" s="41">
        <f t="shared" si="2925"/>
        <v>0</v>
      </c>
      <c r="CG156" s="41">
        <f t="shared" si="2926"/>
        <v>0</v>
      </c>
      <c r="CH156" s="41">
        <f t="shared" si="2927"/>
        <v>0</v>
      </c>
      <c r="CI156" s="41">
        <f t="shared" si="2928"/>
        <v>0</v>
      </c>
      <c r="CJ156" s="42">
        <f t="shared" si="2929"/>
        <v>0</v>
      </c>
      <c r="CL156" s="36"/>
      <c r="CN156" s="95"/>
      <c r="CO156" s="41"/>
      <c r="CP156" s="41"/>
      <c r="CQ156" s="41"/>
      <c r="CR156" s="41"/>
      <c r="CS156" s="41"/>
      <c r="CT156" s="41"/>
      <c r="CU156" s="42"/>
      <c r="CV156" s="95"/>
      <c r="CW156" s="41"/>
      <c r="CX156" s="41"/>
      <c r="CY156" s="42"/>
      <c r="CZ156" s="95"/>
      <c r="DA156" s="41"/>
      <c r="DB156" s="41"/>
      <c r="DC156" s="41"/>
      <c r="DD156" s="41"/>
      <c r="DE156" s="42"/>
      <c r="DF156" s="95"/>
      <c r="DG156" s="41"/>
      <c r="DH156" s="41"/>
      <c r="DI156" s="41"/>
      <c r="DJ156" s="42"/>
      <c r="DK156" s="95"/>
      <c r="DL156" s="41"/>
      <c r="DM156" s="41"/>
      <c r="DN156" s="41"/>
      <c r="DO156" s="41"/>
      <c r="DP156" s="41"/>
      <c r="DQ156" s="41"/>
      <c r="DR156" s="41"/>
      <c r="DS156" s="41"/>
      <c r="DT156" s="41"/>
      <c r="DU156" s="41"/>
      <c r="DV156" s="42"/>
      <c r="DX156" s="138"/>
      <c r="DY156" s="34"/>
      <c r="DZ156" s="34"/>
      <c r="EA156" s="34"/>
      <c r="EB156" s="34"/>
      <c r="EC156" s="34"/>
      <c r="ED156" s="34"/>
      <c r="EE156" s="139"/>
      <c r="EF156" s="138"/>
      <c r="EG156" s="34"/>
      <c r="EH156" s="34"/>
      <c r="EI156" s="139"/>
      <c r="EJ156" s="138"/>
      <c r="EK156" s="34"/>
      <c r="EL156" s="34"/>
      <c r="EM156" s="34"/>
      <c r="EN156" s="34"/>
      <c r="EO156" s="139"/>
      <c r="EP156" s="138"/>
      <c r="EQ156" s="34"/>
      <c r="ER156" s="34"/>
      <c r="ES156" s="34"/>
      <c r="ET156" s="139"/>
      <c r="EU156" s="138"/>
      <c r="EV156" s="34"/>
      <c r="EW156" s="34"/>
      <c r="EX156" s="34"/>
      <c r="EY156" s="34"/>
      <c r="EZ156" s="34"/>
      <c r="FA156" s="34"/>
      <c r="FB156" s="34"/>
      <c r="FC156" s="34"/>
      <c r="FD156" s="34"/>
      <c r="FE156" s="34"/>
      <c r="FF156" s="139"/>
    </row>
    <row r="157" spans="2:162" x14ac:dyDescent="0.25">
      <c r="B157" s="127">
        <f t="shared" si="2964"/>
        <v>45618</v>
      </c>
      <c r="C157" s="266"/>
      <c r="D157" s="53"/>
      <c r="E157" s="129"/>
      <c r="F157" s="25"/>
      <c r="G157" s="25"/>
      <c r="H157" s="150"/>
      <c r="I157" s="24"/>
      <c r="J157" s="151"/>
      <c r="K157" s="151"/>
      <c r="L157" s="152"/>
      <c r="M157" s="152"/>
      <c r="N157" s="153"/>
      <c r="O157" s="25"/>
      <c r="P157" s="95"/>
      <c r="Q157" s="41"/>
      <c r="R157" s="41"/>
      <c r="S157" s="41"/>
      <c r="T157" s="41"/>
      <c r="U157" s="41"/>
      <c r="V157" s="41"/>
      <c r="W157" s="42"/>
      <c r="X157" s="95"/>
      <c r="Y157" s="41"/>
      <c r="Z157" s="41"/>
      <c r="AA157" s="42"/>
      <c r="AB157" s="95"/>
      <c r="AC157" s="41"/>
      <c r="AD157" s="41"/>
      <c r="AE157" s="41"/>
      <c r="AF157" s="41"/>
      <c r="AG157" s="42"/>
      <c r="AH157" s="95"/>
      <c r="AI157" s="41"/>
      <c r="AJ157" s="41"/>
      <c r="AK157" s="41"/>
      <c r="AL157" s="42"/>
      <c r="AM157" s="95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2"/>
      <c r="BB157" s="95">
        <f t="shared" si="2895"/>
        <v>0</v>
      </c>
      <c r="BC157" s="41">
        <f t="shared" si="2896"/>
        <v>0</v>
      </c>
      <c r="BD157" s="41">
        <f t="shared" si="2897"/>
        <v>0</v>
      </c>
      <c r="BE157" s="41">
        <f t="shared" si="2898"/>
        <v>0</v>
      </c>
      <c r="BF157" s="41">
        <f t="shared" si="2899"/>
        <v>0</v>
      </c>
      <c r="BG157" s="41">
        <f t="shared" si="2900"/>
        <v>0</v>
      </c>
      <c r="BH157" s="41">
        <f t="shared" si="2901"/>
        <v>0</v>
      </c>
      <c r="BI157" s="42">
        <f t="shared" si="2902"/>
        <v>0</v>
      </c>
      <c r="BJ157" s="95">
        <f t="shared" si="2903"/>
        <v>0</v>
      </c>
      <c r="BK157" s="41">
        <f t="shared" si="2904"/>
        <v>0</v>
      </c>
      <c r="BL157" s="41">
        <f t="shared" si="2905"/>
        <v>0</v>
      </c>
      <c r="BM157" s="42">
        <f t="shared" si="2906"/>
        <v>0</v>
      </c>
      <c r="BN157" s="95">
        <f t="shared" si="2907"/>
        <v>0</v>
      </c>
      <c r="BO157" s="41">
        <f t="shared" si="2908"/>
        <v>0</v>
      </c>
      <c r="BP157" s="41">
        <f t="shared" si="2909"/>
        <v>0</v>
      </c>
      <c r="BQ157" s="41">
        <f t="shared" si="2910"/>
        <v>0</v>
      </c>
      <c r="BR157" s="41">
        <f t="shared" si="2911"/>
        <v>0</v>
      </c>
      <c r="BS157" s="42">
        <f t="shared" si="2912"/>
        <v>0</v>
      </c>
      <c r="BT157" s="95">
        <f t="shared" si="2913"/>
        <v>0</v>
      </c>
      <c r="BU157" s="41">
        <f t="shared" si="2914"/>
        <v>0</v>
      </c>
      <c r="BV157" s="41">
        <f t="shared" si="2915"/>
        <v>0</v>
      </c>
      <c r="BW157" s="41">
        <f t="shared" si="2916"/>
        <v>0</v>
      </c>
      <c r="BX157" s="42">
        <f t="shared" si="2917"/>
        <v>0</v>
      </c>
      <c r="BY157" s="95">
        <f t="shared" si="2918"/>
        <v>0</v>
      </c>
      <c r="BZ157" s="41">
        <f t="shared" si="2919"/>
        <v>0</v>
      </c>
      <c r="CA157" s="41">
        <f t="shared" si="2920"/>
        <v>0</v>
      </c>
      <c r="CB157" s="41">
        <f t="shared" si="2921"/>
        <v>0</v>
      </c>
      <c r="CC157" s="41">
        <f t="shared" si="2922"/>
        <v>0</v>
      </c>
      <c r="CD157" s="41">
        <f t="shared" si="2923"/>
        <v>0</v>
      </c>
      <c r="CE157" s="41">
        <f t="shared" si="2924"/>
        <v>0</v>
      </c>
      <c r="CF157" s="41">
        <f t="shared" si="2925"/>
        <v>0</v>
      </c>
      <c r="CG157" s="41">
        <f t="shared" si="2926"/>
        <v>0</v>
      </c>
      <c r="CH157" s="41">
        <f t="shared" si="2927"/>
        <v>0</v>
      </c>
      <c r="CI157" s="41">
        <f t="shared" si="2928"/>
        <v>0</v>
      </c>
      <c r="CJ157" s="42">
        <f t="shared" si="2929"/>
        <v>0</v>
      </c>
      <c r="CL157" s="36"/>
      <c r="CN157" s="95"/>
      <c r="CO157" s="41"/>
      <c r="CP157" s="41"/>
      <c r="CQ157" s="41"/>
      <c r="CR157" s="41"/>
      <c r="CS157" s="41"/>
      <c r="CT157" s="41"/>
      <c r="CU157" s="42"/>
      <c r="CV157" s="95"/>
      <c r="CW157" s="41"/>
      <c r="CX157" s="41"/>
      <c r="CY157" s="42"/>
      <c r="CZ157" s="95"/>
      <c r="DA157" s="41"/>
      <c r="DB157" s="41"/>
      <c r="DC157" s="41"/>
      <c r="DD157" s="41"/>
      <c r="DE157" s="42"/>
      <c r="DF157" s="95"/>
      <c r="DG157" s="41"/>
      <c r="DH157" s="41"/>
      <c r="DI157" s="41"/>
      <c r="DJ157" s="42"/>
      <c r="DK157" s="95"/>
      <c r="DL157" s="41"/>
      <c r="DM157" s="41"/>
      <c r="DN157" s="41"/>
      <c r="DO157" s="41"/>
      <c r="DP157" s="41"/>
      <c r="DQ157" s="41"/>
      <c r="DR157" s="41"/>
      <c r="DS157" s="41"/>
      <c r="DT157" s="41"/>
      <c r="DU157" s="41"/>
      <c r="DV157" s="42"/>
      <c r="DX157" s="138"/>
      <c r="DY157" s="34"/>
      <c r="DZ157" s="34"/>
      <c r="EA157" s="34"/>
      <c r="EB157" s="34"/>
      <c r="EC157" s="34"/>
      <c r="ED157" s="34"/>
      <c r="EE157" s="139"/>
      <c r="EF157" s="138"/>
      <c r="EG157" s="34"/>
      <c r="EH157" s="34"/>
      <c r="EI157" s="139"/>
      <c r="EJ157" s="138"/>
      <c r="EK157" s="34"/>
      <c r="EL157" s="34"/>
      <c r="EM157" s="34"/>
      <c r="EN157" s="34"/>
      <c r="EO157" s="139"/>
      <c r="EP157" s="138"/>
      <c r="EQ157" s="34"/>
      <c r="ER157" s="34"/>
      <c r="ES157" s="34"/>
      <c r="ET157" s="139"/>
      <c r="EU157" s="138"/>
      <c r="EV157" s="34"/>
      <c r="EW157" s="34"/>
      <c r="EX157" s="34"/>
      <c r="EY157" s="34"/>
      <c r="EZ157" s="34"/>
      <c r="FA157" s="34"/>
      <c r="FB157" s="34"/>
      <c r="FC157" s="34"/>
      <c r="FD157" s="34"/>
      <c r="FE157" s="34"/>
      <c r="FF157" s="139"/>
    </row>
    <row r="158" spans="2:162" x14ac:dyDescent="0.25">
      <c r="B158" s="127">
        <f t="shared" si="2964"/>
        <v>45619</v>
      </c>
      <c r="C158" s="266"/>
      <c r="D158" s="53">
        <v>19</v>
      </c>
      <c r="E158" s="129">
        <v>46.66</v>
      </c>
      <c r="F158" s="25"/>
      <c r="G158" s="25"/>
      <c r="H158" s="150">
        <v>19</v>
      </c>
      <c r="I158" s="24">
        <v>2</v>
      </c>
      <c r="J158" s="151">
        <v>1</v>
      </c>
      <c r="K158" s="151"/>
      <c r="L158" s="152">
        <v>9.9</v>
      </c>
      <c r="M158" s="152">
        <f t="shared" si="2893"/>
        <v>0</v>
      </c>
      <c r="N158" s="153">
        <f t="shared" si="2894"/>
        <v>103.455</v>
      </c>
      <c r="O158" s="25"/>
      <c r="P158" s="95">
        <v>1</v>
      </c>
      <c r="Q158" s="41">
        <v>1</v>
      </c>
      <c r="R158" s="41"/>
      <c r="S158" s="41"/>
      <c r="T158" s="41"/>
      <c r="U158" s="41"/>
      <c r="V158" s="41">
        <v>5</v>
      </c>
      <c r="W158" s="42"/>
      <c r="X158" s="95"/>
      <c r="Y158" s="41"/>
      <c r="Z158" s="41"/>
      <c r="AA158" s="42"/>
      <c r="AB158" s="95"/>
      <c r="AC158" s="41"/>
      <c r="AD158" s="41"/>
      <c r="AE158" s="41"/>
      <c r="AF158" s="41"/>
      <c r="AG158" s="42"/>
      <c r="AH158" s="95"/>
      <c r="AI158" s="41"/>
      <c r="AJ158" s="41"/>
      <c r="AK158" s="41"/>
      <c r="AL158" s="42"/>
      <c r="AM158" s="95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2"/>
      <c r="BB158" s="95">
        <f t="shared" si="2895"/>
        <v>0</v>
      </c>
      <c r="BC158" s="41">
        <f t="shared" si="2896"/>
        <v>0</v>
      </c>
      <c r="BD158" s="41">
        <f t="shared" si="2897"/>
        <v>0</v>
      </c>
      <c r="BE158" s="41">
        <f t="shared" si="2898"/>
        <v>0</v>
      </c>
      <c r="BF158" s="41">
        <f t="shared" si="2899"/>
        <v>0</v>
      </c>
      <c r="BG158" s="41">
        <f t="shared" si="2900"/>
        <v>0</v>
      </c>
      <c r="BH158" s="41">
        <f t="shared" si="2901"/>
        <v>0</v>
      </c>
      <c r="BI158" s="42">
        <f t="shared" si="2902"/>
        <v>0</v>
      </c>
      <c r="BJ158" s="95">
        <f t="shared" si="2903"/>
        <v>0</v>
      </c>
      <c r="BK158" s="41">
        <f t="shared" si="2904"/>
        <v>0</v>
      </c>
      <c r="BL158" s="41">
        <f t="shared" si="2905"/>
        <v>0</v>
      </c>
      <c r="BM158" s="42">
        <f t="shared" si="2906"/>
        <v>0</v>
      </c>
      <c r="BN158" s="95">
        <f t="shared" si="2907"/>
        <v>0</v>
      </c>
      <c r="BO158" s="41">
        <f t="shared" si="2908"/>
        <v>0</v>
      </c>
      <c r="BP158" s="41">
        <f t="shared" si="2909"/>
        <v>0</v>
      </c>
      <c r="BQ158" s="41">
        <f t="shared" si="2910"/>
        <v>0</v>
      </c>
      <c r="BR158" s="41">
        <f t="shared" si="2911"/>
        <v>0</v>
      </c>
      <c r="BS158" s="42">
        <f t="shared" si="2912"/>
        <v>0</v>
      </c>
      <c r="BT158" s="95">
        <f t="shared" si="2913"/>
        <v>0</v>
      </c>
      <c r="BU158" s="41">
        <f t="shared" si="2914"/>
        <v>0</v>
      </c>
      <c r="BV158" s="41">
        <f t="shared" si="2915"/>
        <v>0</v>
      </c>
      <c r="BW158" s="41">
        <f t="shared" si="2916"/>
        <v>0</v>
      </c>
      <c r="BX158" s="42">
        <f t="shared" si="2917"/>
        <v>0</v>
      </c>
      <c r="BY158" s="95">
        <f t="shared" si="2918"/>
        <v>0</v>
      </c>
      <c r="BZ158" s="41">
        <f t="shared" si="2919"/>
        <v>0</v>
      </c>
      <c r="CA158" s="41">
        <f t="shared" si="2920"/>
        <v>0</v>
      </c>
      <c r="CB158" s="41">
        <f t="shared" si="2921"/>
        <v>0</v>
      </c>
      <c r="CC158" s="41">
        <f t="shared" si="2922"/>
        <v>0</v>
      </c>
      <c r="CD158" s="41">
        <f t="shared" si="2923"/>
        <v>0</v>
      </c>
      <c r="CE158" s="41">
        <f t="shared" si="2924"/>
        <v>0</v>
      </c>
      <c r="CF158" s="41">
        <f t="shared" si="2925"/>
        <v>0</v>
      </c>
      <c r="CG158" s="41">
        <f t="shared" si="2926"/>
        <v>0</v>
      </c>
      <c r="CH158" s="41">
        <f t="shared" si="2927"/>
        <v>0</v>
      </c>
      <c r="CI158" s="41">
        <f t="shared" si="2928"/>
        <v>0</v>
      </c>
      <c r="CJ158" s="42">
        <f t="shared" si="2929"/>
        <v>0</v>
      </c>
      <c r="CL158" s="36">
        <v>2</v>
      </c>
      <c r="CN158" s="95">
        <f t="shared" ref="CN158" si="2965">AVERAGE(BB158:BB159)*$CL158</f>
        <v>0</v>
      </c>
      <c r="CO158" s="41">
        <f t="shared" ref="CO158" si="2966">AVERAGE(BC158:BC159)*$CL158</f>
        <v>0</v>
      </c>
      <c r="CP158" s="41">
        <f t="shared" ref="CP158" si="2967">AVERAGE(BD158:BD159)*$CL158</f>
        <v>0</v>
      </c>
      <c r="CQ158" s="41">
        <f t="shared" ref="CQ158" si="2968">AVERAGE(BE158:BE159)*$CL158</f>
        <v>0</v>
      </c>
      <c r="CR158" s="41">
        <f t="shared" ref="CR158" si="2969">AVERAGE(BF158:BF159)*$CL158</f>
        <v>0</v>
      </c>
      <c r="CS158" s="41">
        <f t="shared" ref="CS158" si="2970">AVERAGE(BG158:BG159)*$CL158</f>
        <v>0</v>
      </c>
      <c r="CT158" s="41">
        <f t="shared" ref="CT158" si="2971">AVERAGE(BH158:BH159)*$CL158</f>
        <v>0</v>
      </c>
      <c r="CU158" s="42">
        <f t="shared" ref="CU158" si="2972">AVERAGE(BI158:BI159)*$CL158</f>
        <v>0</v>
      </c>
      <c r="CV158" s="95">
        <f t="shared" ref="CV158" si="2973">AVERAGE(BJ158:BJ159)*$CL158</f>
        <v>0</v>
      </c>
      <c r="CW158" s="41">
        <f t="shared" ref="CW158" si="2974">AVERAGE(BK158:BK159)*$CL158</f>
        <v>0</v>
      </c>
      <c r="CX158" s="41">
        <f t="shared" ref="CX158" si="2975">AVERAGE(BL158:BL159)*$CL158</f>
        <v>0</v>
      </c>
      <c r="CY158" s="42">
        <f t="shared" ref="CY158" si="2976">AVERAGE(BM158:BM159)*$CL158</f>
        <v>0</v>
      </c>
      <c r="CZ158" s="95">
        <f t="shared" ref="CZ158" si="2977">AVERAGE(BN158:BN159)*$CL158</f>
        <v>0</v>
      </c>
      <c r="DA158" s="41">
        <f t="shared" ref="DA158" si="2978">AVERAGE(BO158:BO159)*$CL158</f>
        <v>0</v>
      </c>
      <c r="DB158" s="41">
        <f t="shared" ref="DB158" si="2979">AVERAGE(BP158:BP159)*$CL158</f>
        <v>0</v>
      </c>
      <c r="DC158" s="41">
        <f t="shared" ref="DC158" si="2980">AVERAGE(BQ158:BQ159)*$CL158</f>
        <v>0</v>
      </c>
      <c r="DD158" s="41">
        <f t="shared" ref="DD158" si="2981">AVERAGE(BR158:BR159)*$CL158</f>
        <v>0</v>
      </c>
      <c r="DE158" s="42">
        <f t="shared" ref="DE158" si="2982">AVERAGE(BS158:BS159)*$CL158</f>
        <v>0</v>
      </c>
      <c r="DF158" s="95">
        <f t="shared" ref="DF158" si="2983">AVERAGE(BT158:BT159)*$CL158</f>
        <v>0</v>
      </c>
      <c r="DG158" s="41">
        <f t="shared" ref="DG158" si="2984">AVERAGE(BU158:BU159)*$CL158</f>
        <v>0</v>
      </c>
      <c r="DH158" s="41">
        <f t="shared" ref="DH158" si="2985">AVERAGE(BV158:BV159)*$CL158</f>
        <v>0</v>
      </c>
      <c r="DI158" s="41">
        <f t="shared" ref="DI158" si="2986">AVERAGE(BW158:BW159)*$CL158</f>
        <v>0</v>
      </c>
      <c r="DJ158" s="42">
        <f t="shared" ref="DJ158" si="2987">AVERAGE(BX158:BX159)*$CL158</f>
        <v>0</v>
      </c>
      <c r="DK158" s="95">
        <f t="shared" ref="DK158" si="2988">AVERAGE(BY158:BY159)*$CL158</f>
        <v>0</v>
      </c>
      <c r="DL158" s="41">
        <f t="shared" ref="DL158" si="2989">AVERAGE(BZ158:BZ159)*$CL158</f>
        <v>0</v>
      </c>
      <c r="DM158" s="41">
        <f t="shared" ref="DM158" si="2990">AVERAGE(CA158:CA159)*$CL158</f>
        <v>0</v>
      </c>
      <c r="DN158" s="41">
        <f t="shared" ref="DN158" si="2991">AVERAGE(CB158:CB159)*$CL158</f>
        <v>0</v>
      </c>
      <c r="DO158" s="41">
        <f t="shared" ref="DO158" si="2992">AVERAGE(CC158:CC159)*$CL158</f>
        <v>0</v>
      </c>
      <c r="DP158" s="41">
        <f t="shared" ref="DP158" si="2993">AVERAGE(CD158:CD159)*$CL158</f>
        <v>0</v>
      </c>
      <c r="DQ158" s="41">
        <f t="shared" ref="DQ158" si="2994">AVERAGE(CE158:CE159)*$CL158</f>
        <v>0</v>
      </c>
      <c r="DR158" s="41">
        <f t="shared" ref="DR158" si="2995">AVERAGE(CF158:CF159)*$CL158</f>
        <v>0</v>
      </c>
      <c r="DS158" s="41">
        <f t="shared" ref="DS158" si="2996">AVERAGE(CG158:CG159)*$CL158</f>
        <v>0</v>
      </c>
      <c r="DT158" s="41">
        <f t="shared" ref="DT158" si="2997">AVERAGE(CH158:CH159)*$CL158</f>
        <v>0</v>
      </c>
      <c r="DU158" s="41">
        <f t="shared" ref="DU158" si="2998">AVERAGE(CI158:CI159)*$CL158</f>
        <v>0</v>
      </c>
      <c r="DV158" s="42">
        <f t="shared" ref="DV158" si="2999">AVERAGE(CJ158:CJ159)*$CL158</f>
        <v>0</v>
      </c>
      <c r="DX158" s="138"/>
      <c r="DY158" s="34"/>
      <c r="DZ158" s="34"/>
      <c r="EA158" s="34"/>
      <c r="EB158" s="34"/>
      <c r="EC158" s="34"/>
      <c r="ED158" s="34"/>
      <c r="EE158" s="139"/>
      <c r="EF158" s="138"/>
      <c r="EG158" s="34"/>
      <c r="EH158" s="34"/>
      <c r="EI158" s="139"/>
      <c r="EJ158" s="138"/>
      <c r="EK158" s="34"/>
      <c r="EL158" s="34"/>
      <c r="EM158" s="34"/>
      <c r="EN158" s="34"/>
      <c r="EO158" s="139"/>
      <c r="EP158" s="138"/>
      <c r="EQ158" s="34"/>
      <c r="ER158" s="34"/>
      <c r="ES158" s="34"/>
      <c r="ET158" s="139"/>
      <c r="EU158" s="138"/>
      <c r="EV158" s="34"/>
      <c r="EW158" s="34"/>
      <c r="EX158" s="34"/>
      <c r="EY158" s="34"/>
      <c r="EZ158" s="34"/>
      <c r="FA158" s="34"/>
      <c r="FB158" s="34"/>
      <c r="FC158" s="34"/>
      <c r="FD158" s="34"/>
      <c r="FE158" s="34"/>
      <c r="FF158" s="139"/>
    </row>
    <row r="159" spans="2:162" ht="16.5" thickBot="1" x14ac:dyDescent="0.3">
      <c r="B159" s="127">
        <f t="shared" si="2964"/>
        <v>45620</v>
      </c>
      <c r="C159" s="267"/>
      <c r="D159" s="100"/>
      <c r="E159" s="131"/>
      <c r="F159" s="25"/>
      <c r="G159" s="25"/>
      <c r="H159" s="171"/>
      <c r="I159" s="172"/>
      <c r="J159" s="173"/>
      <c r="K159" s="173"/>
      <c r="L159" s="174"/>
      <c r="M159" s="174"/>
      <c r="N159" s="175"/>
      <c r="O159" s="25"/>
      <c r="P159" s="96"/>
      <c r="Q159" s="76"/>
      <c r="R159" s="76"/>
      <c r="S159" s="76"/>
      <c r="T159" s="76"/>
      <c r="U159" s="76"/>
      <c r="V159" s="76"/>
      <c r="W159" s="77"/>
      <c r="X159" s="96"/>
      <c r="Y159" s="76"/>
      <c r="Z159" s="76"/>
      <c r="AA159" s="77"/>
      <c r="AB159" s="96"/>
      <c r="AC159" s="76"/>
      <c r="AD159" s="76"/>
      <c r="AE159" s="76"/>
      <c r="AF159" s="76"/>
      <c r="AG159" s="77"/>
      <c r="AH159" s="96"/>
      <c r="AI159" s="76"/>
      <c r="AJ159" s="76"/>
      <c r="AK159" s="76"/>
      <c r="AL159" s="77"/>
      <c r="AM159" s="96"/>
      <c r="AN159" s="76"/>
      <c r="AO159" s="76"/>
      <c r="AP159" s="76"/>
      <c r="AQ159" s="76"/>
      <c r="AR159" s="76"/>
      <c r="AS159" s="76"/>
      <c r="AT159" s="76"/>
      <c r="AU159" s="76"/>
      <c r="AV159" s="76"/>
      <c r="AW159" s="76"/>
      <c r="AX159" s="76"/>
      <c r="AY159" s="76"/>
      <c r="AZ159" s="77"/>
      <c r="BB159" s="96">
        <f t="shared" si="2895"/>
        <v>0</v>
      </c>
      <c r="BC159" s="76">
        <f t="shared" si="2896"/>
        <v>0</v>
      </c>
      <c r="BD159" s="76">
        <f t="shared" si="2897"/>
        <v>0</v>
      </c>
      <c r="BE159" s="76">
        <f t="shared" si="2898"/>
        <v>0</v>
      </c>
      <c r="BF159" s="76">
        <f t="shared" si="2899"/>
        <v>0</v>
      </c>
      <c r="BG159" s="76">
        <f t="shared" si="2900"/>
        <v>0</v>
      </c>
      <c r="BH159" s="76">
        <f t="shared" si="2901"/>
        <v>0</v>
      </c>
      <c r="BI159" s="77">
        <f t="shared" si="2902"/>
        <v>0</v>
      </c>
      <c r="BJ159" s="96">
        <f t="shared" si="2903"/>
        <v>0</v>
      </c>
      <c r="BK159" s="76">
        <f t="shared" si="2904"/>
        <v>0</v>
      </c>
      <c r="BL159" s="76">
        <f t="shared" si="2905"/>
        <v>0</v>
      </c>
      <c r="BM159" s="77">
        <f t="shared" si="2906"/>
        <v>0</v>
      </c>
      <c r="BN159" s="96">
        <f t="shared" si="2907"/>
        <v>0</v>
      </c>
      <c r="BO159" s="76">
        <f t="shared" si="2908"/>
        <v>0</v>
      </c>
      <c r="BP159" s="76">
        <f t="shared" si="2909"/>
        <v>0</v>
      </c>
      <c r="BQ159" s="76">
        <f t="shared" si="2910"/>
        <v>0</v>
      </c>
      <c r="BR159" s="76">
        <f t="shared" si="2911"/>
        <v>0</v>
      </c>
      <c r="BS159" s="77">
        <f t="shared" si="2912"/>
        <v>0</v>
      </c>
      <c r="BT159" s="96">
        <f t="shared" si="2913"/>
        <v>0</v>
      </c>
      <c r="BU159" s="76">
        <f t="shared" si="2914"/>
        <v>0</v>
      </c>
      <c r="BV159" s="76">
        <f t="shared" si="2915"/>
        <v>0</v>
      </c>
      <c r="BW159" s="76">
        <f t="shared" si="2916"/>
        <v>0</v>
      </c>
      <c r="BX159" s="77">
        <f t="shared" si="2917"/>
        <v>0</v>
      </c>
      <c r="BY159" s="96">
        <f t="shared" si="2918"/>
        <v>0</v>
      </c>
      <c r="BZ159" s="76">
        <f t="shared" si="2919"/>
        <v>0</v>
      </c>
      <c r="CA159" s="76">
        <f t="shared" si="2920"/>
        <v>0</v>
      </c>
      <c r="CB159" s="76">
        <f t="shared" si="2921"/>
        <v>0</v>
      </c>
      <c r="CC159" s="76">
        <f t="shared" si="2922"/>
        <v>0</v>
      </c>
      <c r="CD159" s="76">
        <f t="shared" si="2923"/>
        <v>0</v>
      </c>
      <c r="CE159" s="76">
        <f t="shared" si="2924"/>
        <v>0</v>
      </c>
      <c r="CF159" s="76">
        <f t="shared" si="2925"/>
        <v>0</v>
      </c>
      <c r="CG159" s="76">
        <f t="shared" si="2926"/>
        <v>0</v>
      </c>
      <c r="CH159" s="76">
        <f t="shared" si="2927"/>
        <v>0</v>
      </c>
      <c r="CI159" s="76">
        <f t="shared" si="2928"/>
        <v>0</v>
      </c>
      <c r="CJ159" s="77">
        <f t="shared" si="2929"/>
        <v>0</v>
      </c>
      <c r="CN159" s="96"/>
      <c r="CO159" s="76"/>
      <c r="CP159" s="76"/>
      <c r="CQ159" s="76"/>
      <c r="CR159" s="76"/>
      <c r="CS159" s="76"/>
      <c r="CT159" s="76"/>
      <c r="CU159" s="77"/>
      <c r="CV159" s="96"/>
      <c r="CW159" s="76"/>
      <c r="CX159" s="76"/>
      <c r="CY159" s="77"/>
      <c r="CZ159" s="96"/>
      <c r="DA159" s="76"/>
      <c r="DB159" s="76"/>
      <c r="DC159" s="76"/>
      <c r="DD159" s="76"/>
      <c r="DE159" s="77"/>
      <c r="DF159" s="96"/>
      <c r="DG159" s="76"/>
      <c r="DH159" s="76"/>
      <c r="DI159" s="76"/>
      <c r="DJ159" s="77"/>
      <c r="DK159" s="96"/>
      <c r="DL159" s="76"/>
      <c r="DM159" s="76"/>
      <c r="DN159" s="76"/>
      <c r="DO159" s="76"/>
      <c r="DP159" s="76"/>
      <c r="DQ159" s="76"/>
      <c r="DR159" s="76"/>
      <c r="DS159" s="76"/>
      <c r="DT159" s="76"/>
      <c r="DU159" s="76"/>
      <c r="DV159" s="77"/>
      <c r="DX159" s="140"/>
      <c r="DY159" s="141"/>
      <c r="DZ159" s="141"/>
      <c r="EA159" s="141"/>
      <c r="EB159" s="141"/>
      <c r="EC159" s="141"/>
      <c r="ED159" s="141"/>
      <c r="EE159" s="142"/>
      <c r="EF159" s="140"/>
      <c r="EG159" s="141"/>
      <c r="EH159" s="141"/>
      <c r="EI159" s="142"/>
      <c r="EJ159" s="140"/>
      <c r="EK159" s="141"/>
      <c r="EL159" s="141"/>
      <c r="EM159" s="141"/>
      <c r="EN159" s="141"/>
      <c r="EO159" s="142"/>
      <c r="EP159" s="140"/>
      <c r="EQ159" s="141"/>
      <c r="ER159" s="141"/>
      <c r="ES159" s="141"/>
      <c r="ET159" s="142"/>
      <c r="EU159" s="140"/>
      <c r="EV159" s="141"/>
      <c r="EW159" s="141"/>
      <c r="EX159" s="141"/>
      <c r="EY159" s="141"/>
      <c r="EZ159" s="141"/>
      <c r="FA159" s="141"/>
      <c r="FB159" s="141"/>
      <c r="FC159" s="141"/>
      <c r="FD159" s="141"/>
      <c r="FE159" s="141"/>
      <c r="FF159" s="142"/>
    </row>
    <row r="160" spans="2:162" ht="17.25" thickTop="1" thickBot="1" x14ac:dyDescent="0.3">
      <c r="B160" s="178"/>
      <c r="C160" s="268"/>
      <c r="D160" s="101">
        <f t="shared" ref="D160:E160" si="3000">SUM(D153:D159)</f>
        <v>38</v>
      </c>
      <c r="E160" s="134">
        <f t="shared" si="3000"/>
        <v>112.38</v>
      </c>
      <c r="F160" s="146"/>
      <c r="G160" s="146"/>
      <c r="H160" s="43"/>
      <c r="I160" s="39"/>
      <c r="J160" s="39"/>
      <c r="K160" s="39"/>
      <c r="L160" s="184"/>
      <c r="M160" s="185"/>
      <c r="N160" s="170">
        <f>AVERAGE(N153:N157)*5+AVERAGE(N158:N159)*2</f>
        <v>338.42875000000004</v>
      </c>
      <c r="O160" s="146"/>
      <c r="P160" s="68">
        <f t="shared" ref="P160:AZ160" si="3001">SUM(P153:P159)</f>
        <v>3</v>
      </c>
      <c r="Q160" s="65">
        <f t="shared" si="3001"/>
        <v>3</v>
      </c>
      <c r="R160" s="65">
        <f t="shared" si="3001"/>
        <v>1</v>
      </c>
      <c r="S160" s="65">
        <f t="shared" si="3001"/>
        <v>0</v>
      </c>
      <c r="T160" s="65">
        <f t="shared" si="3001"/>
        <v>0</v>
      </c>
      <c r="U160" s="65">
        <f t="shared" si="3001"/>
        <v>0</v>
      </c>
      <c r="V160" s="65">
        <f t="shared" si="3001"/>
        <v>6</v>
      </c>
      <c r="W160" s="66">
        <f t="shared" si="3001"/>
        <v>2</v>
      </c>
      <c r="X160" s="68">
        <f t="shared" si="3001"/>
        <v>0</v>
      </c>
      <c r="Y160" s="65">
        <f t="shared" si="3001"/>
        <v>0</v>
      </c>
      <c r="Z160" s="65">
        <f t="shared" si="3001"/>
        <v>0</v>
      </c>
      <c r="AA160" s="66">
        <f t="shared" si="3001"/>
        <v>0</v>
      </c>
      <c r="AB160" s="68">
        <f t="shared" si="3001"/>
        <v>0</v>
      </c>
      <c r="AC160" s="65">
        <f t="shared" si="3001"/>
        <v>0</v>
      </c>
      <c r="AD160" s="65">
        <f t="shared" si="3001"/>
        <v>0</v>
      </c>
      <c r="AE160" s="65">
        <f t="shared" si="3001"/>
        <v>0</v>
      </c>
      <c r="AF160" s="65">
        <f t="shared" si="3001"/>
        <v>0</v>
      </c>
      <c r="AG160" s="66">
        <f t="shared" si="3001"/>
        <v>0</v>
      </c>
      <c r="AH160" s="68">
        <f t="shared" si="3001"/>
        <v>0</v>
      </c>
      <c r="AI160" s="65">
        <f t="shared" si="3001"/>
        <v>0</v>
      </c>
      <c r="AJ160" s="65">
        <f t="shared" si="3001"/>
        <v>0</v>
      </c>
      <c r="AK160" s="65">
        <f t="shared" si="3001"/>
        <v>0</v>
      </c>
      <c r="AL160" s="66">
        <f t="shared" si="3001"/>
        <v>0</v>
      </c>
      <c r="AM160" s="68">
        <f t="shared" si="3001"/>
        <v>0</v>
      </c>
      <c r="AN160" s="65">
        <f t="shared" si="3001"/>
        <v>0</v>
      </c>
      <c r="AO160" s="65">
        <f t="shared" si="3001"/>
        <v>0</v>
      </c>
      <c r="AP160" s="65">
        <f t="shared" si="3001"/>
        <v>0</v>
      </c>
      <c r="AQ160" s="65">
        <f t="shared" si="3001"/>
        <v>0</v>
      </c>
      <c r="AR160" s="65">
        <f t="shared" si="3001"/>
        <v>0</v>
      </c>
      <c r="AS160" s="65">
        <f t="shared" si="3001"/>
        <v>0</v>
      </c>
      <c r="AT160" s="65">
        <f t="shared" si="3001"/>
        <v>0</v>
      </c>
      <c r="AU160" s="65">
        <f t="shared" si="3001"/>
        <v>0</v>
      </c>
      <c r="AV160" s="65">
        <f t="shared" si="3001"/>
        <v>0</v>
      </c>
      <c r="AW160" s="65">
        <f t="shared" si="3001"/>
        <v>0</v>
      </c>
      <c r="AX160" s="65">
        <f t="shared" si="3001"/>
        <v>0</v>
      </c>
      <c r="AY160" s="65">
        <f t="shared" si="3001"/>
        <v>0</v>
      </c>
      <c r="AZ160" s="66">
        <f t="shared" si="3001"/>
        <v>0</v>
      </c>
      <c r="BB160" s="68">
        <f t="shared" ref="BB160:CJ160" si="3002">SUM(BB153:BB159)</f>
        <v>0</v>
      </c>
      <c r="BC160" s="65">
        <f t="shared" si="3002"/>
        <v>0</v>
      </c>
      <c r="BD160" s="65">
        <f t="shared" si="3002"/>
        <v>0</v>
      </c>
      <c r="BE160" s="65">
        <f t="shared" si="3002"/>
        <v>0</v>
      </c>
      <c r="BF160" s="65">
        <f t="shared" si="3002"/>
        <v>0</v>
      </c>
      <c r="BG160" s="65">
        <f t="shared" si="3002"/>
        <v>0</v>
      </c>
      <c r="BH160" s="65">
        <f t="shared" si="3002"/>
        <v>0</v>
      </c>
      <c r="BI160" s="66">
        <f t="shared" si="3002"/>
        <v>0</v>
      </c>
      <c r="BJ160" s="68">
        <f t="shared" si="3002"/>
        <v>0</v>
      </c>
      <c r="BK160" s="65">
        <f t="shared" si="3002"/>
        <v>0</v>
      </c>
      <c r="BL160" s="65">
        <f t="shared" si="3002"/>
        <v>0</v>
      </c>
      <c r="BM160" s="66">
        <f t="shared" si="3002"/>
        <v>0</v>
      </c>
      <c r="BN160" s="68">
        <f t="shared" si="3002"/>
        <v>0</v>
      </c>
      <c r="BO160" s="65">
        <f t="shared" si="3002"/>
        <v>0</v>
      </c>
      <c r="BP160" s="65">
        <f t="shared" si="3002"/>
        <v>0</v>
      </c>
      <c r="BQ160" s="65">
        <f t="shared" si="3002"/>
        <v>0</v>
      </c>
      <c r="BR160" s="65">
        <f t="shared" si="3002"/>
        <v>0</v>
      </c>
      <c r="BS160" s="66">
        <f t="shared" si="3002"/>
        <v>0</v>
      </c>
      <c r="BT160" s="68">
        <f t="shared" si="3002"/>
        <v>0</v>
      </c>
      <c r="BU160" s="65">
        <f t="shared" si="3002"/>
        <v>0</v>
      </c>
      <c r="BV160" s="65">
        <f t="shared" si="3002"/>
        <v>0</v>
      </c>
      <c r="BW160" s="65">
        <f t="shared" si="3002"/>
        <v>0</v>
      </c>
      <c r="BX160" s="66">
        <f t="shared" si="3002"/>
        <v>0</v>
      </c>
      <c r="BY160" s="68">
        <f t="shared" si="3002"/>
        <v>0</v>
      </c>
      <c r="BZ160" s="65">
        <f t="shared" si="3002"/>
        <v>0</v>
      </c>
      <c r="CA160" s="65">
        <f t="shared" si="3002"/>
        <v>0</v>
      </c>
      <c r="CB160" s="65">
        <f t="shared" si="3002"/>
        <v>0</v>
      </c>
      <c r="CC160" s="65">
        <f t="shared" si="3002"/>
        <v>0</v>
      </c>
      <c r="CD160" s="65">
        <f t="shared" si="3002"/>
        <v>0</v>
      </c>
      <c r="CE160" s="65">
        <f t="shared" si="3002"/>
        <v>0</v>
      </c>
      <c r="CF160" s="65">
        <f t="shared" si="3002"/>
        <v>0</v>
      </c>
      <c r="CG160" s="65">
        <f t="shared" si="3002"/>
        <v>0</v>
      </c>
      <c r="CH160" s="65">
        <f t="shared" si="3002"/>
        <v>0</v>
      </c>
      <c r="CI160" s="65">
        <f t="shared" si="3002"/>
        <v>0</v>
      </c>
      <c r="CJ160" s="66">
        <f t="shared" si="3002"/>
        <v>0</v>
      </c>
      <c r="CN160" s="68">
        <f t="shared" ref="CN160:DV160" si="3003">SUM(CN153:CN159)</f>
        <v>0</v>
      </c>
      <c r="CO160" s="65">
        <f t="shared" si="3003"/>
        <v>0</v>
      </c>
      <c r="CP160" s="65">
        <f t="shared" si="3003"/>
        <v>0</v>
      </c>
      <c r="CQ160" s="65">
        <f t="shared" si="3003"/>
        <v>0</v>
      </c>
      <c r="CR160" s="65">
        <f t="shared" si="3003"/>
        <v>0</v>
      </c>
      <c r="CS160" s="65">
        <f t="shared" si="3003"/>
        <v>0</v>
      </c>
      <c r="CT160" s="65">
        <f t="shared" si="3003"/>
        <v>0</v>
      </c>
      <c r="CU160" s="66">
        <f t="shared" si="3003"/>
        <v>0</v>
      </c>
      <c r="CV160" s="68">
        <f t="shared" si="3003"/>
        <v>0</v>
      </c>
      <c r="CW160" s="65">
        <f t="shared" si="3003"/>
        <v>0</v>
      </c>
      <c r="CX160" s="65">
        <f t="shared" si="3003"/>
        <v>0</v>
      </c>
      <c r="CY160" s="66">
        <f t="shared" si="3003"/>
        <v>0</v>
      </c>
      <c r="CZ160" s="68">
        <f t="shared" si="3003"/>
        <v>0</v>
      </c>
      <c r="DA160" s="65">
        <f t="shared" si="3003"/>
        <v>0</v>
      </c>
      <c r="DB160" s="65">
        <f t="shared" si="3003"/>
        <v>0</v>
      </c>
      <c r="DC160" s="65">
        <f t="shared" si="3003"/>
        <v>0</v>
      </c>
      <c r="DD160" s="65">
        <f t="shared" si="3003"/>
        <v>0</v>
      </c>
      <c r="DE160" s="66">
        <f t="shared" si="3003"/>
        <v>0</v>
      </c>
      <c r="DF160" s="68">
        <f t="shared" si="3003"/>
        <v>0</v>
      </c>
      <c r="DG160" s="65">
        <f t="shared" si="3003"/>
        <v>0</v>
      </c>
      <c r="DH160" s="65">
        <f t="shared" si="3003"/>
        <v>0</v>
      </c>
      <c r="DI160" s="65">
        <f t="shared" si="3003"/>
        <v>0</v>
      </c>
      <c r="DJ160" s="66">
        <f t="shared" si="3003"/>
        <v>0</v>
      </c>
      <c r="DK160" s="68">
        <f t="shared" si="3003"/>
        <v>0</v>
      </c>
      <c r="DL160" s="65">
        <f t="shared" si="3003"/>
        <v>0</v>
      </c>
      <c r="DM160" s="65">
        <f t="shared" si="3003"/>
        <v>0</v>
      </c>
      <c r="DN160" s="65">
        <f t="shared" si="3003"/>
        <v>0</v>
      </c>
      <c r="DO160" s="65">
        <f t="shared" si="3003"/>
        <v>0</v>
      </c>
      <c r="DP160" s="65">
        <f t="shared" si="3003"/>
        <v>0</v>
      </c>
      <c r="DQ160" s="65">
        <f t="shared" si="3003"/>
        <v>0</v>
      </c>
      <c r="DR160" s="65">
        <f t="shared" si="3003"/>
        <v>0</v>
      </c>
      <c r="DS160" s="65">
        <f t="shared" si="3003"/>
        <v>0</v>
      </c>
      <c r="DT160" s="65">
        <f t="shared" si="3003"/>
        <v>0</v>
      </c>
      <c r="DU160" s="65">
        <f t="shared" si="3003"/>
        <v>0</v>
      </c>
      <c r="DV160" s="66">
        <f t="shared" si="3003"/>
        <v>0</v>
      </c>
      <c r="DX160" s="143"/>
      <c r="DY160" s="144"/>
      <c r="DZ160" s="144"/>
      <c r="EA160" s="144"/>
      <c r="EB160" s="144"/>
      <c r="EC160" s="144"/>
      <c r="ED160" s="144"/>
      <c r="EE160" s="145"/>
      <c r="EF160" s="143"/>
      <c r="EG160" s="144"/>
      <c r="EH160" s="144"/>
      <c r="EI160" s="145"/>
      <c r="EJ160" s="143"/>
      <c r="EK160" s="144"/>
      <c r="EL160" s="144"/>
      <c r="EM160" s="144"/>
      <c r="EN160" s="144"/>
      <c r="EO160" s="144"/>
      <c r="EP160" s="143"/>
      <c r="EQ160" s="144"/>
      <c r="ER160" s="144"/>
      <c r="ES160" s="144"/>
      <c r="ET160" s="145"/>
      <c r="EU160" s="143"/>
      <c r="EV160" s="144"/>
      <c r="EW160" s="144"/>
      <c r="EX160" s="144"/>
      <c r="EY160" s="144"/>
      <c r="EZ160" s="144"/>
      <c r="FA160" s="144"/>
      <c r="FB160" s="144"/>
      <c r="FC160" s="144"/>
      <c r="FD160" s="144"/>
      <c r="FE160" s="144"/>
      <c r="FF160" s="145"/>
    </row>
    <row r="161" spans="1:163" ht="16.5" thickBot="1" x14ac:dyDescent="0.3">
      <c r="L161" s="253"/>
    </row>
    <row r="162" spans="1:163" x14ac:dyDescent="0.25">
      <c r="B162" s="176">
        <f>B153+7</f>
        <v>45621</v>
      </c>
      <c r="C162" s="265"/>
      <c r="D162" s="103"/>
      <c r="E162" s="156"/>
      <c r="F162" s="25"/>
      <c r="G162" s="25"/>
      <c r="H162" s="179"/>
      <c r="I162" s="180"/>
      <c r="J162" s="181"/>
      <c r="K162" s="181"/>
      <c r="L162" s="182"/>
      <c r="M162" s="182"/>
      <c r="N162" s="183"/>
      <c r="O162" s="25"/>
      <c r="P162" s="157"/>
      <c r="Q162" s="158"/>
      <c r="R162" s="158"/>
      <c r="S162" s="158"/>
      <c r="T162" s="158"/>
      <c r="U162" s="158"/>
      <c r="V162" s="158"/>
      <c r="W162" s="159"/>
      <c r="X162" s="157"/>
      <c r="Y162" s="158"/>
      <c r="Z162" s="158"/>
      <c r="AA162" s="159"/>
      <c r="AB162" s="157"/>
      <c r="AC162" s="158"/>
      <c r="AD162" s="158"/>
      <c r="AE162" s="158"/>
      <c r="AF162" s="158"/>
      <c r="AG162" s="159"/>
      <c r="AH162" s="157"/>
      <c r="AI162" s="158"/>
      <c r="AJ162" s="158"/>
      <c r="AK162" s="158"/>
      <c r="AL162" s="159"/>
      <c r="AM162" s="157"/>
      <c r="AN162" s="158"/>
      <c r="AO162" s="158"/>
      <c r="AP162" s="158"/>
      <c r="AQ162" s="158"/>
      <c r="AR162" s="158"/>
      <c r="AS162" s="158"/>
      <c r="AT162" s="158"/>
      <c r="AU162" s="158"/>
      <c r="AV162" s="158"/>
      <c r="AW162" s="158"/>
      <c r="AX162" s="158"/>
      <c r="AY162" s="158"/>
      <c r="AZ162" s="159"/>
      <c r="BB162" s="95"/>
      <c r="BC162" s="41"/>
      <c r="BD162" s="41"/>
      <c r="BE162" s="41"/>
      <c r="BF162" s="41"/>
      <c r="BG162" s="41"/>
      <c r="BH162" s="41"/>
      <c r="BI162" s="42"/>
      <c r="BJ162" s="95"/>
      <c r="BK162" s="41"/>
      <c r="BL162" s="41"/>
      <c r="BM162" s="42"/>
      <c r="BN162" s="95"/>
      <c r="BO162" s="41"/>
      <c r="BP162" s="41"/>
      <c r="BQ162" s="41"/>
      <c r="BR162" s="41"/>
      <c r="BS162" s="42"/>
      <c r="BT162" s="95"/>
      <c r="BU162" s="41"/>
      <c r="BV162" s="41"/>
      <c r="BW162" s="41"/>
      <c r="BX162" s="42"/>
      <c r="BY162" s="95"/>
      <c r="BZ162" s="41"/>
      <c r="CA162" s="41"/>
      <c r="CB162" s="41"/>
      <c r="CC162" s="41"/>
      <c r="CD162" s="41"/>
      <c r="CE162" s="41"/>
      <c r="CF162" s="41"/>
      <c r="CG162" s="41"/>
      <c r="CH162" s="41"/>
      <c r="CI162" s="41"/>
      <c r="CJ162" s="42"/>
      <c r="CL162" s="36">
        <v>1</v>
      </c>
      <c r="CN162" s="157">
        <f>AVERAGE(BB162:BB166)*$CL162</f>
        <v>0</v>
      </c>
      <c r="CO162" s="158">
        <f t="shared" ref="CO162" si="3004">AVERAGE(BC162:BC166)*$CL162</f>
        <v>0</v>
      </c>
      <c r="CP162" s="158">
        <f t="shared" ref="CP162" si="3005">AVERAGE(BD162:BD166)*$CL162</f>
        <v>0</v>
      </c>
      <c r="CQ162" s="158">
        <f t="shared" ref="CQ162" si="3006">AVERAGE(BE162:BE166)*$CL162</f>
        <v>0</v>
      </c>
      <c r="CR162" s="158">
        <f t="shared" ref="CR162" si="3007">AVERAGE(BF162:BF166)*$CL162</f>
        <v>0</v>
      </c>
      <c r="CS162" s="158">
        <f t="shared" ref="CS162" si="3008">AVERAGE(BG162:BG166)*$CL162</f>
        <v>0</v>
      </c>
      <c r="CT162" s="158">
        <f t="shared" ref="CT162" si="3009">AVERAGE(BH162:BH166)*$CL162</f>
        <v>1.9075894612662212</v>
      </c>
      <c r="CU162" s="159">
        <f t="shared" ref="CU162" si="3010">AVERAGE(BI162:BI166)*$CL162</f>
        <v>0</v>
      </c>
      <c r="CV162" s="157">
        <f t="shared" ref="CV162" si="3011">AVERAGE(BJ162:BJ166)*$CL162</f>
        <v>0</v>
      </c>
      <c r="CW162" s="158">
        <f t="shared" ref="CW162" si="3012">AVERAGE(BK162:BK166)*$CL162</f>
        <v>0</v>
      </c>
      <c r="CX162" s="158">
        <f t="shared" ref="CX162" si="3013">AVERAGE(BL162:BL166)*$CL162</f>
        <v>0</v>
      </c>
      <c r="CY162" s="159">
        <f t="shared" ref="CY162" si="3014">AVERAGE(BM162:BM166)*$CL162</f>
        <v>0</v>
      </c>
      <c r="CZ162" s="157">
        <f t="shared" ref="CZ162" si="3015">AVERAGE(BN162:BN166)*$CL162</f>
        <v>0</v>
      </c>
      <c r="DA162" s="158">
        <f t="shared" ref="DA162" si="3016">AVERAGE(BO162:BO166)*$CL162</f>
        <v>0</v>
      </c>
      <c r="DB162" s="158">
        <f t="shared" ref="DB162" si="3017">AVERAGE(BP162:BP166)*$CL162</f>
        <v>0</v>
      </c>
      <c r="DC162" s="158">
        <f t="shared" ref="DC162" si="3018">AVERAGE(BQ162:BQ166)*$CL162</f>
        <v>0</v>
      </c>
      <c r="DD162" s="158">
        <f t="shared" ref="DD162" si="3019">AVERAGE(BR162:BR166)*$CL162</f>
        <v>0</v>
      </c>
      <c r="DE162" s="159">
        <f t="shared" ref="DE162" si="3020">AVERAGE(BS162:BS166)*$CL162</f>
        <v>0</v>
      </c>
      <c r="DF162" s="157">
        <f t="shared" ref="DF162" si="3021">AVERAGE(BT162:BT166)*$CL162</f>
        <v>0</v>
      </c>
      <c r="DG162" s="158">
        <f t="shared" ref="DG162" si="3022">AVERAGE(BU162:BU166)*$CL162</f>
        <v>0</v>
      </c>
      <c r="DH162" s="158">
        <f t="shared" ref="DH162" si="3023">AVERAGE(BV162:BV166)*$CL162</f>
        <v>0</v>
      </c>
      <c r="DI162" s="158">
        <f t="shared" ref="DI162" si="3024">AVERAGE(BW162:BW166)*$CL162</f>
        <v>0</v>
      </c>
      <c r="DJ162" s="159">
        <f t="shared" ref="DJ162" si="3025">AVERAGE(BX162:BX166)*$CL162</f>
        <v>0</v>
      </c>
      <c r="DK162" s="157">
        <f t="shared" ref="DK162" si="3026">AVERAGE(BY162:BY166)*$CL162</f>
        <v>0</v>
      </c>
      <c r="DL162" s="158">
        <f t="shared" ref="DL162" si="3027">AVERAGE(BZ162:BZ166)*$CL162</f>
        <v>0</v>
      </c>
      <c r="DM162" s="158">
        <f t="shared" ref="DM162" si="3028">AVERAGE(CA162:CA166)*$CL162</f>
        <v>0</v>
      </c>
      <c r="DN162" s="158">
        <f t="shared" ref="DN162" si="3029">AVERAGE(CB162:CB166)*$CL162</f>
        <v>0</v>
      </c>
      <c r="DO162" s="158">
        <f t="shared" ref="DO162" si="3030">AVERAGE(CC162:CC166)*$CL162</f>
        <v>0</v>
      </c>
      <c r="DP162" s="158">
        <f t="shared" ref="DP162" si="3031">AVERAGE(CD162:CD166)*$CL162</f>
        <v>0</v>
      </c>
      <c r="DQ162" s="158">
        <f t="shared" ref="DQ162" si="3032">AVERAGE(CE162:CE166)*$CL162</f>
        <v>0</v>
      </c>
      <c r="DR162" s="158">
        <f t="shared" ref="DR162" si="3033">AVERAGE(CF162:CF166)*$CL162</f>
        <v>0</v>
      </c>
      <c r="DS162" s="158">
        <f t="shared" ref="DS162" si="3034">AVERAGE(CG162:CG166)*$CL162</f>
        <v>0</v>
      </c>
      <c r="DT162" s="158">
        <f t="shared" ref="DT162" si="3035">AVERAGE(CH162:CH166)*$CL162</f>
        <v>0</v>
      </c>
      <c r="DU162" s="158">
        <f t="shared" ref="DU162" si="3036">AVERAGE(CI162:CI166)*$CL162</f>
        <v>0</v>
      </c>
      <c r="DV162" s="159">
        <f t="shared" ref="DV162" si="3037">AVERAGE(CJ162:CJ166)*$CL162</f>
        <v>0</v>
      </c>
      <c r="DX162" s="138"/>
      <c r="DY162" s="34"/>
      <c r="DZ162" s="34"/>
      <c r="EA162" s="34"/>
      <c r="EB162" s="34"/>
      <c r="EC162" s="34"/>
      <c r="ED162" s="34"/>
      <c r="EE162" s="139"/>
      <c r="EF162" s="138"/>
      <c r="EG162" s="34"/>
      <c r="EH162" s="34"/>
      <c r="EI162" s="139"/>
      <c r="EJ162" s="138"/>
      <c r="EK162" s="34"/>
      <c r="EL162" s="34"/>
      <c r="EM162" s="34"/>
      <c r="EN162" s="34"/>
      <c r="EO162" s="139"/>
      <c r="EP162" s="138"/>
      <c r="EQ162" s="34"/>
      <c r="ER162" s="34"/>
      <c r="ES162" s="34"/>
      <c r="ET162" s="139"/>
      <c r="EU162" s="138"/>
      <c r="EV162" s="34"/>
      <c r="EW162" s="34"/>
      <c r="EX162" s="34"/>
      <c r="EY162" s="34"/>
      <c r="EZ162" s="34"/>
      <c r="FA162" s="34"/>
      <c r="FB162" s="34"/>
      <c r="FC162" s="34"/>
      <c r="FD162" s="34"/>
      <c r="FE162" s="34"/>
      <c r="FF162" s="139"/>
    </row>
    <row r="163" spans="1:163" x14ac:dyDescent="0.25">
      <c r="B163" s="127">
        <f t="shared" ref="B163:B168" si="3038">B162+1</f>
        <v>45622</v>
      </c>
      <c r="C163" s="266"/>
      <c r="D163" s="53">
        <v>9</v>
      </c>
      <c r="E163" s="129">
        <v>25.43</v>
      </c>
      <c r="F163" s="25"/>
      <c r="G163" s="25"/>
      <c r="H163" s="150">
        <v>9</v>
      </c>
      <c r="I163" s="24">
        <v>2</v>
      </c>
      <c r="J163" s="151">
        <v>1</v>
      </c>
      <c r="K163" s="151"/>
      <c r="L163" s="152">
        <v>9.8000000000000007</v>
      </c>
      <c r="M163" s="152">
        <f t="shared" ref="M163" si="3039">H163/I163*K163*L163*1.5</f>
        <v>0</v>
      </c>
      <c r="N163" s="153">
        <f t="shared" ref="N163" si="3040">H163/I163*J163*L163*N$4</f>
        <v>48.510000000000005</v>
      </c>
      <c r="O163" s="25"/>
      <c r="P163" s="95"/>
      <c r="Q163" s="41"/>
      <c r="R163" s="41"/>
      <c r="S163" s="41"/>
      <c r="T163" s="41"/>
      <c r="U163" s="41"/>
      <c r="V163" s="41">
        <v>1</v>
      </c>
      <c r="W163" s="42"/>
      <c r="X163" s="95"/>
      <c r="Y163" s="41"/>
      <c r="Z163" s="41"/>
      <c r="AA163" s="42"/>
      <c r="AB163" s="95"/>
      <c r="AC163" s="41"/>
      <c r="AD163" s="41"/>
      <c r="AE163" s="41"/>
      <c r="AF163" s="41"/>
      <c r="AG163" s="42"/>
      <c r="AH163" s="95"/>
      <c r="AI163" s="41"/>
      <c r="AJ163" s="41"/>
      <c r="AK163" s="41"/>
      <c r="AL163" s="42"/>
      <c r="AM163" s="95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2"/>
      <c r="BB163" s="95">
        <f t="shared" ref="BB163" si="3041">$N163*DX163</f>
        <v>0</v>
      </c>
      <c r="BC163" s="41">
        <f t="shared" ref="BC163" si="3042">$N163*DY163</f>
        <v>0</v>
      </c>
      <c r="BD163" s="41">
        <f t="shared" ref="BD163" si="3043">$N163*DZ163</f>
        <v>0</v>
      </c>
      <c r="BE163" s="41">
        <f t="shared" ref="BE163" si="3044">$N163*EA163</f>
        <v>0</v>
      </c>
      <c r="BF163" s="41">
        <f t="shared" ref="BF163" si="3045">$N163*EB163</f>
        <v>0</v>
      </c>
      <c r="BG163" s="41">
        <f t="shared" ref="BG163" si="3046">$N163*EC163</f>
        <v>0</v>
      </c>
      <c r="BH163" s="41">
        <f t="shared" ref="BH163" si="3047">$N163*ED163</f>
        <v>1.9075894612662212</v>
      </c>
      <c r="BI163" s="42">
        <f t="shared" ref="BI163" si="3048">$N163*EE163</f>
        <v>0</v>
      </c>
      <c r="BJ163" s="95">
        <f t="shared" ref="BJ163" si="3049">$N163*EF163</f>
        <v>0</v>
      </c>
      <c r="BK163" s="41">
        <f t="shared" ref="BK163" si="3050">$N163*EG163</f>
        <v>0</v>
      </c>
      <c r="BL163" s="41">
        <f t="shared" ref="BL163" si="3051">$N163*EH163</f>
        <v>0</v>
      </c>
      <c r="BM163" s="42">
        <f t="shared" ref="BM163" si="3052">$N163*EI163</f>
        <v>0</v>
      </c>
      <c r="BN163" s="95">
        <f t="shared" ref="BN163" si="3053">$N163*EJ163</f>
        <v>0</v>
      </c>
      <c r="BO163" s="41">
        <f t="shared" ref="BO163" si="3054">$N163*EK163</f>
        <v>0</v>
      </c>
      <c r="BP163" s="41">
        <f t="shared" ref="BP163" si="3055">$N163*EL163</f>
        <v>0</v>
      </c>
      <c r="BQ163" s="41">
        <f t="shared" ref="BQ163" si="3056">$N163*EM163</f>
        <v>0</v>
      </c>
      <c r="BR163" s="41">
        <f t="shared" ref="BR163" si="3057">$N163*EN163</f>
        <v>0</v>
      </c>
      <c r="BS163" s="42">
        <f t="shared" ref="BS163" si="3058">$N163*EO163</f>
        <v>0</v>
      </c>
      <c r="BT163" s="95">
        <f t="shared" ref="BT163" si="3059">$N163*EP163</f>
        <v>0</v>
      </c>
      <c r="BU163" s="41">
        <f t="shared" ref="BU163" si="3060">$N163*EQ163</f>
        <v>0</v>
      </c>
      <c r="BV163" s="41">
        <f t="shared" ref="BV163" si="3061">$N163*ER163</f>
        <v>0</v>
      </c>
      <c r="BW163" s="41">
        <f t="shared" ref="BW163" si="3062">$N163*ES163</f>
        <v>0</v>
      </c>
      <c r="BX163" s="42">
        <f t="shared" ref="BX163" si="3063">$N163*ET163</f>
        <v>0</v>
      </c>
      <c r="BY163" s="95">
        <f t="shared" ref="BY163" si="3064">$N163*EU163</f>
        <v>0</v>
      </c>
      <c r="BZ163" s="41">
        <f t="shared" ref="BZ163" si="3065">$N163*EV163</f>
        <v>0</v>
      </c>
      <c r="CA163" s="41">
        <f t="shared" ref="CA163" si="3066">$N163*EW163</f>
        <v>0</v>
      </c>
      <c r="CB163" s="41">
        <f t="shared" ref="CB163" si="3067">$N163*EX163</f>
        <v>0</v>
      </c>
      <c r="CC163" s="41">
        <f t="shared" ref="CC163" si="3068">$N163*EY163</f>
        <v>0</v>
      </c>
      <c r="CD163" s="41">
        <f t="shared" ref="CD163" si="3069">$N163*EZ163</f>
        <v>0</v>
      </c>
      <c r="CE163" s="41">
        <f t="shared" ref="CE163" si="3070">$N163*FA163</f>
        <v>0</v>
      </c>
      <c r="CF163" s="41">
        <f t="shared" ref="CF163" si="3071">$N163*FB163</f>
        <v>0</v>
      </c>
      <c r="CG163" s="41">
        <f t="shared" ref="CG163" si="3072">$N163*FC163</f>
        <v>0</v>
      </c>
      <c r="CH163" s="41">
        <f t="shared" ref="CH163" si="3073">$N163*FD163</f>
        <v>0</v>
      </c>
      <c r="CI163" s="41">
        <f t="shared" ref="CI163" si="3074">$N163*FE163</f>
        <v>0</v>
      </c>
      <c r="CJ163" s="42">
        <f t="shared" ref="CJ163" si="3075">$N163*FF163</f>
        <v>0</v>
      </c>
      <c r="CL163" s="36"/>
      <c r="CN163" s="95"/>
      <c r="CO163" s="41"/>
      <c r="CP163" s="41"/>
      <c r="CQ163" s="41"/>
      <c r="CR163" s="41"/>
      <c r="CS163" s="41"/>
      <c r="CT163" s="41"/>
      <c r="CU163" s="42"/>
      <c r="CV163" s="95"/>
      <c r="CW163" s="41"/>
      <c r="CX163" s="41"/>
      <c r="CY163" s="42"/>
      <c r="CZ163" s="95"/>
      <c r="DA163" s="41"/>
      <c r="DB163" s="41"/>
      <c r="DC163" s="41"/>
      <c r="DD163" s="41"/>
      <c r="DE163" s="42"/>
      <c r="DF163" s="95"/>
      <c r="DG163" s="41"/>
      <c r="DH163" s="41"/>
      <c r="DI163" s="41"/>
      <c r="DJ163" s="42"/>
      <c r="DK163" s="95"/>
      <c r="DL163" s="41"/>
      <c r="DM163" s="41"/>
      <c r="DN163" s="41"/>
      <c r="DO163" s="41"/>
      <c r="DP163" s="41"/>
      <c r="DQ163" s="41"/>
      <c r="DR163" s="41"/>
      <c r="DS163" s="41"/>
      <c r="DT163" s="41"/>
      <c r="DU163" s="41"/>
      <c r="DV163" s="42"/>
      <c r="DX163" s="138">
        <f t="shared" ref="DX163" si="3076">P163/$E163</f>
        <v>0</v>
      </c>
      <c r="DY163" s="34">
        <f t="shared" ref="DY163" si="3077">Q163/$E163</f>
        <v>0</v>
      </c>
      <c r="DZ163" s="34">
        <f t="shared" ref="DZ163" si="3078">R163/$E163</f>
        <v>0</v>
      </c>
      <c r="EA163" s="34">
        <f t="shared" ref="EA163" si="3079">S163/$E163</f>
        <v>0</v>
      </c>
      <c r="EB163" s="34">
        <f t="shared" ref="EB163" si="3080">T163/$E163</f>
        <v>0</v>
      </c>
      <c r="EC163" s="34">
        <f t="shared" ref="EC163" si="3081">U163/$E163</f>
        <v>0</v>
      </c>
      <c r="ED163" s="34">
        <f t="shared" ref="ED163" si="3082">V163/$E163</f>
        <v>3.9323633503735744E-2</v>
      </c>
      <c r="EE163" s="139">
        <f t="shared" ref="EE163" si="3083">W163/$E163</f>
        <v>0</v>
      </c>
      <c r="EF163" s="138">
        <f t="shared" ref="EF163" si="3084">X163/$E163</f>
        <v>0</v>
      </c>
      <c r="EG163" s="34">
        <f t="shared" ref="EG163" si="3085">Y163/$E163</f>
        <v>0</v>
      </c>
      <c r="EH163" s="34">
        <f t="shared" ref="EH163" si="3086">Z163/$E163</f>
        <v>0</v>
      </c>
      <c r="EI163" s="139">
        <f t="shared" ref="EI163" si="3087">AA163/$E163</f>
        <v>0</v>
      </c>
      <c r="EJ163" s="138">
        <f t="shared" ref="EJ163" si="3088">AB163/$E163</f>
        <v>0</v>
      </c>
      <c r="EK163" s="34">
        <f t="shared" ref="EK163" si="3089">AC163/$E163</f>
        <v>0</v>
      </c>
      <c r="EL163" s="34">
        <f t="shared" ref="EL163" si="3090">AD163/$E163</f>
        <v>0</v>
      </c>
      <c r="EM163" s="34">
        <f t="shared" ref="EM163" si="3091">AE163/$E163</f>
        <v>0</v>
      </c>
      <c r="EN163" s="34">
        <f t="shared" ref="EN163" si="3092">AF163/$E163</f>
        <v>0</v>
      </c>
      <c r="EO163" s="139">
        <f t="shared" ref="EO163" si="3093">AG163/$E163</f>
        <v>0</v>
      </c>
      <c r="EP163" s="138">
        <f t="shared" ref="EP163" si="3094">AH163/$E163</f>
        <v>0</v>
      </c>
      <c r="EQ163" s="34">
        <f t="shared" ref="EQ163" si="3095">AI163/$E163</f>
        <v>0</v>
      </c>
      <c r="ER163" s="34">
        <f t="shared" ref="ER163" si="3096">AJ163/$E163</f>
        <v>0</v>
      </c>
      <c r="ES163" s="34">
        <f t="shared" ref="ES163" si="3097">AK163/$E163</f>
        <v>0</v>
      </c>
      <c r="ET163" s="139">
        <f t="shared" ref="ET163" si="3098">AL163/$E163</f>
        <v>0</v>
      </c>
      <c r="EU163" s="138">
        <f t="shared" ref="EU163" si="3099">AM163/$E163</f>
        <v>0</v>
      </c>
      <c r="EV163" s="34">
        <f t="shared" ref="EV163" si="3100">AN163/$E163</f>
        <v>0</v>
      </c>
      <c r="EW163" s="34">
        <f t="shared" ref="EW163" si="3101">AO163/$E163</f>
        <v>0</v>
      </c>
      <c r="EX163" s="34">
        <f t="shared" ref="EX163" si="3102">AP163/$E163</f>
        <v>0</v>
      </c>
      <c r="EY163" s="34">
        <f t="shared" ref="EY163" si="3103">AQ163/$E163</f>
        <v>0</v>
      </c>
      <c r="EZ163" s="34">
        <f t="shared" ref="EZ163" si="3104">AR163/$E163</f>
        <v>0</v>
      </c>
      <c r="FA163" s="34">
        <f t="shared" ref="FA163" si="3105">AS163/$E163</f>
        <v>0</v>
      </c>
      <c r="FB163" s="34">
        <f t="shared" ref="FB163" si="3106">AT163/$E163</f>
        <v>0</v>
      </c>
      <c r="FC163" s="34">
        <f t="shared" ref="FC163" si="3107">AU163/$E163</f>
        <v>0</v>
      </c>
      <c r="FD163" s="34">
        <f t="shared" ref="FD163" si="3108">AV163/$E163</f>
        <v>0</v>
      </c>
      <c r="FE163" s="34">
        <f t="shared" ref="FE163" si="3109">AY163/$E163</f>
        <v>0</v>
      </c>
      <c r="FF163" s="139">
        <f t="shared" ref="FF163" si="3110">AZ163/$E163</f>
        <v>0</v>
      </c>
    </row>
    <row r="164" spans="1:163" x14ac:dyDescent="0.25">
      <c r="B164" s="127">
        <f t="shared" si="3038"/>
        <v>45623</v>
      </c>
      <c r="C164" s="266"/>
      <c r="D164" s="53"/>
      <c r="E164" s="129"/>
      <c r="F164" s="25"/>
      <c r="G164" s="25"/>
      <c r="H164" s="150"/>
      <c r="I164" s="24"/>
      <c r="J164" s="151"/>
      <c r="K164" s="151"/>
      <c r="L164" s="152"/>
      <c r="M164" s="152"/>
      <c r="N164" s="153"/>
      <c r="O164" s="25"/>
      <c r="P164" s="95"/>
      <c r="Q164" s="41"/>
      <c r="R164" s="41"/>
      <c r="S164" s="41"/>
      <c r="T164" s="41"/>
      <c r="U164" s="41"/>
      <c r="V164" s="41"/>
      <c r="W164" s="42"/>
      <c r="X164" s="95"/>
      <c r="Y164" s="41"/>
      <c r="Z164" s="41"/>
      <c r="AA164" s="42"/>
      <c r="AB164" s="95"/>
      <c r="AC164" s="41"/>
      <c r="AD164" s="41"/>
      <c r="AE164" s="41"/>
      <c r="AF164" s="41"/>
      <c r="AG164" s="42"/>
      <c r="AH164" s="95"/>
      <c r="AI164" s="41"/>
      <c r="AJ164" s="41"/>
      <c r="AK164" s="41"/>
      <c r="AL164" s="42"/>
      <c r="AM164" s="95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2"/>
      <c r="BB164" s="95"/>
      <c r="BC164" s="41"/>
      <c r="BD164" s="41"/>
      <c r="BE164" s="41"/>
      <c r="BF164" s="41"/>
      <c r="BG164" s="41"/>
      <c r="BH164" s="41"/>
      <c r="BI164" s="42"/>
      <c r="BJ164" s="95"/>
      <c r="BK164" s="41"/>
      <c r="BL164" s="41"/>
      <c r="BM164" s="42"/>
      <c r="BN164" s="95"/>
      <c r="BO164" s="41"/>
      <c r="BP164" s="41"/>
      <c r="BQ164" s="41"/>
      <c r="BR164" s="41"/>
      <c r="BS164" s="42"/>
      <c r="BT164" s="95"/>
      <c r="BU164" s="41"/>
      <c r="BV164" s="41"/>
      <c r="BW164" s="41"/>
      <c r="BX164" s="42"/>
      <c r="BY164" s="95"/>
      <c r="BZ164" s="41"/>
      <c r="CA164" s="41"/>
      <c r="CB164" s="41"/>
      <c r="CC164" s="41"/>
      <c r="CD164" s="41"/>
      <c r="CE164" s="41"/>
      <c r="CF164" s="41"/>
      <c r="CG164" s="41"/>
      <c r="CH164" s="41"/>
      <c r="CI164" s="41"/>
      <c r="CJ164" s="42"/>
      <c r="CL164" s="36"/>
      <c r="CN164" s="95"/>
      <c r="CO164" s="41"/>
      <c r="CP164" s="41"/>
      <c r="CQ164" s="41"/>
      <c r="CR164" s="41"/>
      <c r="CS164" s="41"/>
      <c r="CT164" s="41"/>
      <c r="CU164" s="42"/>
      <c r="CV164" s="95"/>
      <c r="CW164" s="41"/>
      <c r="CX164" s="41"/>
      <c r="CY164" s="42"/>
      <c r="CZ164" s="95"/>
      <c r="DA164" s="41"/>
      <c r="DB164" s="41"/>
      <c r="DC164" s="41"/>
      <c r="DD164" s="41"/>
      <c r="DE164" s="42"/>
      <c r="DF164" s="95"/>
      <c r="DG164" s="41"/>
      <c r="DH164" s="41"/>
      <c r="DI164" s="41"/>
      <c r="DJ164" s="42"/>
      <c r="DK164" s="95"/>
      <c r="DL164" s="41"/>
      <c r="DM164" s="41"/>
      <c r="DN164" s="41"/>
      <c r="DO164" s="41"/>
      <c r="DP164" s="41"/>
      <c r="DQ164" s="41"/>
      <c r="DR164" s="41"/>
      <c r="DS164" s="41"/>
      <c r="DT164" s="41"/>
      <c r="DU164" s="41"/>
      <c r="DV164" s="42"/>
      <c r="DX164" s="138"/>
      <c r="DY164" s="34"/>
      <c r="DZ164" s="34"/>
      <c r="EA164" s="34"/>
      <c r="EB164" s="34"/>
      <c r="EC164" s="34"/>
      <c r="ED164" s="34"/>
      <c r="EE164" s="139"/>
      <c r="EF164" s="138"/>
      <c r="EG164" s="34"/>
      <c r="EH164" s="34"/>
      <c r="EI164" s="139"/>
      <c r="EJ164" s="138"/>
      <c r="EK164" s="34"/>
      <c r="EL164" s="34"/>
      <c r="EM164" s="34"/>
      <c r="EN164" s="34"/>
      <c r="EO164" s="139"/>
      <c r="EP164" s="138"/>
      <c r="EQ164" s="34"/>
      <c r="ER164" s="34"/>
      <c r="ES164" s="34"/>
      <c r="ET164" s="139"/>
      <c r="EU164" s="138"/>
      <c r="EV164" s="34"/>
      <c r="EW164" s="34"/>
      <c r="EX164" s="34"/>
      <c r="EY164" s="34"/>
      <c r="EZ164" s="34"/>
      <c r="FA164" s="34"/>
      <c r="FB164" s="34"/>
      <c r="FC164" s="34"/>
      <c r="FD164" s="34"/>
      <c r="FE164" s="34"/>
      <c r="FF164" s="139"/>
    </row>
    <row r="165" spans="1:163" x14ac:dyDescent="0.25">
      <c r="B165" s="127">
        <f t="shared" si="3038"/>
        <v>45624</v>
      </c>
      <c r="C165" s="266"/>
      <c r="D165" s="53"/>
      <c r="E165" s="129"/>
      <c r="F165" s="25"/>
      <c r="G165" s="25"/>
      <c r="H165" s="150"/>
      <c r="I165" s="24"/>
      <c r="J165" s="151"/>
      <c r="K165" s="151"/>
      <c r="L165" s="152"/>
      <c r="M165" s="152"/>
      <c r="N165" s="153"/>
      <c r="O165" s="25"/>
      <c r="P165" s="95"/>
      <c r="Q165" s="41"/>
      <c r="R165" s="41"/>
      <c r="S165" s="41"/>
      <c r="T165" s="41"/>
      <c r="U165" s="41"/>
      <c r="V165" s="41"/>
      <c r="W165" s="42"/>
      <c r="X165" s="95"/>
      <c r="Y165" s="41"/>
      <c r="Z165" s="41"/>
      <c r="AA165" s="42"/>
      <c r="AB165" s="95"/>
      <c r="AC165" s="41"/>
      <c r="AD165" s="41"/>
      <c r="AE165" s="41"/>
      <c r="AF165" s="41"/>
      <c r="AG165" s="42"/>
      <c r="AH165" s="95"/>
      <c r="AI165" s="41"/>
      <c r="AJ165" s="41"/>
      <c r="AK165" s="41"/>
      <c r="AL165" s="42"/>
      <c r="AM165" s="95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2"/>
      <c r="BB165" s="95"/>
      <c r="BC165" s="41"/>
      <c r="BD165" s="41"/>
      <c r="BE165" s="41"/>
      <c r="BF165" s="41"/>
      <c r="BG165" s="41"/>
      <c r="BH165" s="41"/>
      <c r="BI165" s="42"/>
      <c r="BJ165" s="95"/>
      <c r="BK165" s="41"/>
      <c r="BL165" s="41"/>
      <c r="BM165" s="42"/>
      <c r="BN165" s="95"/>
      <c r="BO165" s="41"/>
      <c r="BP165" s="41"/>
      <c r="BQ165" s="41"/>
      <c r="BR165" s="41"/>
      <c r="BS165" s="42"/>
      <c r="BT165" s="95"/>
      <c r="BU165" s="41"/>
      <c r="BV165" s="41"/>
      <c r="BW165" s="41"/>
      <c r="BX165" s="42"/>
      <c r="BY165" s="95"/>
      <c r="BZ165" s="41"/>
      <c r="CA165" s="41"/>
      <c r="CB165" s="41"/>
      <c r="CC165" s="41"/>
      <c r="CD165" s="41"/>
      <c r="CE165" s="41"/>
      <c r="CF165" s="41"/>
      <c r="CG165" s="41"/>
      <c r="CH165" s="41"/>
      <c r="CI165" s="41"/>
      <c r="CJ165" s="42"/>
      <c r="CL165" s="36"/>
      <c r="CN165" s="95"/>
      <c r="CO165" s="41"/>
      <c r="CP165" s="41"/>
      <c r="CQ165" s="41"/>
      <c r="CR165" s="41"/>
      <c r="CS165" s="41"/>
      <c r="CT165" s="41"/>
      <c r="CU165" s="42"/>
      <c r="CV165" s="95"/>
      <c r="CW165" s="41"/>
      <c r="CX165" s="41"/>
      <c r="CY165" s="42"/>
      <c r="CZ165" s="95"/>
      <c r="DA165" s="41"/>
      <c r="DB165" s="41"/>
      <c r="DC165" s="41"/>
      <c r="DD165" s="41"/>
      <c r="DE165" s="42"/>
      <c r="DF165" s="95"/>
      <c r="DG165" s="41"/>
      <c r="DH165" s="41"/>
      <c r="DI165" s="41"/>
      <c r="DJ165" s="42"/>
      <c r="DK165" s="95"/>
      <c r="DL165" s="41"/>
      <c r="DM165" s="41"/>
      <c r="DN165" s="41"/>
      <c r="DO165" s="41"/>
      <c r="DP165" s="41"/>
      <c r="DQ165" s="41"/>
      <c r="DR165" s="41"/>
      <c r="DS165" s="41"/>
      <c r="DT165" s="41"/>
      <c r="DU165" s="41"/>
      <c r="DV165" s="42"/>
      <c r="DX165" s="138"/>
      <c r="DY165" s="34"/>
      <c r="DZ165" s="34"/>
      <c r="EA165" s="34"/>
      <c r="EB165" s="34"/>
      <c r="EC165" s="34"/>
      <c r="ED165" s="34"/>
      <c r="EE165" s="139"/>
      <c r="EF165" s="138"/>
      <c r="EG165" s="34"/>
      <c r="EH165" s="34"/>
      <c r="EI165" s="139"/>
      <c r="EJ165" s="138"/>
      <c r="EK165" s="34"/>
      <c r="EL165" s="34"/>
      <c r="EM165" s="34"/>
      <c r="EN165" s="34"/>
      <c r="EO165" s="139"/>
      <c r="EP165" s="138"/>
      <c r="EQ165" s="34"/>
      <c r="ER165" s="34"/>
      <c r="ES165" s="34"/>
      <c r="ET165" s="139"/>
      <c r="EU165" s="138"/>
      <c r="EV165" s="34"/>
      <c r="EW165" s="34"/>
      <c r="EX165" s="34"/>
      <c r="EY165" s="34"/>
      <c r="EZ165" s="34"/>
      <c r="FA165" s="34"/>
      <c r="FB165" s="34"/>
      <c r="FC165" s="34"/>
      <c r="FD165" s="34"/>
      <c r="FE165" s="34"/>
      <c r="FF165" s="139"/>
    </row>
    <row r="166" spans="1:163" x14ac:dyDescent="0.25">
      <c r="B166" s="127">
        <f t="shared" si="3038"/>
        <v>45625</v>
      </c>
      <c r="C166" s="266"/>
      <c r="D166" s="53"/>
      <c r="E166" s="129"/>
      <c r="F166" s="25"/>
      <c r="G166" s="25"/>
      <c r="H166" s="150"/>
      <c r="I166" s="24"/>
      <c r="J166" s="151"/>
      <c r="K166" s="151"/>
      <c r="L166" s="152"/>
      <c r="M166" s="152"/>
      <c r="N166" s="153"/>
      <c r="O166" s="25"/>
      <c r="P166" s="95"/>
      <c r="Q166" s="41"/>
      <c r="R166" s="41"/>
      <c r="S166" s="41"/>
      <c r="T166" s="41"/>
      <c r="U166" s="41"/>
      <c r="V166" s="41"/>
      <c r="W166" s="42"/>
      <c r="X166" s="95"/>
      <c r="Y166" s="41"/>
      <c r="Z166" s="41"/>
      <c r="AA166" s="42"/>
      <c r="AB166" s="95"/>
      <c r="AC166" s="41"/>
      <c r="AD166" s="41"/>
      <c r="AE166" s="41"/>
      <c r="AF166" s="41"/>
      <c r="AG166" s="42"/>
      <c r="AH166" s="95"/>
      <c r="AI166" s="41"/>
      <c r="AJ166" s="41"/>
      <c r="AK166" s="41"/>
      <c r="AL166" s="42"/>
      <c r="AM166" s="95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2"/>
      <c r="BB166" s="95"/>
      <c r="BC166" s="41"/>
      <c r="BD166" s="41"/>
      <c r="BE166" s="41"/>
      <c r="BF166" s="41"/>
      <c r="BG166" s="41"/>
      <c r="BH166" s="41"/>
      <c r="BI166" s="42"/>
      <c r="BJ166" s="95"/>
      <c r="BK166" s="41"/>
      <c r="BL166" s="41"/>
      <c r="BM166" s="42"/>
      <c r="BN166" s="95"/>
      <c r="BO166" s="41"/>
      <c r="BP166" s="41"/>
      <c r="BQ166" s="41"/>
      <c r="BR166" s="41"/>
      <c r="BS166" s="42"/>
      <c r="BT166" s="95"/>
      <c r="BU166" s="41"/>
      <c r="BV166" s="41"/>
      <c r="BW166" s="41"/>
      <c r="BX166" s="42"/>
      <c r="BY166" s="95"/>
      <c r="BZ166" s="41"/>
      <c r="CA166" s="41"/>
      <c r="CB166" s="41"/>
      <c r="CC166" s="41"/>
      <c r="CD166" s="41"/>
      <c r="CE166" s="41"/>
      <c r="CF166" s="41"/>
      <c r="CG166" s="41"/>
      <c r="CH166" s="41"/>
      <c r="CI166" s="41"/>
      <c r="CJ166" s="42"/>
      <c r="CL166" s="36"/>
      <c r="CN166" s="95"/>
      <c r="CO166" s="41"/>
      <c r="CP166" s="41"/>
      <c r="CQ166" s="41"/>
      <c r="CR166" s="41"/>
      <c r="CS166" s="41"/>
      <c r="CT166" s="41"/>
      <c r="CU166" s="42"/>
      <c r="CV166" s="95"/>
      <c r="CW166" s="41"/>
      <c r="CX166" s="41"/>
      <c r="CY166" s="42"/>
      <c r="CZ166" s="95"/>
      <c r="DA166" s="41"/>
      <c r="DB166" s="41"/>
      <c r="DC166" s="41"/>
      <c r="DD166" s="41"/>
      <c r="DE166" s="42"/>
      <c r="DF166" s="95"/>
      <c r="DG166" s="41"/>
      <c r="DH166" s="41"/>
      <c r="DI166" s="41"/>
      <c r="DJ166" s="42"/>
      <c r="DK166" s="95"/>
      <c r="DL166" s="41"/>
      <c r="DM166" s="41"/>
      <c r="DN166" s="41"/>
      <c r="DO166" s="41"/>
      <c r="DP166" s="41"/>
      <c r="DQ166" s="41"/>
      <c r="DR166" s="41"/>
      <c r="DS166" s="41"/>
      <c r="DT166" s="41"/>
      <c r="DU166" s="41"/>
      <c r="DV166" s="42"/>
      <c r="DX166" s="138"/>
      <c r="DY166" s="34"/>
      <c r="DZ166" s="34"/>
      <c r="EA166" s="34"/>
      <c r="EB166" s="34"/>
      <c r="EC166" s="34"/>
      <c r="ED166" s="34"/>
      <c r="EE166" s="139"/>
      <c r="EF166" s="138"/>
      <c r="EG166" s="34"/>
      <c r="EH166" s="34"/>
      <c r="EI166" s="139"/>
      <c r="EJ166" s="138"/>
      <c r="EK166" s="34"/>
      <c r="EL166" s="34"/>
      <c r="EM166" s="34"/>
      <c r="EN166" s="34"/>
      <c r="EO166" s="139"/>
      <c r="EP166" s="138"/>
      <c r="EQ166" s="34"/>
      <c r="ER166" s="34"/>
      <c r="ES166" s="34"/>
      <c r="ET166" s="139"/>
      <c r="EU166" s="138"/>
      <c r="EV166" s="34"/>
      <c r="EW166" s="34"/>
      <c r="EX166" s="34"/>
      <c r="EY166" s="34"/>
      <c r="EZ166" s="34"/>
      <c r="FA166" s="34"/>
      <c r="FB166" s="34"/>
      <c r="FC166" s="34"/>
      <c r="FD166" s="34"/>
      <c r="FE166" s="34"/>
      <c r="FF166" s="139"/>
    </row>
    <row r="167" spans="1:163" x14ac:dyDescent="0.25">
      <c r="B167" s="127">
        <f t="shared" si="3038"/>
        <v>45626</v>
      </c>
      <c r="C167" s="266"/>
      <c r="D167" s="53">
        <v>9</v>
      </c>
      <c r="E167" s="129">
        <v>54.31</v>
      </c>
      <c r="F167" s="25"/>
      <c r="G167" s="25"/>
      <c r="H167" s="150">
        <v>9</v>
      </c>
      <c r="I167" s="24">
        <v>2</v>
      </c>
      <c r="J167" s="151">
        <v>1</v>
      </c>
      <c r="K167" s="151"/>
      <c r="L167" s="152">
        <v>9.6999999999999993</v>
      </c>
      <c r="M167" s="152">
        <f t="shared" ref="M167" si="3111">H167/I167*K167*L167*1.5</f>
        <v>0</v>
      </c>
      <c r="N167" s="153">
        <f t="shared" ref="N167" si="3112">H167/I167*J167*L167*N$4</f>
        <v>48.015000000000001</v>
      </c>
      <c r="O167" s="25"/>
      <c r="P167" s="95">
        <v>1</v>
      </c>
      <c r="Q167" s="41"/>
      <c r="R167" s="41"/>
      <c r="S167" s="41"/>
      <c r="T167" s="41"/>
      <c r="U167" s="41"/>
      <c r="V167" s="41">
        <v>3</v>
      </c>
      <c r="W167" s="42"/>
      <c r="X167" s="95"/>
      <c r="Y167" s="41"/>
      <c r="Z167" s="41"/>
      <c r="AA167" s="42"/>
      <c r="AB167" s="95"/>
      <c r="AC167" s="41"/>
      <c r="AD167" s="41"/>
      <c r="AE167" s="41"/>
      <c r="AF167" s="41"/>
      <c r="AG167" s="42"/>
      <c r="AH167" s="95"/>
      <c r="AI167" s="41"/>
      <c r="AJ167" s="41"/>
      <c r="AK167" s="41"/>
      <c r="AL167" s="42"/>
      <c r="AM167" s="95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2"/>
      <c r="BB167" s="95">
        <f t="shared" ref="BB167" si="3113">$N167*DX167</f>
        <v>0.88409132756398445</v>
      </c>
      <c r="BC167" s="41">
        <f t="shared" ref="BC167" si="3114">$N167*DY167</f>
        <v>0</v>
      </c>
      <c r="BD167" s="41">
        <f t="shared" ref="BD167" si="3115">$N167*DZ167</f>
        <v>0</v>
      </c>
      <c r="BE167" s="41">
        <f t="shared" ref="BE167" si="3116">$N167*EA167</f>
        <v>0</v>
      </c>
      <c r="BF167" s="41">
        <f t="shared" ref="BF167" si="3117">$N167*EB167</f>
        <v>0</v>
      </c>
      <c r="BG167" s="41">
        <f t="shared" ref="BG167" si="3118">$N167*EC167</f>
        <v>0</v>
      </c>
      <c r="BH167" s="41">
        <f t="shared" ref="BH167" si="3119">$N167*ED167</f>
        <v>2.6522739826919532</v>
      </c>
      <c r="BI167" s="42">
        <f t="shared" ref="BI167" si="3120">$N167*EE167</f>
        <v>0</v>
      </c>
      <c r="BJ167" s="95">
        <f t="shared" ref="BJ167" si="3121">$N167*EF167</f>
        <v>0</v>
      </c>
      <c r="BK167" s="41">
        <f t="shared" ref="BK167" si="3122">$N167*EG167</f>
        <v>0</v>
      </c>
      <c r="BL167" s="41">
        <f t="shared" ref="BL167" si="3123">$N167*EH167</f>
        <v>0</v>
      </c>
      <c r="BM167" s="42">
        <f t="shared" ref="BM167" si="3124">$N167*EI167</f>
        <v>0</v>
      </c>
      <c r="BN167" s="95">
        <f t="shared" ref="BN167" si="3125">$N167*EJ167</f>
        <v>0</v>
      </c>
      <c r="BO167" s="41">
        <f t="shared" ref="BO167" si="3126">$N167*EK167</f>
        <v>0</v>
      </c>
      <c r="BP167" s="41">
        <f t="shared" ref="BP167" si="3127">$N167*EL167</f>
        <v>0</v>
      </c>
      <c r="BQ167" s="41">
        <f t="shared" ref="BQ167" si="3128">$N167*EM167</f>
        <v>0</v>
      </c>
      <c r="BR167" s="41">
        <f t="shared" ref="BR167" si="3129">$N167*EN167</f>
        <v>0</v>
      </c>
      <c r="BS167" s="42">
        <f t="shared" ref="BS167" si="3130">$N167*EO167</f>
        <v>0</v>
      </c>
      <c r="BT167" s="95">
        <f t="shared" ref="BT167" si="3131">$N167*EP167</f>
        <v>0</v>
      </c>
      <c r="BU167" s="41">
        <f t="shared" ref="BU167" si="3132">$N167*EQ167</f>
        <v>0</v>
      </c>
      <c r="BV167" s="41">
        <f t="shared" ref="BV167" si="3133">$N167*ER167</f>
        <v>0</v>
      </c>
      <c r="BW167" s="41">
        <f t="shared" ref="BW167" si="3134">$N167*ES167</f>
        <v>0</v>
      </c>
      <c r="BX167" s="42">
        <f t="shared" ref="BX167" si="3135">$N167*ET167</f>
        <v>0</v>
      </c>
      <c r="BY167" s="95">
        <f t="shared" ref="BY167" si="3136">$N167*EU167</f>
        <v>0</v>
      </c>
      <c r="BZ167" s="41">
        <f t="shared" ref="BZ167" si="3137">$N167*EV167</f>
        <v>0</v>
      </c>
      <c r="CA167" s="41">
        <f t="shared" ref="CA167" si="3138">$N167*EW167</f>
        <v>0</v>
      </c>
      <c r="CB167" s="41">
        <f t="shared" ref="CB167" si="3139">$N167*EX167</f>
        <v>0</v>
      </c>
      <c r="CC167" s="41">
        <f t="shared" ref="CC167" si="3140">$N167*EY167</f>
        <v>0</v>
      </c>
      <c r="CD167" s="41">
        <f t="shared" ref="CD167" si="3141">$N167*EZ167</f>
        <v>0</v>
      </c>
      <c r="CE167" s="41">
        <f t="shared" ref="CE167" si="3142">$N167*FA167</f>
        <v>0</v>
      </c>
      <c r="CF167" s="41">
        <f t="shared" ref="CF167" si="3143">$N167*FB167</f>
        <v>0</v>
      </c>
      <c r="CG167" s="41">
        <f t="shared" ref="CG167" si="3144">$N167*FC167</f>
        <v>0</v>
      </c>
      <c r="CH167" s="41">
        <f t="shared" ref="CH167" si="3145">$N167*FD167</f>
        <v>0</v>
      </c>
      <c r="CI167" s="41">
        <f t="shared" ref="CI167" si="3146">$N167*FE167</f>
        <v>0</v>
      </c>
      <c r="CJ167" s="42">
        <f t="shared" ref="CJ167" si="3147">$N167*FF167</f>
        <v>0</v>
      </c>
      <c r="CL167" s="36">
        <v>2</v>
      </c>
      <c r="CN167" s="95">
        <f t="shared" ref="CN167" si="3148">AVERAGE(BB167:BB168)*$CL167</f>
        <v>1.7681826551279689</v>
      </c>
      <c r="CO167" s="41">
        <f t="shared" ref="CO167" si="3149">AVERAGE(BC167:BC168)*$CL167</f>
        <v>0</v>
      </c>
      <c r="CP167" s="41">
        <f t="shared" ref="CP167" si="3150">AVERAGE(BD167:BD168)*$CL167</f>
        <v>0</v>
      </c>
      <c r="CQ167" s="41">
        <f t="shared" ref="CQ167" si="3151">AVERAGE(BE167:BE168)*$CL167</f>
        <v>0</v>
      </c>
      <c r="CR167" s="41">
        <f t="shared" ref="CR167" si="3152">AVERAGE(BF167:BF168)*$CL167</f>
        <v>0</v>
      </c>
      <c r="CS167" s="41">
        <f t="shared" ref="CS167" si="3153">AVERAGE(BG167:BG168)*$CL167</f>
        <v>0</v>
      </c>
      <c r="CT167" s="41">
        <f t="shared" ref="CT167" si="3154">AVERAGE(BH167:BH168)*$CL167</f>
        <v>5.3045479653839065</v>
      </c>
      <c r="CU167" s="42">
        <f t="shared" ref="CU167" si="3155">AVERAGE(BI167:BI168)*$CL167</f>
        <v>0</v>
      </c>
      <c r="CV167" s="95">
        <f t="shared" ref="CV167" si="3156">AVERAGE(BJ167:BJ168)*$CL167</f>
        <v>0</v>
      </c>
      <c r="CW167" s="41">
        <f t="shared" ref="CW167" si="3157">AVERAGE(BK167:BK168)*$CL167</f>
        <v>0</v>
      </c>
      <c r="CX167" s="41">
        <f t="shared" ref="CX167" si="3158">AVERAGE(BL167:BL168)*$CL167</f>
        <v>0</v>
      </c>
      <c r="CY167" s="42">
        <f t="shared" ref="CY167" si="3159">AVERAGE(BM167:BM168)*$CL167</f>
        <v>0</v>
      </c>
      <c r="CZ167" s="95">
        <f t="shared" ref="CZ167" si="3160">AVERAGE(BN167:BN168)*$CL167</f>
        <v>0</v>
      </c>
      <c r="DA167" s="41">
        <f t="shared" ref="DA167" si="3161">AVERAGE(BO167:BO168)*$CL167</f>
        <v>0</v>
      </c>
      <c r="DB167" s="41">
        <f t="shared" ref="DB167" si="3162">AVERAGE(BP167:BP168)*$CL167</f>
        <v>0</v>
      </c>
      <c r="DC167" s="41">
        <f t="shared" ref="DC167" si="3163">AVERAGE(BQ167:BQ168)*$CL167</f>
        <v>0</v>
      </c>
      <c r="DD167" s="41">
        <f t="shared" ref="DD167" si="3164">AVERAGE(BR167:BR168)*$CL167</f>
        <v>0</v>
      </c>
      <c r="DE167" s="42">
        <f t="shared" ref="DE167" si="3165">AVERAGE(BS167:BS168)*$CL167</f>
        <v>0</v>
      </c>
      <c r="DF167" s="95">
        <f t="shared" ref="DF167" si="3166">AVERAGE(BT167:BT168)*$CL167</f>
        <v>0</v>
      </c>
      <c r="DG167" s="41">
        <f t="shared" ref="DG167" si="3167">AVERAGE(BU167:BU168)*$CL167</f>
        <v>0</v>
      </c>
      <c r="DH167" s="41">
        <f t="shared" ref="DH167" si="3168">AVERAGE(BV167:BV168)*$CL167</f>
        <v>0</v>
      </c>
      <c r="DI167" s="41">
        <f t="shared" ref="DI167" si="3169">AVERAGE(BW167:BW168)*$CL167</f>
        <v>0</v>
      </c>
      <c r="DJ167" s="42">
        <f t="shared" ref="DJ167" si="3170">AVERAGE(BX167:BX168)*$CL167</f>
        <v>0</v>
      </c>
      <c r="DK167" s="95">
        <f t="shared" ref="DK167" si="3171">AVERAGE(BY167:BY168)*$CL167</f>
        <v>0</v>
      </c>
      <c r="DL167" s="41">
        <f t="shared" ref="DL167" si="3172">AVERAGE(BZ167:BZ168)*$CL167</f>
        <v>0</v>
      </c>
      <c r="DM167" s="41">
        <f t="shared" ref="DM167" si="3173">AVERAGE(CA167:CA168)*$CL167</f>
        <v>0</v>
      </c>
      <c r="DN167" s="41">
        <f t="shared" ref="DN167" si="3174">AVERAGE(CB167:CB168)*$CL167</f>
        <v>0</v>
      </c>
      <c r="DO167" s="41">
        <f t="shared" ref="DO167" si="3175">AVERAGE(CC167:CC168)*$CL167</f>
        <v>0</v>
      </c>
      <c r="DP167" s="41">
        <f t="shared" ref="DP167" si="3176">AVERAGE(CD167:CD168)*$CL167</f>
        <v>0</v>
      </c>
      <c r="DQ167" s="41">
        <f t="shared" ref="DQ167" si="3177">AVERAGE(CE167:CE168)*$CL167</f>
        <v>0</v>
      </c>
      <c r="DR167" s="41">
        <f t="shared" ref="DR167" si="3178">AVERAGE(CF167:CF168)*$CL167</f>
        <v>0</v>
      </c>
      <c r="DS167" s="41">
        <f t="shared" ref="DS167" si="3179">AVERAGE(CG167:CG168)*$CL167</f>
        <v>0</v>
      </c>
      <c r="DT167" s="41">
        <f t="shared" ref="DT167" si="3180">AVERAGE(CH167:CH168)*$CL167</f>
        <v>0</v>
      </c>
      <c r="DU167" s="41">
        <f t="shared" ref="DU167" si="3181">AVERAGE(CI167:CI168)*$CL167</f>
        <v>0</v>
      </c>
      <c r="DV167" s="42">
        <f t="shared" ref="DV167" si="3182">AVERAGE(CJ167:CJ168)*$CL167</f>
        <v>0</v>
      </c>
      <c r="DX167" s="138">
        <f t="shared" ref="DX167" si="3183">P167/$E167</f>
        <v>1.8412815319462345E-2</v>
      </c>
      <c r="DY167" s="34">
        <f t="shared" ref="DY167" si="3184">Q167/$E167</f>
        <v>0</v>
      </c>
      <c r="DZ167" s="34">
        <f t="shared" ref="DZ167" si="3185">R167/$E167</f>
        <v>0</v>
      </c>
      <c r="EA167" s="34">
        <f t="shared" ref="EA167" si="3186">S167/$E167</f>
        <v>0</v>
      </c>
      <c r="EB167" s="34">
        <f t="shared" ref="EB167" si="3187">T167/$E167</f>
        <v>0</v>
      </c>
      <c r="EC167" s="34">
        <f t="shared" ref="EC167" si="3188">U167/$E167</f>
        <v>0</v>
      </c>
      <c r="ED167" s="34">
        <f t="shared" ref="ED167" si="3189">V167/$E167</f>
        <v>5.5238445958387034E-2</v>
      </c>
      <c r="EE167" s="139">
        <f t="shared" ref="EE167" si="3190">W167/$E167</f>
        <v>0</v>
      </c>
      <c r="EF167" s="138">
        <f t="shared" ref="EF167" si="3191">X167/$E167</f>
        <v>0</v>
      </c>
      <c r="EG167" s="34">
        <f t="shared" ref="EG167" si="3192">Y167/$E167</f>
        <v>0</v>
      </c>
      <c r="EH167" s="34">
        <f t="shared" ref="EH167" si="3193">Z167/$E167</f>
        <v>0</v>
      </c>
      <c r="EI167" s="139">
        <f t="shared" ref="EI167" si="3194">AA167/$E167</f>
        <v>0</v>
      </c>
      <c r="EJ167" s="138">
        <f t="shared" ref="EJ167" si="3195">AB167/$E167</f>
        <v>0</v>
      </c>
      <c r="EK167" s="34">
        <f t="shared" ref="EK167" si="3196">AC167/$E167</f>
        <v>0</v>
      </c>
      <c r="EL167" s="34">
        <f t="shared" ref="EL167" si="3197">AD167/$E167</f>
        <v>0</v>
      </c>
      <c r="EM167" s="34">
        <f t="shared" ref="EM167" si="3198">AE167/$E167</f>
        <v>0</v>
      </c>
      <c r="EN167" s="34">
        <f t="shared" ref="EN167" si="3199">AF167/$E167</f>
        <v>0</v>
      </c>
      <c r="EO167" s="139">
        <f t="shared" ref="EO167" si="3200">AG167/$E167</f>
        <v>0</v>
      </c>
      <c r="EP167" s="138">
        <f t="shared" ref="EP167" si="3201">AH167/$E167</f>
        <v>0</v>
      </c>
      <c r="EQ167" s="34">
        <f t="shared" ref="EQ167" si="3202">AI167/$E167</f>
        <v>0</v>
      </c>
      <c r="ER167" s="34">
        <f t="shared" ref="ER167" si="3203">AJ167/$E167</f>
        <v>0</v>
      </c>
      <c r="ES167" s="34">
        <f t="shared" ref="ES167" si="3204">AK167/$E167</f>
        <v>0</v>
      </c>
      <c r="ET167" s="139">
        <f t="shared" ref="ET167" si="3205">AL167/$E167</f>
        <v>0</v>
      </c>
      <c r="EU167" s="138">
        <f t="shared" ref="EU167" si="3206">AM167/$E167</f>
        <v>0</v>
      </c>
      <c r="EV167" s="34">
        <f t="shared" ref="EV167" si="3207">AN167/$E167</f>
        <v>0</v>
      </c>
      <c r="EW167" s="34">
        <f t="shared" ref="EW167" si="3208">AO167/$E167</f>
        <v>0</v>
      </c>
      <c r="EX167" s="34">
        <f t="shared" ref="EX167" si="3209">AP167/$E167</f>
        <v>0</v>
      </c>
      <c r="EY167" s="34">
        <f t="shared" ref="EY167" si="3210">AQ167/$E167</f>
        <v>0</v>
      </c>
      <c r="EZ167" s="34">
        <f t="shared" ref="EZ167" si="3211">AR167/$E167</f>
        <v>0</v>
      </c>
      <c r="FA167" s="34">
        <f t="shared" ref="FA167" si="3212">AS167/$E167</f>
        <v>0</v>
      </c>
      <c r="FB167" s="34">
        <f t="shared" ref="FB167" si="3213">AT167/$E167</f>
        <v>0</v>
      </c>
      <c r="FC167" s="34">
        <f t="shared" ref="FC167" si="3214">AU167/$E167</f>
        <v>0</v>
      </c>
      <c r="FD167" s="34">
        <f t="shared" ref="FD167" si="3215">AV167/$E167</f>
        <v>0</v>
      </c>
      <c r="FE167" s="34">
        <f t="shared" ref="FE167" si="3216">AY167/$E167</f>
        <v>0</v>
      </c>
      <c r="FF167" s="139">
        <f t="shared" ref="FF167" si="3217">AZ167/$E167</f>
        <v>0</v>
      </c>
    </row>
    <row r="168" spans="1:163" ht="16.5" thickBot="1" x14ac:dyDescent="0.3">
      <c r="B168" s="127">
        <f t="shared" si="3038"/>
        <v>45627</v>
      </c>
      <c r="C168" s="267"/>
      <c r="D168" s="100"/>
      <c r="E168" s="131"/>
      <c r="F168" s="25"/>
      <c r="G168" s="25"/>
      <c r="H168" s="171"/>
      <c r="I168" s="172"/>
      <c r="J168" s="173"/>
      <c r="K168" s="173"/>
      <c r="L168" s="174"/>
      <c r="M168" s="174"/>
      <c r="N168" s="175"/>
      <c r="O168" s="25"/>
      <c r="P168" s="96"/>
      <c r="Q168" s="76"/>
      <c r="R168" s="76"/>
      <c r="S168" s="76"/>
      <c r="T168" s="76"/>
      <c r="U168" s="76"/>
      <c r="V168" s="76"/>
      <c r="W168" s="77"/>
      <c r="X168" s="96"/>
      <c r="Y168" s="76"/>
      <c r="Z168" s="76"/>
      <c r="AA168" s="77"/>
      <c r="AB168" s="96"/>
      <c r="AC168" s="76"/>
      <c r="AD168" s="76"/>
      <c r="AE168" s="76"/>
      <c r="AF168" s="76"/>
      <c r="AG168" s="77"/>
      <c r="AH168" s="96"/>
      <c r="AI168" s="76"/>
      <c r="AJ168" s="76"/>
      <c r="AK168" s="76"/>
      <c r="AL168" s="77"/>
      <c r="AM168" s="96"/>
      <c r="AN168" s="76"/>
      <c r="AO168" s="76"/>
      <c r="AP168" s="76"/>
      <c r="AQ168" s="76"/>
      <c r="AR168" s="76"/>
      <c r="AS168" s="76"/>
      <c r="AT168" s="76"/>
      <c r="AU168" s="76"/>
      <c r="AV168" s="76"/>
      <c r="AW168" s="76"/>
      <c r="AX168" s="76"/>
      <c r="AY168" s="76"/>
      <c r="AZ168" s="77"/>
      <c r="BB168" s="96"/>
      <c r="BC168" s="76"/>
      <c r="BD168" s="76"/>
      <c r="BE168" s="76"/>
      <c r="BF168" s="76"/>
      <c r="BG168" s="76"/>
      <c r="BH168" s="76"/>
      <c r="BI168" s="77"/>
      <c r="BJ168" s="96"/>
      <c r="BK168" s="76"/>
      <c r="BL168" s="76"/>
      <c r="BM168" s="77"/>
      <c r="BN168" s="96"/>
      <c r="BO168" s="76"/>
      <c r="BP168" s="76"/>
      <c r="BQ168" s="76"/>
      <c r="BR168" s="76"/>
      <c r="BS168" s="77"/>
      <c r="BT168" s="96"/>
      <c r="BU168" s="76"/>
      <c r="BV168" s="76"/>
      <c r="BW168" s="76"/>
      <c r="BX168" s="77"/>
      <c r="BY168" s="96"/>
      <c r="BZ168" s="76"/>
      <c r="CA168" s="76"/>
      <c r="CB168" s="76"/>
      <c r="CC168" s="76"/>
      <c r="CD168" s="76"/>
      <c r="CE168" s="76"/>
      <c r="CF168" s="76"/>
      <c r="CG168" s="76"/>
      <c r="CH168" s="76"/>
      <c r="CI168" s="76"/>
      <c r="CJ168" s="77"/>
      <c r="CN168" s="96"/>
      <c r="CO168" s="76"/>
      <c r="CP168" s="76"/>
      <c r="CQ168" s="76"/>
      <c r="CR168" s="76"/>
      <c r="CS168" s="76"/>
      <c r="CT168" s="76"/>
      <c r="CU168" s="77"/>
      <c r="CV168" s="96"/>
      <c r="CW168" s="76"/>
      <c r="CX168" s="76"/>
      <c r="CY168" s="77"/>
      <c r="CZ168" s="96"/>
      <c r="DA168" s="76"/>
      <c r="DB168" s="76"/>
      <c r="DC168" s="76"/>
      <c r="DD168" s="76"/>
      <c r="DE168" s="77"/>
      <c r="DF168" s="96"/>
      <c r="DG168" s="76"/>
      <c r="DH168" s="76"/>
      <c r="DI168" s="76"/>
      <c r="DJ168" s="77"/>
      <c r="DK168" s="96"/>
      <c r="DL168" s="76"/>
      <c r="DM168" s="76"/>
      <c r="DN168" s="76"/>
      <c r="DO168" s="76"/>
      <c r="DP168" s="76"/>
      <c r="DQ168" s="76"/>
      <c r="DR168" s="76"/>
      <c r="DS168" s="76"/>
      <c r="DT168" s="76"/>
      <c r="DU168" s="76"/>
      <c r="DV168" s="77"/>
      <c r="DX168" s="140"/>
      <c r="DY168" s="141"/>
      <c r="DZ168" s="141"/>
      <c r="EA168" s="141"/>
      <c r="EB168" s="141"/>
      <c r="EC168" s="141"/>
      <c r="ED168" s="141"/>
      <c r="EE168" s="142"/>
      <c r="EF168" s="140"/>
      <c r="EG168" s="141"/>
      <c r="EH168" s="141"/>
      <c r="EI168" s="142"/>
      <c r="EJ168" s="140"/>
      <c r="EK168" s="141"/>
      <c r="EL168" s="141"/>
      <c r="EM168" s="141"/>
      <c r="EN168" s="141"/>
      <c r="EO168" s="142"/>
      <c r="EP168" s="140"/>
      <c r="EQ168" s="141"/>
      <c r="ER168" s="141"/>
      <c r="ES168" s="141"/>
      <c r="ET168" s="142"/>
      <c r="EU168" s="140"/>
      <c r="EV168" s="141"/>
      <c r="EW168" s="141"/>
      <c r="EX168" s="141"/>
      <c r="EY168" s="141"/>
      <c r="EZ168" s="141"/>
      <c r="FA168" s="141"/>
      <c r="FB168" s="141"/>
      <c r="FC168" s="141"/>
      <c r="FD168" s="141"/>
      <c r="FE168" s="141"/>
      <c r="FF168" s="142"/>
    </row>
    <row r="169" spans="1:163" ht="17.25" thickTop="1" thickBot="1" x14ac:dyDescent="0.3">
      <c r="B169" s="178"/>
      <c r="C169" s="268"/>
      <c r="D169" s="101">
        <f t="shared" ref="D169:E169" si="3218">SUM(D162:D168)</f>
        <v>18</v>
      </c>
      <c r="E169" s="134">
        <f t="shared" si="3218"/>
        <v>79.740000000000009</v>
      </c>
      <c r="F169" s="146"/>
      <c r="G169" s="146"/>
      <c r="H169" s="43"/>
      <c r="I169" s="39"/>
      <c r="J169" s="39"/>
      <c r="K169" s="39"/>
      <c r="L169" s="184"/>
      <c r="M169" s="185"/>
      <c r="N169" s="170">
        <f>AVERAGE(N162:N166)*1+AVERAGE(N167:N168)*2</f>
        <v>144.54000000000002</v>
      </c>
      <c r="O169" s="146"/>
      <c r="P169" s="68">
        <f t="shared" ref="P169:AZ169" si="3219">SUM(P162:P168)</f>
        <v>1</v>
      </c>
      <c r="Q169" s="65">
        <f t="shared" si="3219"/>
        <v>0</v>
      </c>
      <c r="R169" s="65">
        <f t="shared" si="3219"/>
        <v>0</v>
      </c>
      <c r="S169" s="65">
        <f t="shared" si="3219"/>
        <v>0</v>
      </c>
      <c r="T169" s="65">
        <f t="shared" si="3219"/>
        <v>0</v>
      </c>
      <c r="U169" s="65">
        <f t="shared" si="3219"/>
        <v>0</v>
      </c>
      <c r="V169" s="65">
        <f t="shared" si="3219"/>
        <v>4</v>
      </c>
      <c r="W169" s="66">
        <f t="shared" si="3219"/>
        <v>0</v>
      </c>
      <c r="X169" s="68">
        <f t="shared" si="3219"/>
        <v>0</v>
      </c>
      <c r="Y169" s="65">
        <f t="shared" si="3219"/>
        <v>0</v>
      </c>
      <c r="Z169" s="65">
        <f t="shared" si="3219"/>
        <v>0</v>
      </c>
      <c r="AA169" s="66">
        <f t="shared" si="3219"/>
        <v>0</v>
      </c>
      <c r="AB169" s="68">
        <f t="shared" si="3219"/>
        <v>0</v>
      </c>
      <c r="AC169" s="65">
        <f t="shared" si="3219"/>
        <v>0</v>
      </c>
      <c r="AD169" s="65">
        <f t="shared" si="3219"/>
        <v>0</v>
      </c>
      <c r="AE169" s="65">
        <f t="shared" si="3219"/>
        <v>0</v>
      </c>
      <c r="AF169" s="65">
        <f t="shared" si="3219"/>
        <v>0</v>
      </c>
      <c r="AG169" s="66">
        <f t="shared" si="3219"/>
        <v>0</v>
      </c>
      <c r="AH169" s="68">
        <f t="shared" si="3219"/>
        <v>0</v>
      </c>
      <c r="AI169" s="65">
        <f t="shared" si="3219"/>
        <v>0</v>
      </c>
      <c r="AJ169" s="65">
        <f t="shared" si="3219"/>
        <v>0</v>
      </c>
      <c r="AK169" s="65">
        <f t="shared" si="3219"/>
        <v>0</v>
      </c>
      <c r="AL169" s="66">
        <f t="shared" si="3219"/>
        <v>0</v>
      </c>
      <c r="AM169" s="68">
        <f t="shared" si="3219"/>
        <v>0</v>
      </c>
      <c r="AN169" s="65">
        <f t="shared" si="3219"/>
        <v>0</v>
      </c>
      <c r="AO169" s="65">
        <f t="shared" si="3219"/>
        <v>0</v>
      </c>
      <c r="AP169" s="65">
        <f t="shared" si="3219"/>
        <v>0</v>
      </c>
      <c r="AQ169" s="65">
        <f t="shared" si="3219"/>
        <v>0</v>
      </c>
      <c r="AR169" s="65">
        <f t="shared" si="3219"/>
        <v>0</v>
      </c>
      <c r="AS169" s="65">
        <f t="shared" si="3219"/>
        <v>0</v>
      </c>
      <c r="AT169" s="65">
        <f t="shared" si="3219"/>
        <v>0</v>
      </c>
      <c r="AU169" s="65">
        <f t="shared" si="3219"/>
        <v>0</v>
      </c>
      <c r="AV169" s="65">
        <f t="shared" si="3219"/>
        <v>0</v>
      </c>
      <c r="AW169" s="65">
        <f t="shared" si="3219"/>
        <v>0</v>
      </c>
      <c r="AX169" s="65">
        <f t="shared" si="3219"/>
        <v>0</v>
      </c>
      <c r="AY169" s="65">
        <f t="shared" si="3219"/>
        <v>0</v>
      </c>
      <c r="AZ169" s="66">
        <f t="shared" si="3219"/>
        <v>0</v>
      </c>
      <c r="BB169" s="68">
        <f t="shared" ref="BB169:CJ169" si="3220">SUM(BB162:BB168)</f>
        <v>0.88409132756398445</v>
      </c>
      <c r="BC169" s="65">
        <f t="shared" si="3220"/>
        <v>0</v>
      </c>
      <c r="BD169" s="65">
        <f t="shared" si="3220"/>
        <v>0</v>
      </c>
      <c r="BE169" s="65">
        <f t="shared" si="3220"/>
        <v>0</v>
      </c>
      <c r="BF169" s="65">
        <f t="shared" si="3220"/>
        <v>0</v>
      </c>
      <c r="BG169" s="65">
        <f t="shared" si="3220"/>
        <v>0</v>
      </c>
      <c r="BH169" s="65">
        <f t="shared" si="3220"/>
        <v>4.5598634439581742</v>
      </c>
      <c r="BI169" s="66">
        <f t="shared" si="3220"/>
        <v>0</v>
      </c>
      <c r="BJ169" s="68">
        <f t="shared" si="3220"/>
        <v>0</v>
      </c>
      <c r="BK169" s="65">
        <f t="shared" si="3220"/>
        <v>0</v>
      </c>
      <c r="BL169" s="65">
        <f t="shared" si="3220"/>
        <v>0</v>
      </c>
      <c r="BM169" s="66">
        <f t="shared" si="3220"/>
        <v>0</v>
      </c>
      <c r="BN169" s="68">
        <f t="shared" si="3220"/>
        <v>0</v>
      </c>
      <c r="BO169" s="65">
        <f t="shared" si="3220"/>
        <v>0</v>
      </c>
      <c r="BP169" s="65">
        <f t="shared" si="3220"/>
        <v>0</v>
      </c>
      <c r="BQ169" s="65">
        <f t="shared" si="3220"/>
        <v>0</v>
      </c>
      <c r="BR169" s="65">
        <f t="shared" si="3220"/>
        <v>0</v>
      </c>
      <c r="BS169" s="66">
        <f t="shared" si="3220"/>
        <v>0</v>
      </c>
      <c r="BT169" s="68">
        <f t="shared" si="3220"/>
        <v>0</v>
      </c>
      <c r="BU169" s="65">
        <f t="shared" si="3220"/>
        <v>0</v>
      </c>
      <c r="BV169" s="65">
        <f t="shared" si="3220"/>
        <v>0</v>
      </c>
      <c r="BW169" s="65">
        <f t="shared" si="3220"/>
        <v>0</v>
      </c>
      <c r="BX169" s="66">
        <f t="shared" si="3220"/>
        <v>0</v>
      </c>
      <c r="BY169" s="68">
        <f t="shared" si="3220"/>
        <v>0</v>
      </c>
      <c r="BZ169" s="65">
        <f t="shared" si="3220"/>
        <v>0</v>
      </c>
      <c r="CA169" s="65">
        <f t="shared" si="3220"/>
        <v>0</v>
      </c>
      <c r="CB169" s="65">
        <f t="shared" si="3220"/>
        <v>0</v>
      </c>
      <c r="CC169" s="65">
        <f t="shared" si="3220"/>
        <v>0</v>
      </c>
      <c r="CD169" s="65">
        <f t="shared" si="3220"/>
        <v>0</v>
      </c>
      <c r="CE169" s="65">
        <f t="shared" si="3220"/>
        <v>0</v>
      </c>
      <c r="CF169" s="65">
        <f t="shared" si="3220"/>
        <v>0</v>
      </c>
      <c r="CG169" s="65">
        <f t="shared" si="3220"/>
        <v>0</v>
      </c>
      <c r="CH169" s="65">
        <f t="shared" si="3220"/>
        <v>0</v>
      </c>
      <c r="CI169" s="65">
        <f t="shared" si="3220"/>
        <v>0</v>
      </c>
      <c r="CJ169" s="66">
        <f t="shared" si="3220"/>
        <v>0</v>
      </c>
      <c r="CN169" s="68">
        <f t="shared" ref="CN169:DV169" si="3221">SUM(CN162:CN168)</f>
        <v>1.7681826551279689</v>
      </c>
      <c r="CO169" s="65">
        <f t="shared" si="3221"/>
        <v>0</v>
      </c>
      <c r="CP169" s="65">
        <f t="shared" si="3221"/>
        <v>0</v>
      </c>
      <c r="CQ169" s="65">
        <f t="shared" si="3221"/>
        <v>0</v>
      </c>
      <c r="CR169" s="65">
        <f t="shared" si="3221"/>
        <v>0</v>
      </c>
      <c r="CS169" s="65">
        <f t="shared" si="3221"/>
        <v>0</v>
      </c>
      <c r="CT169" s="65">
        <f t="shared" si="3221"/>
        <v>7.2121374266501279</v>
      </c>
      <c r="CU169" s="66">
        <f t="shared" si="3221"/>
        <v>0</v>
      </c>
      <c r="CV169" s="68">
        <f t="shared" si="3221"/>
        <v>0</v>
      </c>
      <c r="CW169" s="65">
        <f t="shared" si="3221"/>
        <v>0</v>
      </c>
      <c r="CX169" s="65">
        <f t="shared" si="3221"/>
        <v>0</v>
      </c>
      <c r="CY169" s="66">
        <f t="shared" si="3221"/>
        <v>0</v>
      </c>
      <c r="CZ169" s="68">
        <f t="shared" si="3221"/>
        <v>0</v>
      </c>
      <c r="DA169" s="65">
        <f t="shared" si="3221"/>
        <v>0</v>
      </c>
      <c r="DB169" s="65">
        <f t="shared" si="3221"/>
        <v>0</v>
      </c>
      <c r="DC169" s="65">
        <f t="shared" si="3221"/>
        <v>0</v>
      </c>
      <c r="DD169" s="65">
        <f t="shared" si="3221"/>
        <v>0</v>
      </c>
      <c r="DE169" s="66">
        <f t="shared" si="3221"/>
        <v>0</v>
      </c>
      <c r="DF169" s="68">
        <f t="shared" si="3221"/>
        <v>0</v>
      </c>
      <c r="DG169" s="65">
        <f t="shared" si="3221"/>
        <v>0</v>
      </c>
      <c r="DH169" s="65">
        <f t="shared" si="3221"/>
        <v>0</v>
      </c>
      <c r="DI169" s="65">
        <f t="shared" si="3221"/>
        <v>0</v>
      </c>
      <c r="DJ169" s="66">
        <f t="shared" si="3221"/>
        <v>0</v>
      </c>
      <c r="DK169" s="68">
        <f t="shared" si="3221"/>
        <v>0</v>
      </c>
      <c r="DL169" s="65">
        <f t="shared" si="3221"/>
        <v>0</v>
      </c>
      <c r="DM169" s="65">
        <f t="shared" si="3221"/>
        <v>0</v>
      </c>
      <c r="DN169" s="65">
        <f t="shared" si="3221"/>
        <v>0</v>
      </c>
      <c r="DO169" s="65">
        <f t="shared" si="3221"/>
        <v>0</v>
      </c>
      <c r="DP169" s="65">
        <f t="shared" si="3221"/>
        <v>0</v>
      </c>
      <c r="DQ169" s="65">
        <f t="shared" si="3221"/>
        <v>0</v>
      </c>
      <c r="DR169" s="65">
        <f t="shared" si="3221"/>
        <v>0</v>
      </c>
      <c r="DS169" s="65">
        <f t="shared" si="3221"/>
        <v>0</v>
      </c>
      <c r="DT169" s="65">
        <f t="shared" si="3221"/>
        <v>0</v>
      </c>
      <c r="DU169" s="65">
        <f t="shared" si="3221"/>
        <v>0</v>
      </c>
      <c r="DV169" s="66">
        <f t="shared" si="3221"/>
        <v>0</v>
      </c>
      <c r="DX169" s="143">
        <f t="shared" ref="DX169:FF169" si="3222">AVERAGE(DX162:DX168)</f>
        <v>9.2064076597311723E-3</v>
      </c>
      <c r="DY169" s="144">
        <f t="shared" si="3222"/>
        <v>0</v>
      </c>
      <c r="DZ169" s="144">
        <f t="shared" si="3222"/>
        <v>0</v>
      </c>
      <c r="EA169" s="144">
        <f t="shared" si="3222"/>
        <v>0</v>
      </c>
      <c r="EB169" s="144">
        <f t="shared" si="3222"/>
        <v>0</v>
      </c>
      <c r="EC169" s="144">
        <f t="shared" si="3222"/>
        <v>0</v>
      </c>
      <c r="ED169" s="144">
        <f t="shared" si="3222"/>
        <v>4.7281039731061389E-2</v>
      </c>
      <c r="EE169" s="145">
        <f t="shared" si="3222"/>
        <v>0</v>
      </c>
      <c r="EF169" s="143">
        <f t="shared" si="3222"/>
        <v>0</v>
      </c>
      <c r="EG169" s="144">
        <f t="shared" si="3222"/>
        <v>0</v>
      </c>
      <c r="EH169" s="144">
        <f t="shared" si="3222"/>
        <v>0</v>
      </c>
      <c r="EI169" s="145">
        <f t="shared" si="3222"/>
        <v>0</v>
      </c>
      <c r="EJ169" s="143">
        <f t="shared" si="3222"/>
        <v>0</v>
      </c>
      <c r="EK169" s="144">
        <f t="shared" si="3222"/>
        <v>0</v>
      </c>
      <c r="EL169" s="144">
        <f t="shared" si="3222"/>
        <v>0</v>
      </c>
      <c r="EM169" s="144">
        <f t="shared" si="3222"/>
        <v>0</v>
      </c>
      <c r="EN169" s="144">
        <f t="shared" si="3222"/>
        <v>0</v>
      </c>
      <c r="EO169" s="144">
        <f t="shared" si="3222"/>
        <v>0</v>
      </c>
      <c r="EP169" s="143">
        <f t="shared" si="3222"/>
        <v>0</v>
      </c>
      <c r="EQ169" s="144">
        <f t="shared" si="3222"/>
        <v>0</v>
      </c>
      <c r="ER169" s="144">
        <f t="shared" si="3222"/>
        <v>0</v>
      </c>
      <c r="ES169" s="144">
        <f t="shared" si="3222"/>
        <v>0</v>
      </c>
      <c r="ET169" s="145">
        <f t="shared" si="3222"/>
        <v>0</v>
      </c>
      <c r="EU169" s="143">
        <f t="shared" si="3222"/>
        <v>0</v>
      </c>
      <c r="EV169" s="144">
        <f t="shared" si="3222"/>
        <v>0</v>
      </c>
      <c r="EW169" s="144">
        <f t="shared" si="3222"/>
        <v>0</v>
      </c>
      <c r="EX169" s="144">
        <f t="shared" si="3222"/>
        <v>0</v>
      </c>
      <c r="EY169" s="144">
        <f t="shared" si="3222"/>
        <v>0</v>
      </c>
      <c r="EZ169" s="144">
        <f t="shared" si="3222"/>
        <v>0</v>
      </c>
      <c r="FA169" s="144">
        <f t="shared" si="3222"/>
        <v>0</v>
      </c>
      <c r="FB169" s="144">
        <f t="shared" si="3222"/>
        <v>0</v>
      </c>
      <c r="FC169" s="144">
        <f t="shared" si="3222"/>
        <v>0</v>
      </c>
      <c r="FD169" s="144">
        <f t="shared" si="3222"/>
        <v>0</v>
      </c>
      <c r="FE169" s="144">
        <f t="shared" si="3222"/>
        <v>0</v>
      </c>
      <c r="FF169" s="145">
        <f t="shared" si="3222"/>
        <v>0</v>
      </c>
    </row>
    <row r="170" spans="1:163" ht="16.5" thickBot="1" x14ac:dyDescent="0.3">
      <c r="L170" s="253" t="s">
        <v>145</v>
      </c>
    </row>
    <row r="171" spans="1:163" x14ac:dyDescent="0.25">
      <c r="A171" s="296"/>
      <c r="B171" s="176"/>
      <c r="C171" s="269"/>
      <c r="D171" s="103"/>
      <c r="E171" s="156"/>
      <c r="F171" s="25"/>
      <c r="G171" s="25"/>
      <c r="H171" s="179"/>
      <c r="I171" s="180"/>
      <c r="J171" s="181"/>
      <c r="K171" s="181"/>
      <c r="L171" s="182"/>
      <c r="M171" s="182"/>
      <c r="N171" s="183"/>
      <c r="O171" s="25"/>
      <c r="P171" s="157"/>
      <c r="Q171" s="158"/>
      <c r="R171" s="158"/>
      <c r="S171" s="158"/>
      <c r="T171" s="158"/>
      <c r="U171" s="158"/>
      <c r="V171" s="158"/>
      <c r="W171" s="159"/>
      <c r="X171" s="157"/>
      <c r="Y171" s="158"/>
      <c r="Z171" s="158"/>
      <c r="AA171" s="159"/>
      <c r="AB171" s="157"/>
      <c r="AC171" s="158"/>
      <c r="AD171" s="158"/>
      <c r="AE171" s="158"/>
      <c r="AF171" s="158"/>
      <c r="AG171" s="159"/>
      <c r="AH171" s="157"/>
      <c r="AI171" s="158"/>
      <c r="AJ171" s="158"/>
      <c r="AK171" s="158"/>
      <c r="AL171" s="159"/>
      <c r="AM171" s="157"/>
      <c r="AN171" s="158"/>
      <c r="AO171" s="158"/>
      <c r="AP171" s="158"/>
      <c r="AQ171" s="158"/>
      <c r="AR171" s="158"/>
      <c r="AS171" s="158"/>
      <c r="AT171" s="158"/>
      <c r="AU171" s="158"/>
      <c r="AV171" s="158"/>
      <c r="AW171" s="158"/>
      <c r="AX171" s="158"/>
      <c r="AY171" s="158"/>
      <c r="AZ171" s="159"/>
      <c r="BB171" s="157"/>
      <c r="BC171" s="158"/>
      <c r="BD171" s="158"/>
      <c r="BE171" s="158"/>
      <c r="BF171" s="158"/>
      <c r="BG171" s="158"/>
      <c r="BH171" s="158"/>
      <c r="BI171" s="159"/>
      <c r="BJ171" s="157"/>
      <c r="BK171" s="158"/>
      <c r="BL171" s="158"/>
      <c r="BM171" s="159"/>
      <c r="BN171" s="157"/>
      <c r="BO171" s="158"/>
      <c r="BP171" s="158"/>
      <c r="BQ171" s="158"/>
      <c r="BR171" s="158"/>
      <c r="BS171" s="159"/>
      <c r="BT171" s="157"/>
      <c r="BU171" s="158"/>
      <c r="BV171" s="158"/>
      <c r="BW171" s="158"/>
      <c r="BX171" s="159"/>
      <c r="BY171" s="157"/>
      <c r="BZ171" s="158"/>
      <c r="CA171" s="158"/>
      <c r="CB171" s="158"/>
      <c r="CC171" s="158"/>
      <c r="CD171" s="158"/>
      <c r="CE171" s="158"/>
      <c r="CF171" s="158"/>
      <c r="CG171" s="158"/>
      <c r="CH171" s="158"/>
      <c r="CI171" s="158"/>
      <c r="CJ171" s="159"/>
      <c r="CL171" s="36">
        <v>28</v>
      </c>
      <c r="CN171" s="157" t="e">
        <f t="shared" ref="CN171:DV171" si="3223">AVERAGE(BB171:BB181)*$CL171</f>
        <v>#DIV/0!</v>
      </c>
      <c r="CO171" s="158" t="e">
        <f t="shared" si="3223"/>
        <v>#DIV/0!</v>
      </c>
      <c r="CP171" s="158" t="e">
        <f t="shared" si="3223"/>
        <v>#DIV/0!</v>
      </c>
      <c r="CQ171" s="158" t="e">
        <f t="shared" si="3223"/>
        <v>#DIV/0!</v>
      </c>
      <c r="CR171" s="158" t="e">
        <f t="shared" si="3223"/>
        <v>#DIV/0!</v>
      </c>
      <c r="CS171" s="158" t="e">
        <f t="shared" si="3223"/>
        <v>#DIV/0!</v>
      </c>
      <c r="CT171" s="158" t="e">
        <f t="shared" si="3223"/>
        <v>#DIV/0!</v>
      </c>
      <c r="CU171" s="159" t="e">
        <f t="shared" si="3223"/>
        <v>#DIV/0!</v>
      </c>
      <c r="CV171" s="157" t="e">
        <f t="shared" si="3223"/>
        <v>#DIV/0!</v>
      </c>
      <c r="CW171" s="158" t="e">
        <f t="shared" si="3223"/>
        <v>#DIV/0!</v>
      </c>
      <c r="CX171" s="158" t="e">
        <f t="shared" si="3223"/>
        <v>#DIV/0!</v>
      </c>
      <c r="CY171" s="159" t="e">
        <f t="shared" si="3223"/>
        <v>#DIV/0!</v>
      </c>
      <c r="CZ171" s="157" t="e">
        <f t="shared" si="3223"/>
        <v>#DIV/0!</v>
      </c>
      <c r="DA171" s="158" t="e">
        <f t="shared" si="3223"/>
        <v>#DIV/0!</v>
      </c>
      <c r="DB171" s="158" t="e">
        <f t="shared" si="3223"/>
        <v>#DIV/0!</v>
      </c>
      <c r="DC171" s="158" t="e">
        <f t="shared" si="3223"/>
        <v>#DIV/0!</v>
      </c>
      <c r="DD171" s="158" t="e">
        <f t="shared" si="3223"/>
        <v>#DIV/0!</v>
      </c>
      <c r="DE171" s="159" t="e">
        <f t="shared" si="3223"/>
        <v>#DIV/0!</v>
      </c>
      <c r="DF171" s="157" t="e">
        <f t="shared" si="3223"/>
        <v>#DIV/0!</v>
      </c>
      <c r="DG171" s="158" t="e">
        <f t="shared" si="3223"/>
        <v>#DIV/0!</v>
      </c>
      <c r="DH171" s="158" t="e">
        <f t="shared" si="3223"/>
        <v>#DIV/0!</v>
      </c>
      <c r="DI171" s="158" t="e">
        <f t="shared" si="3223"/>
        <v>#DIV/0!</v>
      </c>
      <c r="DJ171" s="159" t="e">
        <f t="shared" si="3223"/>
        <v>#DIV/0!</v>
      </c>
      <c r="DK171" s="157" t="e">
        <f t="shared" si="3223"/>
        <v>#DIV/0!</v>
      </c>
      <c r="DL171" s="158" t="e">
        <f t="shared" si="3223"/>
        <v>#DIV/0!</v>
      </c>
      <c r="DM171" s="158" t="e">
        <f t="shared" si="3223"/>
        <v>#DIV/0!</v>
      </c>
      <c r="DN171" s="158" t="e">
        <f t="shared" si="3223"/>
        <v>#DIV/0!</v>
      </c>
      <c r="DO171" s="158" t="e">
        <f t="shared" si="3223"/>
        <v>#DIV/0!</v>
      </c>
      <c r="DP171" s="158" t="e">
        <f t="shared" si="3223"/>
        <v>#DIV/0!</v>
      </c>
      <c r="DQ171" s="158" t="e">
        <f t="shared" si="3223"/>
        <v>#DIV/0!</v>
      </c>
      <c r="DR171" s="158" t="e">
        <f t="shared" si="3223"/>
        <v>#DIV/0!</v>
      </c>
      <c r="DS171" s="158" t="e">
        <f t="shared" si="3223"/>
        <v>#DIV/0!</v>
      </c>
      <c r="DT171" s="158" t="e">
        <f t="shared" si="3223"/>
        <v>#DIV/0!</v>
      </c>
      <c r="DU171" s="158" t="e">
        <f t="shared" si="3223"/>
        <v>#DIV/0!</v>
      </c>
      <c r="DV171" s="159" t="e">
        <f t="shared" si="3223"/>
        <v>#DIV/0!</v>
      </c>
      <c r="DX171" s="186"/>
      <c r="DY171" s="187"/>
      <c r="DZ171" s="187"/>
      <c r="EA171" s="187"/>
      <c r="EB171" s="187"/>
      <c r="EC171" s="187"/>
      <c r="ED171" s="187"/>
      <c r="EE171" s="188"/>
      <c r="EF171" s="186"/>
      <c r="EG171" s="187"/>
      <c r="EH171" s="187"/>
      <c r="EI171" s="188"/>
      <c r="EJ171" s="186"/>
      <c r="EK171" s="187"/>
      <c r="EL171" s="187"/>
      <c r="EM171" s="187"/>
      <c r="EN171" s="187"/>
      <c r="EO171" s="188"/>
      <c r="EP171" s="186"/>
      <c r="EQ171" s="187"/>
      <c r="ER171" s="187"/>
      <c r="ES171" s="187"/>
      <c r="ET171" s="188"/>
      <c r="EU171" s="186"/>
      <c r="EV171" s="187"/>
      <c r="EW171" s="187"/>
      <c r="EX171" s="187"/>
      <c r="EY171" s="187"/>
      <c r="EZ171" s="187"/>
      <c r="FA171" s="187"/>
      <c r="FB171" s="187"/>
      <c r="FC171" s="187"/>
      <c r="FD171" s="187"/>
      <c r="FE171" s="187"/>
      <c r="FF171" s="188"/>
    </row>
    <row r="172" spans="1:163" x14ac:dyDescent="0.25">
      <c r="B172" s="127">
        <v>43074</v>
      </c>
      <c r="C172" s="263"/>
      <c r="D172" s="53"/>
      <c r="E172" s="129"/>
      <c r="F172" s="25"/>
      <c r="G172" s="25"/>
      <c r="H172" s="150"/>
      <c r="I172" s="24"/>
      <c r="J172" s="151"/>
      <c r="K172" s="151"/>
      <c r="L172" s="152">
        <v>9.6</v>
      </c>
      <c r="M172" s="152" t="e">
        <f t="shared" ref="M172:M174" si="3224">H172/I172*K172*L172*1.5</f>
        <v>#DIV/0!</v>
      </c>
      <c r="N172" s="153" t="e">
        <f t="shared" ref="N172:N174" si="3225">H172/I172*J172*L172*N$4</f>
        <v>#DIV/0!</v>
      </c>
      <c r="O172" s="25"/>
      <c r="P172" s="95"/>
      <c r="Q172" s="41"/>
      <c r="R172" s="41"/>
      <c r="S172" s="41"/>
      <c r="T172" s="41"/>
      <c r="U172" s="41"/>
      <c r="V172" s="41"/>
      <c r="W172" s="42"/>
      <c r="X172" s="95"/>
      <c r="Y172" s="41"/>
      <c r="Z172" s="41"/>
      <c r="AA172" s="42"/>
      <c r="AB172" s="95"/>
      <c r="AC172" s="41"/>
      <c r="AD172" s="41"/>
      <c r="AE172" s="41"/>
      <c r="AF172" s="41"/>
      <c r="AG172" s="42"/>
      <c r="AH172" s="95"/>
      <c r="AI172" s="41"/>
      <c r="AJ172" s="41"/>
      <c r="AK172" s="41"/>
      <c r="AL172" s="42"/>
      <c r="AM172" s="95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2"/>
      <c r="BB172" s="95" t="e">
        <f t="shared" ref="BB172:BB174" si="3226">$N172*DX172</f>
        <v>#DIV/0!</v>
      </c>
      <c r="BC172" s="41" t="e">
        <f t="shared" ref="BC172:BC174" si="3227">$N172*DY172</f>
        <v>#DIV/0!</v>
      </c>
      <c r="BD172" s="41" t="e">
        <f t="shared" ref="BD172:BD174" si="3228">$N172*DZ172</f>
        <v>#DIV/0!</v>
      </c>
      <c r="BE172" s="41" t="e">
        <f t="shared" ref="BE172:BE174" si="3229">$N172*EA172</f>
        <v>#DIV/0!</v>
      </c>
      <c r="BF172" s="41" t="e">
        <f t="shared" ref="BF172:BF174" si="3230">$N172*EB172</f>
        <v>#DIV/0!</v>
      </c>
      <c r="BG172" s="41" t="e">
        <f t="shared" ref="BG172:BG174" si="3231">$N172*EC172</f>
        <v>#DIV/0!</v>
      </c>
      <c r="BH172" s="41" t="e">
        <f t="shared" ref="BH172:BH174" si="3232">$N172*ED172</f>
        <v>#DIV/0!</v>
      </c>
      <c r="BI172" s="42" t="e">
        <f t="shared" ref="BI172:BI174" si="3233">$N172*EE172</f>
        <v>#DIV/0!</v>
      </c>
      <c r="BJ172" s="95" t="e">
        <f t="shared" ref="BJ172:BJ174" si="3234">$N172*EF172</f>
        <v>#DIV/0!</v>
      </c>
      <c r="BK172" s="41" t="e">
        <f t="shared" ref="BK172:BK174" si="3235">$N172*EG172</f>
        <v>#DIV/0!</v>
      </c>
      <c r="BL172" s="41" t="e">
        <f t="shared" ref="BL172:BL174" si="3236">$N172*EH172</f>
        <v>#DIV/0!</v>
      </c>
      <c r="BM172" s="42" t="e">
        <f t="shared" ref="BM172:BM174" si="3237">$N172*EI172</f>
        <v>#DIV/0!</v>
      </c>
      <c r="BN172" s="95" t="e">
        <f t="shared" ref="BN172:BN174" si="3238">$N172*EJ172</f>
        <v>#DIV/0!</v>
      </c>
      <c r="BO172" s="41" t="e">
        <f t="shared" ref="BO172:BO174" si="3239">$N172*EK172</f>
        <v>#DIV/0!</v>
      </c>
      <c r="BP172" s="41" t="e">
        <f t="shared" ref="BP172:BP174" si="3240">$N172*EL172</f>
        <v>#DIV/0!</v>
      </c>
      <c r="BQ172" s="41" t="e">
        <f t="shared" ref="BQ172:BQ174" si="3241">$N172*EM172</f>
        <v>#DIV/0!</v>
      </c>
      <c r="BR172" s="41" t="e">
        <f t="shared" ref="BR172:BR174" si="3242">$N172*EN172</f>
        <v>#DIV/0!</v>
      </c>
      <c r="BS172" s="42" t="e">
        <f t="shared" ref="BS172:BS174" si="3243">$N172*EO172</f>
        <v>#DIV/0!</v>
      </c>
      <c r="BT172" s="95" t="e">
        <f t="shared" ref="BT172:BT174" si="3244">$N172*EP172</f>
        <v>#DIV/0!</v>
      </c>
      <c r="BU172" s="41" t="e">
        <f t="shared" ref="BU172:BU174" si="3245">$N172*EQ172</f>
        <v>#DIV/0!</v>
      </c>
      <c r="BV172" s="41" t="e">
        <f t="shared" ref="BV172:BV174" si="3246">$N172*ER172</f>
        <v>#DIV/0!</v>
      </c>
      <c r="BW172" s="41" t="e">
        <f t="shared" ref="BW172:BW174" si="3247">$N172*ES172</f>
        <v>#DIV/0!</v>
      </c>
      <c r="BX172" s="42" t="e">
        <f t="shared" ref="BX172:BX174" si="3248">$N172*ET172</f>
        <v>#DIV/0!</v>
      </c>
      <c r="BY172" s="95" t="e">
        <f t="shared" ref="BY172:BY174" si="3249">$N172*EU172</f>
        <v>#DIV/0!</v>
      </c>
      <c r="BZ172" s="41" t="e">
        <f t="shared" ref="BZ172:BZ174" si="3250">$N172*EV172</f>
        <v>#DIV/0!</v>
      </c>
      <c r="CA172" s="41" t="e">
        <f t="shared" ref="CA172:CA174" si="3251">$N172*EW172</f>
        <v>#DIV/0!</v>
      </c>
      <c r="CB172" s="41" t="e">
        <f t="shared" ref="CB172:CB174" si="3252">$N172*EX172</f>
        <v>#DIV/0!</v>
      </c>
      <c r="CC172" s="41" t="e">
        <f t="shared" ref="CC172:CC174" si="3253">$N172*EY172</f>
        <v>#DIV/0!</v>
      </c>
      <c r="CD172" s="41" t="e">
        <f t="shared" ref="CD172:CD174" si="3254">$N172*EZ172</f>
        <v>#DIV/0!</v>
      </c>
      <c r="CE172" s="41" t="e">
        <f t="shared" ref="CE172:CE174" si="3255">$N172*FA172</f>
        <v>#DIV/0!</v>
      </c>
      <c r="CF172" s="41" t="e">
        <f t="shared" ref="CF172:CF174" si="3256">$N172*FB172</f>
        <v>#DIV/0!</v>
      </c>
      <c r="CG172" s="41" t="e">
        <f t="shared" ref="CG172:CG174" si="3257">$N172*FC172</f>
        <v>#DIV/0!</v>
      </c>
      <c r="CH172" s="41" t="e">
        <f t="shared" ref="CH172:CH174" si="3258">$N172*FD172</f>
        <v>#DIV/0!</v>
      </c>
      <c r="CI172" s="41" t="e">
        <f t="shared" ref="CI172:CI174" si="3259">$N172*FE172</f>
        <v>#DIV/0!</v>
      </c>
      <c r="CJ172" s="42" t="e">
        <f t="shared" ref="CJ172:CJ174" si="3260">$N172*FF172</f>
        <v>#DIV/0!</v>
      </c>
      <c r="CL172" s="36"/>
      <c r="CN172" s="95"/>
      <c r="CO172" s="41"/>
      <c r="CP172" s="41"/>
      <c r="CQ172" s="41"/>
      <c r="CR172" s="41"/>
      <c r="CS172" s="41"/>
      <c r="CT172" s="41"/>
      <c r="CU172" s="42"/>
      <c r="CV172" s="95"/>
      <c r="CW172" s="41"/>
      <c r="CX172" s="41"/>
      <c r="CY172" s="42"/>
      <c r="CZ172" s="95"/>
      <c r="DA172" s="41"/>
      <c r="DB172" s="41"/>
      <c r="DC172" s="41"/>
      <c r="DD172" s="41"/>
      <c r="DE172" s="42"/>
      <c r="DF172" s="95"/>
      <c r="DG172" s="41"/>
      <c r="DH172" s="41"/>
      <c r="DI172" s="41"/>
      <c r="DJ172" s="42"/>
      <c r="DK172" s="95"/>
      <c r="DL172" s="41"/>
      <c r="DM172" s="41"/>
      <c r="DN172" s="41"/>
      <c r="DO172" s="41"/>
      <c r="DP172" s="41"/>
      <c r="DQ172" s="41"/>
      <c r="DR172" s="41"/>
      <c r="DS172" s="41"/>
      <c r="DT172" s="41"/>
      <c r="DU172" s="41"/>
      <c r="DV172" s="42"/>
      <c r="DX172" s="138" t="e">
        <f t="shared" ref="DX172:DX174" si="3261">P172/$E172</f>
        <v>#DIV/0!</v>
      </c>
      <c r="DY172" s="34" t="e">
        <f t="shared" ref="DY172:DY174" si="3262">Q172/$E172</f>
        <v>#DIV/0!</v>
      </c>
      <c r="DZ172" s="34" t="e">
        <f t="shared" ref="DZ172:DZ174" si="3263">R172/$E172</f>
        <v>#DIV/0!</v>
      </c>
      <c r="EA172" s="34" t="e">
        <f t="shared" ref="EA172:EA174" si="3264">S172/$E172</f>
        <v>#DIV/0!</v>
      </c>
      <c r="EB172" s="34" t="e">
        <f t="shared" ref="EB172:EB174" si="3265">T172/$E172</f>
        <v>#DIV/0!</v>
      </c>
      <c r="EC172" s="34" t="e">
        <f t="shared" ref="EC172:EC174" si="3266">U172/$E172</f>
        <v>#DIV/0!</v>
      </c>
      <c r="ED172" s="34" t="e">
        <f t="shared" ref="ED172:ED174" si="3267">V172/$E172</f>
        <v>#DIV/0!</v>
      </c>
      <c r="EE172" s="139" t="e">
        <f t="shared" ref="EE172:EE174" si="3268">W172/$E172</f>
        <v>#DIV/0!</v>
      </c>
      <c r="EF172" s="138" t="e">
        <f t="shared" ref="EF172:EF174" si="3269">X172/$E172</f>
        <v>#DIV/0!</v>
      </c>
      <c r="EG172" s="34" t="e">
        <f t="shared" ref="EG172:EG174" si="3270">Y172/$E172</f>
        <v>#DIV/0!</v>
      </c>
      <c r="EH172" s="34" t="e">
        <f t="shared" ref="EH172:EH174" si="3271">Z172/$E172</f>
        <v>#DIV/0!</v>
      </c>
      <c r="EI172" s="139" t="e">
        <f t="shared" ref="EI172:EI174" si="3272">AA172/$E172</f>
        <v>#DIV/0!</v>
      </c>
      <c r="EJ172" s="138" t="e">
        <f t="shared" ref="EJ172:EJ174" si="3273">AB172/$E172</f>
        <v>#DIV/0!</v>
      </c>
      <c r="EK172" s="34" t="e">
        <f t="shared" ref="EK172:EK174" si="3274">AC172/$E172</f>
        <v>#DIV/0!</v>
      </c>
      <c r="EL172" s="34" t="e">
        <f t="shared" ref="EL172:EL174" si="3275">AD172/$E172</f>
        <v>#DIV/0!</v>
      </c>
      <c r="EM172" s="34" t="e">
        <f t="shared" ref="EM172:EM174" si="3276">AE172/$E172</f>
        <v>#DIV/0!</v>
      </c>
      <c r="EN172" s="34" t="e">
        <f t="shared" ref="EN172:EN174" si="3277">AF172/$E172</f>
        <v>#DIV/0!</v>
      </c>
      <c r="EO172" s="139" t="e">
        <f t="shared" ref="EO172:EO174" si="3278">AG172/$E172</f>
        <v>#DIV/0!</v>
      </c>
      <c r="EP172" s="138" t="e">
        <f t="shared" ref="EP172:EP174" si="3279">AH172/$E172</f>
        <v>#DIV/0!</v>
      </c>
      <c r="EQ172" s="34" t="e">
        <f t="shared" ref="EQ172:EQ174" si="3280">AI172/$E172</f>
        <v>#DIV/0!</v>
      </c>
      <c r="ER172" s="34" t="e">
        <f t="shared" ref="ER172:ER174" si="3281">AJ172/$E172</f>
        <v>#DIV/0!</v>
      </c>
      <c r="ES172" s="34" t="e">
        <f t="shared" ref="ES172:ES174" si="3282">AK172/$E172</f>
        <v>#DIV/0!</v>
      </c>
      <c r="ET172" s="139" t="e">
        <f t="shared" ref="ET172:ET174" si="3283">AL172/$E172</f>
        <v>#DIV/0!</v>
      </c>
      <c r="EU172" s="138" t="e">
        <f t="shared" ref="EU172:EU174" si="3284">AM172/$E172</f>
        <v>#DIV/0!</v>
      </c>
      <c r="EV172" s="34" t="e">
        <f t="shared" ref="EV172:EV174" si="3285">AN172/$E172</f>
        <v>#DIV/0!</v>
      </c>
      <c r="EW172" s="34" t="e">
        <f t="shared" ref="EW172:EW174" si="3286">AO172/$E172</f>
        <v>#DIV/0!</v>
      </c>
      <c r="EX172" s="34" t="e">
        <f t="shared" ref="EX172:EX174" si="3287">AP172/$E172</f>
        <v>#DIV/0!</v>
      </c>
      <c r="EY172" s="34" t="e">
        <f t="shared" ref="EY172:EY174" si="3288">AQ172/$E172</f>
        <v>#DIV/0!</v>
      </c>
      <c r="EZ172" s="34" t="e">
        <f t="shared" ref="EZ172:EZ174" si="3289">AR172/$E172</f>
        <v>#DIV/0!</v>
      </c>
      <c r="FA172" s="34" t="e">
        <f t="shared" ref="FA172:FA174" si="3290">AS172/$E172</f>
        <v>#DIV/0!</v>
      </c>
      <c r="FB172" s="34" t="e">
        <f t="shared" ref="FB172:FB174" si="3291">AT172/$E172</f>
        <v>#DIV/0!</v>
      </c>
      <c r="FC172" s="34" t="e">
        <f t="shared" ref="FC172:FC174" si="3292">AU172/$E172</f>
        <v>#DIV/0!</v>
      </c>
      <c r="FD172" s="34" t="e">
        <f t="shared" ref="FD172:FD174" si="3293">AV172/$E172</f>
        <v>#DIV/0!</v>
      </c>
      <c r="FE172" s="34" t="e">
        <f t="shared" ref="FE172:FE174" si="3294">AY172/$E172</f>
        <v>#DIV/0!</v>
      </c>
      <c r="FF172" s="139" t="e">
        <f t="shared" ref="FF172:FF174" si="3295">AZ172/$E172</f>
        <v>#DIV/0!</v>
      </c>
    </row>
    <row r="173" spans="1:163" x14ac:dyDescent="0.25">
      <c r="B173" s="127">
        <v>43079</v>
      </c>
      <c r="C173" s="263"/>
      <c r="D173" s="53"/>
      <c r="E173" s="129"/>
      <c r="F173" s="25"/>
      <c r="G173" s="25"/>
      <c r="H173" s="150"/>
      <c r="I173" s="24"/>
      <c r="J173" s="151"/>
      <c r="K173" s="151"/>
      <c r="L173" s="152">
        <v>9.5</v>
      </c>
      <c r="M173" s="152" t="e">
        <f t="shared" si="3224"/>
        <v>#DIV/0!</v>
      </c>
      <c r="N173" s="153" t="e">
        <f t="shared" si="3225"/>
        <v>#DIV/0!</v>
      </c>
      <c r="O173" s="25"/>
      <c r="P173" s="95"/>
      <c r="Q173" s="41"/>
      <c r="R173" s="41"/>
      <c r="S173" s="41"/>
      <c r="T173" s="41"/>
      <c r="U173" s="41"/>
      <c r="V173" s="41"/>
      <c r="W173" s="42"/>
      <c r="X173" s="95"/>
      <c r="Y173" s="41"/>
      <c r="Z173" s="41"/>
      <c r="AA173" s="42"/>
      <c r="AB173" s="95"/>
      <c r="AC173" s="41"/>
      <c r="AD173" s="41"/>
      <c r="AE173" s="41"/>
      <c r="AF173" s="41"/>
      <c r="AG173" s="42"/>
      <c r="AH173" s="95"/>
      <c r="AI173" s="41"/>
      <c r="AJ173" s="41"/>
      <c r="AK173" s="41"/>
      <c r="AL173" s="42"/>
      <c r="AM173" s="95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2"/>
      <c r="BB173" s="95" t="e">
        <f t="shared" si="3226"/>
        <v>#DIV/0!</v>
      </c>
      <c r="BC173" s="41" t="e">
        <f t="shared" si="3227"/>
        <v>#DIV/0!</v>
      </c>
      <c r="BD173" s="41" t="e">
        <f t="shared" si="3228"/>
        <v>#DIV/0!</v>
      </c>
      <c r="BE173" s="41" t="e">
        <f t="shared" si="3229"/>
        <v>#DIV/0!</v>
      </c>
      <c r="BF173" s="41" t="e">
        <f t="shared" si="3230"/>
        <v>#DIV/0!</v>
      </c>
      <c r="BG173" s="41" t="e">
        <f t="shared" si="3231"/>
        <v>#DIV/0!</v>
      </c>
      <c r="BH173" s="41" t="e">
        <f t="shared" si="3232"/>
        <v>#DIV/0!</v>
      </c>
      <c r="BI173" s="42" t="e">
        <f t="shared" si="3233"/>
        <v>#DIV/0!</v>
      </c>
      <c r="BJ173" s="95" t="e">
        <f t="shared" si="3234"/>
        <v>#DIV/0!</v>
      </c>
      <c r="BK173" s="41" t="e">
        <f t="shared" si="3235"/>
        <v>#DIV/0!</v>
      </c>
      <c r="BL173" s="41" t="e">
        <f t="shared" si="3236"/>
        <v>#DIV/0!</v>
      </c>
      <c r="BM173" s="42" t="e">
        <f t="shared" si="3237"/>
        <v>#DIV/0!</v>
      </c>
      <c r="BN173" s="95" t="e">
        <f t="shared" si="3238"/>
        <v>#DIV/0!</v>
      </c>
      <c r="BO173" s="41" t="e">
        <f t="shared" si="3239"/>
        <v>#DIV/0!</v>
      </c>
      <c r="BP173" s="41" t="e">
        <f t="shared" si="3240"/>
        <v>#DIV/0!</v>
      </c>
      <c r="BQ173" s="41" t="e">
        <f t="shared" si="3241"/>
        <v>#DIV/0!</v>
      </c>
      <c r="BR173" s="41" t="e">
        <f t="shared" si="3242"/>
        <v>#DIV/0!</v>
      </c>
      <c r="BS173" s="42" t="e">
        <f t="shared" si="3243"/>
        <v>#DIV/0!</v>
      </c>
      <c r="BT173" s="95" t="e">
        <f t="shared" si="3244"/>
        <v>#DIV/0!</v>
      </c>
      <c r="BU173" s="41" t="e">
        <f t="shared" si="3245"/>
        <v>#DIV/0!</v>
      </c>
      <c r="BV173" s="41" t="e">
        <f t="shared" si="3246"/>
        <v>#DIV/0!</v>
      </c>
      <c r="BW173" s="41" t="e">
        <f t="shared" si="3247"/>
        <v>#DIV/0!</v>
      </c>
      <c r="BX173" s="42" t="e">
        <f t="shared" si="3248"/>
        <v>#DIV/0!</v>
      </c>
      <c r="BY173" s="95" t="e">
        <f t="shared" si="3249"/>
        <v>#DIV/0!</v>
      </c>
      <c r="BZ173" s="41" t="e">
        <f t="shared" si="3250"/>
        <v>#DIV/0!</v>
      </c>
      <c r="CA173" s="41" t="e">
        <f t="shared" si="3251"/>
        <v>#DIV/0!</v>
      </c>
      <c r="CB173" s="41" t="e">
        <f t="shared" si="3252"/>
        <v>#DIV/0!</v>
      </c>
      <c r="CC173" s="41" t="e">
        <f t="shared" si="3253"/>
        <v>#DIV/0!</v>
      </c>
      <c r="CD173" s="41" t="e">
        <f t="shared" si="3254"/>
        <v>#DIV/0!</v>
      </c>
      <c r="CE173" s="41" t="e">
        <f t="shared" si="3255"/>
        <v>#DIV/0!</v>
      </c>
      <c r="CF173" s="41" t="e">
        <f t="shared" si="3256"/>
        <v>#DIV/0!</v>
      </c>
      <c r="CG173" s="41" t="e">
        <f t="shared" si="3257"/>
        <v>#DIV/0!</v>
      </c>
      <c r="CH173" s="41" t="e">
        <f t="shared" si="3258"/>
        <v>#DIV/0!</v>
      </c>
      <c r="CI173" s="41" t="e">
        <f t="shared" si="3259"/>
        <v>#DIV/0!</v>
      </c>
      <c r="CJ173" s="42" t="e">
        <f t="shared" si="3260"/>
        <v>#DIV/0!</v>
      </c>
      <c r="CL173" s="36"/>
      <c r="CN173" s="95"/>
      <c r="CO173" s="41"/>
      <c r="CP173" s="41"/>
      <c r="CQ173" s="41"/>
      <c r="CR173" s="41"/>
      <c r="CS173" s="41"/>
      <c r="CT173" s="41"/>
      <c r="CU173" s="42"/>
      <c r="CV173" s="95"/>
      <c r="CW173" s="41"/>
      <c r="CX173" s="41"/>
      <c r="CY173" s="42"/>
      <c r="CZ173" s="95"/>
      <c r="DA173" s="41"/>
      <c r="DB173" s="41"/>
      <c r="DC173" s="41"/>
      <c r="DD173" s="41"/>
      <c r="DE173" s="42"/>
      <c r="DF173" s="95"/>
      <c r="DG173" s="41"/>
      <c r="DH173" s="41"/>
      <c r="DI173" s="41"/>
      <c r="DJ173" s="42"/>
      <c r="DK173" s="95"/>
      <c r="DL173" s="41"/>
      <c r="DM173" s="41"/>
      <c r="DN173" s="41"/>
      <c r="DO173" s="41"/>
      <c r="DP173" s="41"/>
      <c r="DQ173" s="41"/>
      <c r="DR173" s="41"/>
      <c r="DS173" s="41"/>
      <c r="DT173" s="41"/>
      <c r="DU173" s="41"/>
      <c r="DV173" s="42"/>
      <c r="DX173" s="138" t="e">
        <f t="shared" si="3261"/>
        <v>#DIV/0!</v>
      </c>
      <c r="DY173" s="34" t="e">
        <f t="shared" si="3262"/>
        <v>#DIV/0!</v>
      </c>
      <c r="DZ173" s="34" t="e">
        <f t="shared" si="3263"/>
        <v>#DIV/0!</v>
      </c>
      <c r="EA173" s="34" t="e">
        <f t="shared" si="3264"/>
        <v>#DIV/0!</v>
      </c>
      <c r="EB173" s="34" t="e">
        <f t="shared" si="3265"/>
        <v>#DIV/0!</v>
      </c>
      <c r="EC173" s="34" t="e">
        <f t="shared" si="3266"/>
        <v>#DIV/0!</v>
      </c>
      <c r="ED173" s="34" t="e">
        <f t="shared" si="3267"/>
        <v>#DIV/0!</v>
      </c>
      <c r="EE173" s="139" t="e">
        <f t="shared" si="3268"/>
        <v>#DIV/0!</v>
      </c>
      <c r="EF173" s="138" t="e">
        <f t="shared" si="3269"/>
        <v>#DIV/0!</v>
      </c>
      <c r="EG173" s="34" t="e">
        <f t="shared" si="3270"/>
        <v>#DIV/0!</v>
      </c>
      <c r="EH173" s="34" t="e">
        <f t="shared" si="3271"/>
        <v>#DIV/0!</v>
      </c>
      <c r="EI173" s="139" t="e">
        <f t="shared" si="3272"/>
        <v>#DIV/0!</v>
      </c>
      <c r="EJ173" s="138" t="e">
        <f t="shared" si="3273"/>
        <v>#DIV/0!</v>
      </c>
      <c r="EK173" s="34" t="e">
        <f t="shared" si="3274"/>
        <v>#DIV/0!</v>
      </c>
      <c r="EL173" s="34" t="e">
        <f t="shared" si="3275"/>
        <v>#DIV/0!</v>
      </c>
      <c r="EM173" s="34" t="e">
        <f t="shared" si="3276"/>
        <v>#DIV/0!</v>
      </c>
      <c r="EN173" s="34" t="e">
        <f t="shared" si="3277"/>
        <v>#DIV/0!</v>
      </c>
      <c r="EO173" s="139" t="e">
        <f t="shared" si="3278"/>
        <v>#DIV/0!</v>
      </c>
      <c r="EP173" s="138" t="e">
        <f t="shared" si="3279"/>
        <v>#DIV/0!</v>
      </c>
      <c r="EQ173" s="34" t="e">
        <f t="shared" si="3280"/>
        <v>#DIV/0!</v>
      </c>
      <c r="ER173" s="34" t="e">
        <f t="shared" si="3281"/>
        <v>#DIV/0!</v>
      </c>
      <c r="ES173" s="34" t="e">
        <f t="shared" si="3282"/>
        <v>#DIV/0!</v>
      </c>
      <c r="ET173" s="139" t="e">
        <f t="shared" si="3283"/>
        <v>#DIV/0!</v>
      </c>
      <c r="EU173" s="138" t="e">
        <f t="shared" si="3284"/>
        <v>#DIV/0!</v>
      </c>
      <c r="EV173" s="34" t="e">
        <f t="shared" si="3285"/>
        <v>#DIV/0!</v>
      </c>
      <c r="EW173" s="34" t="e">
        <f t="shared" si="3286"/>
        <v>#DIV/0!</v>
      </c>
      <c r="EX173" s="34" t="e">
        <f t="shared" si="3287"/>
        <v>#DIV/0!</v>
      </c>
      <c r="EY173" s="34" t="e">
        <f t="shared" si="3288"/>
        <v>#DIV/0!</v>
      </c>
      <c r="EZ173" s="34" t="e">
        <f t="shared" si="3289"/>
        <v>#DIV/0!</v>
      </c>
      <c r="FA173" s="34" t="e">
        <f t="shared" si="3290"/>
        <v>#DIV/0!</v>
      </c>
      <c r="FB173" s="34" t="e">
        <f t="shared" si="3291"/>
        <v>#DIV/0!</v>
      </c>
      <c r="FC173" s="34" t="e">
        <f t="shared" si="3292"/>
        <v>#DIV/0!</v>
      </c>
      <c r="FD173" s="34" t="e">
        <f t="shared" si="3293"/>
        <v>#DIV/0!</v>
      </c>
      <c r="FE173" s="34" t="e">
        <f t="shared" si="3294"/>
        <v>#DIV/0!</v>
      </c>
      <c r="FF173" s="139" t="e">
        <f t="shared" si="3295"/>
        <v>#DIV/0!</v>
      </c>
    </row>
    <row r="174" spans="1:163" x14ac:dyDescent="0.25">
      <c r="B174" s="127">
        <v>43081</v>
      </c>
      <c r="C174" s="263"/>
      <c r="D174" s="53"/>
      <c r="E174" s="129"/>
      <c r="F174" s="25"/>
      <c r="G174" s="25"/>
      <c r="H174" s="150"/>
      <c r="I174" s="24"/>
      <c r="J174" s="151"/>
      <c r="K174" s="151"/>
      <c r="L174" s="152">
        <v>9.4</v>
      </c>
      <c r="M174" s="152" t="e">
        <f t="shared" si="3224"/>
        <v>#DIV/0!</v>
      </c>
      <c r="N174" s="153" t="e">
        <f t="shared" si="3225"/>
        <v>#DIV/0!</v>
      </c>
      <c r="O174" s="25"/>
      <c r="P174" s="95"/>
      <c r="Q174" s="41"/>
      <c r="R174" s="41"/>
      <c r="S174" s="41"/>
      <c r="T174" s="41"/>
      <c r="U174" s="41"/>
      <c r="V174" s="41"/>
      <c r="W174" s="42"/>
      <c r="X174" s="95"/>
      <c r="Y174" s="41"/>
      <c r="Z174" s="41"/>
      <c r="AA174" s="42"/>
      <c r="AB174" s="95"/>
      <c r="AC174" s="41"/>
      <c r="AD174" s="41"/>
      <c r="AE174" s="41"/>
      <c r="AF174" s="41"/>
      <c r="AG174" s="42"/>
      <c r="AH174" s="95"/>
      <c r="AI174" s="41"/>
      <c r="AJ174" s="41"/>
      <c r="AK174" s="41"/>
      <c r="AL174" s="42"/>
      <c r="AM174" s="95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2"/>
      <c r="BB174" s="95" t="e">
        <f t="shared" si="3226"/>
        <v>#DIV/0!</v>
      </c>
      <c r="BC174" s="41" t="e">
        <f t="shared" si="3227"/>
        <v>#DIV/0!</v>
      </c>
      <c r="BD174" s="41" t="e">
        <f t="shared" si="3228"/>
        <v>#DIV/0!</v>
      </c>
      <c r="BE174" s="41" t="e">
        <f t="shared" si="3229"/>
        <v>#DIV/0!</v>
      </c>
      <c r="BF174" s="41" t="e">
        <f t="shared" si="3230"/>
        <v>#DIV/0!</v>
      </c>
      <c r="BG174" s="41" t="e">
        <f t="shared" si="3231"/>
        <v>#DIV/0!</v>
      </c>
      <c r="BH174" s="41" t="e">
        <f t="shared" si="3232"/>
        <v>#DIV/0!</v>
      </c>
      <c r="BI174" s="42" t="e">
        <f t="shared" si="3233"/>
        <v>#DIV/0!</v>
      </c>
      <c r="BJ174" s="95" t="e">
        <f t="shared" si="3234"/>
        <v>#DIV/0!</v>
      </c>
      <c r="BK174" s="41" t="e">
        <f t="shared" si="3235"/>
        <v>#DIV/0!</v>
      </c>
      <c r="BL174" s="41" t="e">
        <f t="shared" si="3236"/>
        <v>#DIV/0!</v>
      </c>
      <c r="BM174" s="42" t="e">
        <f t="shared" si="3237"/>
        <v>#DIV/0!</v>
      </c>
      <c r="BN174" s="95" t="e">
        <f t="shared" si="3238"/>
        <v>#DIV/0!</v>
      </c>
      <c r="BO174" s="41" t="e">
        <f t="shared" si="3239"/>
        <v>#DIV/0!</v>
      </c>
      <c r="BP174" s="41" t="e">
        <f t="shared" si="3240"/>
        <v>#DIV/0!</v>
      </c>
      <c r="BQ174" s="41" t="e">
        <f t="shared" si="3241"/>
        <v>#DIV/0!</v>
      </c>
      <c r="BR174" s="41" t="e">
        <f t="shared" si="3242"/>
        <v>#DIV/0!</v>
      </c>
      <c r="BS174" s="42" t="e">
        <f t="shared" si="3243"/>
        <v>#DIV/0!</v>
      </c>
      <c r="BT174" s="95" t="e">
        <f t="shared" si="3244"/>
        <v>#DIV/0!</v>
      </c>
      <c r="BU174" s="41" t="e">
        <f t="shared" si="3245"/>
        <v>#DIV/0!</v>
      </c>
      <c r="BV174" s="41" t="e">
        <f t="shared" si="3246"/>
        <v>#DIV/0!</v>
      </c>
      <c r="BW174" s="41" t="e">
        <f t="shared" si="3247"/>
        <v>#DIV/0!</v>
      </c>
      <c r="BX174" s="42" t="e">
        <f t="shared" si="3248"/>
        <v>#DIV/0!</v>
      </c>
      <c r="BY174" s="95" t="e">
        <f t="shared" si="3249"/>
        <v>#DIV/0!</v>
      </c>
      <c r="BZ174" s="41" t="e">
        <f t="shared" si="3250"/>
        <v>#DIV/0!</v>
      </c>
      <c r="CA174" s="41" t="e">
        <f t="shared" si="3251"/>
        <v>#DIV/0!</v>
      </c>
      <c r="CB174" s="41" t="e">
        <f t="shared" si="3252"/>
        <v>#DIV/0!</v>
      </c>
      <c r="CC174" s="41" t="e">
        <f t="shared" si="3253"/>
        <v>#DIV/0!</v>
      </c>
      <c r="CD174" s="41" t="e">
        <f t="shared" si="3254"/>
        <v>#DIV/0!</v>
      </c>
      <c r="CE174" s="41" t="e">
        <f t="shared" si="3255"/>
        <v>#DIV/0!</v>
      </c>
      <c r="CF174" s="41" t="e">
        <f t="shared" si="3256"/>
        <v>#DIV/0!</v>
      </c>
      <c r="CG174" s="41" t="e">
        <f t="shared" si="3257"/>
        <v>#DIV/0!</v>
      </c>
      <c r="CH174" s="41" t="e">
        <f t="shared" si="3258"/>
        <v>#DIV/0!</v>
      </c>
      <c r="CI174" s="41" t="e">
        <f t="shared" si="3259"/>
        <v>#DIV/0!</v>
      </c>
      <c r="CJ174" s="42" t="e">
        <f t="shared" si="3260"/>
        <v>#DIV/0!</v>
      </c>
      <c r="CL174" s="36"/>
      <c r="CN174" s="95"/>
      <c r="CO174" s="41"/>
      <c r="CP174" s="41"/>
      <c r="CQ174" s="41"/>
      <c r="CR174" s="41"/>
      <c r="CS174" s="41"/>
      <c r="CT174" s="41"/>
      <c r="CU174" s="42"/>
      <c r="CV174" s="95"/>
      <c r="CW174" s="41"/>
      <c r="CX174" s="41"/>
      <c r="CY174" s="42"/>
      <c r="CZ174" s="95"/>
      <c r="DA174" s="41"/>
      <c r="DB174" s="41"/>
      <c r="DC174" s="41"/>
      <c r="DD174" s="41"/>
      <c r="DE174" s="42"/>
      <c r="DF174" s="95"/>
      <c r="DG174" s="41"/>
      <c r="DH174" s="41"/>
      <c r="DI174" s="41"/>
      <c r="DJ174" s="42"/>
      <c r="DK174" s="95"/>
      <c r="DL174" s="41"/>
      <c r="DM174" s="41"/>
      <c r="DN174" s="41"/>
      <c r="DO174" s="41"/>
      <c r="DP174" s="41"/>
      <c r="DQ174" s="41"/>
      <c r="DR174" s="41"/>
      <c r="DS174" s="41"/>
      <c r="DT174" s="41"/>
      <c r="DU174" s="41"/>
      <c r="DV174" s="42"/>
      <c r="DX174" s="138" t="e">
        <f t="shared" si="3261"/>
        <v>#DIV/0!</v>
      </c>
      <c r="DY174" s="34" t="e">
        <f t="shared" si="3262"/>
        <v>#DIV/0!</v>
      </c>
      <c r="DZ174" s="34" t="e">
        <f t="shared" si="3263"/>
        <v>#DIV/0!</v>
      </c>
      <c r="EA174" s="34" t="e">
        <f t="shared" si="3264"/>
        <v>#DIV/0!</v>
      </c>
      <c r="EB174" s="34" t="e">
        <f t="shared" si="3265"/>
        <v>#DIV/0!</v>
      </c>
      <c r="EC174" s="34" t="e">
        <f t="shared" si="3266"/>
        <v>#DIV/0!</v>
      </c>
      <c r="ED174" s="34" t="e">
        <f t="shared" si="3267"/>
        <v>#DIV/0!</v>
      </c>
      <c r="EE174" s="139" t="e">
        <f t="shared" si="3268"/>
        <v>#DIV/0!</v>
      </c>
      <c r="EF174" s="138" t="e">
        <f t="shared" si="3269"/>
        <v>#DIV/0!</v>
      </c>
      <c r="EG174" s="34" t="e">
        <f t="shared" si="3270"/>
        <v>#DIV/0!</v>
      </c>
      <c r="EH174" s="34" t="e">
        <f t="shared" si="3271"/>
        <v>#DIV/0!</v>
      </c>
      <c r="EI174" s="139" t="e">
        <f t="shared" si="3272"/>
        <v>#DIV/0!</v>
      </c>
      <c r="EJ174" s="138" t="e">
        <f t="shared" si="3273"/>
        <v>#DIV/0!</v>
      </c>
      <c r="EK174" s="34" t="e">
        <f t="shared" si="3274"/>
        <v>#DIV/0!</v>
      </c>
      <c r="EL174" s="34" t="e">
        <f t="shared" si="3275"/>
        <v>#DIV/0!</v>
      </c>
      <c r="EM174" s="34" t="e">
        <f t="shared" si="3276"/>
        <v>#DIV/0!</v>
      </c>
      <c r="EN174" s="34" t="e">
        <f t="shared" si="3277"/>
        <v>#DIV/0!</v>
      </c>
      <c r="EO174" s="139" t="e">
        <f t="shared" si="3278"/>
        <v>#DIV/0!</v>
      </c>
      <c r="EP174" s="138" t="e">
        <f t="shared" si="3279"/>
        <v>#DIV/0!</v>
      </c>
      <c r="EQ174" s="34" t="e">
        <f t="shared" si="3280"/>
        <v>#DIV/0!</v>
      </c>
      <c r="ER174" s="34" t="e">
        <f t="shared" si="3281"/>
        <v>#DIV/0!</v>
      </c>
      <c r="ES174" s="34" t="e">
        <f t="shared" si="3282"/>
        <v>#DIV/0!</v>
      </c>
      <c r="ET174" s="139" t="e">
        <f t="shared" si="3283"/>
        <v>#DIV/0!</v>
      </c>
      <c r="EU174" s="138" t="e">
        <f t="shared" si="3284"/>
        <v>#DIV/0!</v>
      </c>
      <c r="EV174" s="34" t="e">
        <f t="shared" si="3285"/>
        <v>#DIV/0!</v>
      </c>
      <c r="EW174" s="34" t="e">
        <f t="shared" si="3286"/>
        <v>#DIV/0!</v>
      </c>
      <c r="EX174" s="34" t="e">
        <f t="shared" si="3287"/>
        <v>#DIV/0!</v>
      </c>
      <c r="EY174" s="34" t="e">
        <f t="shared" si="3288"/>
        <v>#DIV/0!</v>
      </c>
      <c r="EZ174" s="34" t="e">
        <f t="shared" si="3289"/>
        <v>#DIV/0!</v>
      </c>
      <c r="FA174" s="34" t="e">
        <f t="shared" si="3290"/>
        <v>#DIV/0!</v>
      </c>
      <c r="FB174" s="34" t="e">
        <f t="shared" si="3291"/>
        <v>#DIV/0!</v>
      </c>
      <c r="FC174" s="34" t="e">
        <f t="shared" si="3292"/>
        <v>#DIV/0!</v>
      </c>
      <c r="FD174" s="34" t="e">
        <f t="shared" si="3293"/>
        <v>#DIV/0!</v>
      </c>
      <c r="FE174" s="34" t="e">
        <f t="shared" si="3294"/>
        <v>#DIV/0!</v>
      </c>
      <c r="FF174" s="139" t="e">
        <f t="shared" si="3295"/>
        <v>#DIV/0!</v>
      </c>
    </row>
    <row r="175" spans="1:163" x14ac:dyDescent="0.25">
      <c r="B175" s="127">
        <v>43022</v>
      </c>
      <c r="C175" s="263"/>
      <c r="D175" s="53"/>
      <c r="E175" s="129"/>
      <c r="F175" s="25"/>
      <c r="G175" s="25"/>
      <c r="H175" s="150"/>
      <c r="I175" s="24"/>
      <c r="J175" s="151"/>
      <c r="K175" s="151"/>
      <c r="L175" s="152">
        <v>9.4</v>
      </c>
      <c r="M175" s="152" t="e">
        <f t="shared" ref="M175:M176" si="3296">H175/I175*K175*L175*1.5</f>
        <v>#DIV/0!</v>
      </c>
      <c r="N175" s="153" t="e">
        <f t="shared" ref="N175:N176" si="3297">H175/I175*J175*L175*N$4</f>
        <v>#DIV/0!</v>
      </c>
      <c r="O175" s="25"/>
      <c r="P175" s="95"/>
      <c r="Q175" s="41"/>
      <c r="R175" s="41"/>
      <c r="S175" s="41"/>
      <c r="T175" s="41"/>
      <c r="U175" s="41"/>
      <c r="V175" s="41"/>
      <c r="W175" s="42"/>
      <c r="X175" s="95"/>
      <c r="Y175" s="41"/>
      <c r="Z175" s="41"/>
      <c r="AA175" s="42"/>
      <c r="AB175" s="95"/>
      <c r="AC175" s="41"/>
      <c r="AD175" s="41"/>
      <c r="AE175" s="41"/>
      <c r="AF175" s="41"/>
      <c r="AG175" s="42"/>
      <c r="AH175" s="95"/>
      <c r="AI175" s="41"/>
      <c r="AJ175" s="41"/>
      <c r="AK175" s="41"/>
      <c r="AL175" s="42"/>
      <c r="AM175" s="95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2"/>
      <c r="BB175" s="95" t="e">
        <f t="shared" ref="BB175:BB176" si="3298">$N175*DX175</f>
        <v>#DIV/0!</v>
      </c>
      <c r="BC175" s="41" t="e">
        <f t="shared" ref="BC175:BC176" si="3299">$N175*DY175</f>
        <v>#DIV/0!</v>
      </c>
      <c r="BD175" s="41" t="e">
        <f t="shared" ref="BD175:BD176" si="3300">$N175*DZ175</f>
        <v>#DIV/0!</v>
      </c>
      <c r="BE175" s="41" t="e">
        <f t="shared" ref="BE175:BE176" si="3301">$N175*EA175</f>
        <v>#DIV/0!</v>
      </c>
      <c r="BF175" s="41" t="e">
        <f t="shared" ref="BF175:BF176" si="3302">$N175*EB175</f>
        <v>#DIV/0!</v>
      </c>
      <c r="BG175" s="41" t="e">
        <f t="shared" ref="BG175:BG176" si="3303">$N175*EC175</f>
        <v>#DIV/0!</v>
      </c>
      <c r="BH175" s="41" t="e">
        <f t="shared" ref="BH175:BH176" si="3304">$N175*ED175</f>
        <v>#DIV/0!</v>
      </c>
      <c r="BI175" s="42" t="e">
        <f t="shared" ref="BI175:BI176" si="3305">$N175*EE175</f>
        <v>#DIV/0!</v>
      </c>
      <c r="BJ175" s="95" t="e">
        <f t="shared" ref="BJ175:BJ176" si="3306">$N175*EF175</f>
        <v>#DIV/0!</v>
      </c>
      <c r="BK175" s="41" t="e">
        <f t="shared" ref="BK175:BK176" si="3307">$N175*EG175</f>
        <v>#DIV/0!</v>
      </c>
      <c r="BL175" s="41" t="e">
        <f t="shared" ref="BL175:BL176" si="3308">$N175*EH175</f>
        <v>#DIV/0!</v>
      </c>
      <c r="BM175" s="42" t="e">
        <f t="shared" ref="BM175:BM176" si="3309">$N175*EI175</f>
        <v>#DIV/0!</v>
      </c>
      <c r="BN175" s="95" t="e">
        <f t="shared" ref="BN175:BN176" si="3310">$N175*EJ175</f>
        <v>#DIV/0!</v>
      </c>
      <c r="BO175" s="41" t="e">
        <f t="shared" ref="BO175:BO176" si="3311">$N175*EK175</f>
        <v>#DIV/0!</v>
      </c>
      <c r="BP175" s="41" t="e">
        <f t="shared" ref="BP175:BP176" si="3312">$N175*EL175</f>
        <v>#DIV/0!</v>
      </c>
      <c r="BQ175" s="41" t="e">
        <f t="shared" ref="BQ175:BQ176" si="3313">$N175*EM175</f>
        <v>#DIV/0!</v>
      </c>
      <c r="BR175" s="41" t="e">
        <f t="shared" ref="BR175:BR176" si="3314">$N175*EN175</f>
        <v>#DIV/0!</v>
      </c>
      <c r="BS175" s="42" t="e">
        <f t="shared" ref="BS175:BS176" si="3315">$N175*EO175</f>
        <v>#DIV/0!</v>
      </c>
      <c r="BT175" s="95" t="e">
        <f t="shared" ref="BT175:BT176" si="3316">$N175*EP175</f>
        <v>#DIV/0!</v>
      </c>
      <c r="BU175" s="41" t="e">
        <f t="shared" ref="BU175:BU176" si="3317">$N175*EQ175</f>
        <v>#DIV/0!</v>
      </c>
      <c r="BV175" s="41" t="e">
        <f t="shared" ref="BV175:BV176" si="3318">$N175*ER175</f>
        <v>#DIV/0!</v>
      </c>
      <c r="BW175" s="41" t="e">
        <f t="shared" ref="BW175:BW176" si="3319">$N175*ES175</f>
        <v>#DIV/0!</v>
      </c>
      <c r="BX175" s="42" t="e">
        <f t="shared" ref="BX175:BX176" si="3320">$N175*ET175</f>
        <v>#DIV/0!</v>
      </c>
      <c r="BY175" s="95" t="e">
        <f t="shared" ref="BY175:BY176" si="3321">$N175*EU175</f>
        <v>#DIV/0!</v>
      </c>
      <c r="BZ175" s="41" t="e">
        <f t="shared" ref="BZ175:BZ176" si="3322">$N175*EV175</f>
        <v>#DIV/0!</v>
      </c>
      <c r="CA175" s="41" t="e">
        <f t="shared" ref="CA175:CA176" si="3323">$N175*EW175</f>
        <v>#DIV/0!</v>
      </c>
      <c r="CB175" s="41" t="e">
        <f t="shared" ref="CB175:CB176" si="3324">$N175*EX175</f>
        <v>#DIV/0!</v>
      </c>
      <c r="CC175" s="41" t="e">
        <f t="shared" ref="CC175:CC176" si="3325">$N175*EY175</f>
        <v>#DIV/0!</v>
      </c>
      <c r="CD175" s="41" t="e">
        <f t="shared" ref="CD175:CD176" si="3326">$N175*EZ175</f>
        <v>#DIV/0!</v>
      </c>
      <c r="CE175" s="41" t="e">
        <f t="shared" ref="CE175:CE176" si="3327">$N175*FA175</f>
        <v>#DIV/0!</v>
      </c>
      <c r="CF175" s="41" t="e">
        <f t="shared" ref="CF175:CF176" si="3328">$N175*FB175</f>
        <v>#DIV/0!</v>
      </c>
      <c r="CG175" s="41" t="e">
        <f t="shared" ref="CG175:CG176" si="3329">$N175*FC175</f>
        <v>#DIV/0!</v>
      </c>
      <c r="CH175" s="41" t="e">
        <f t="shared" ref="CH175:CH176" si="3330">$N175*FD175</f>
        <v>#DIV/0!</v>
      </c>
      <c r="CI175" s="41" t="e">
        <f t="shared" ref="CI175:CI176" si="3331">$N175*FE175</f>
        <v>#DIV/0!</v>
      </c>
      <c r="CJ175" s="42" t="e">
        <f t="shared" ref="CJ175:CJ176" si="3332">$N175*FF175</f>
        <v>#DIV/0!</v>
      </c>
      <c r="CL175" s="36"/>
      <c r="CN175" s="95"/>
      <c r="CO175" s="41"/>
      <c r="CP175" s="41"/>
      <c r="CQ175" s="41"/>
      <c r="CR175" s="41"/>
      <c r="CS175" s="41"/>
      <c r="CT175" s="41"/>
      <c r="CU175" s="42"/>
      <c r="CV175" s="95"/>
      <c r="CW175" s="41"/>
      <c r="CX175" s="41"/>
      <c r="CY175" s="42"/>
      <c r="CZ175" s="95"/>
      <c r="DA175" s="41"/>
      <c r="DB175" s="41"/>
      <c r="DC175" s="41"/>
      <c r="DD175" s="41"/>
      <c r="DE175" s="42"/>
      <c r="DF175" s="95"/>
      <c r="DG175" s="41"/>
      <c r="DH175" s="41"/>
      <c r="DI175" s="41"/>
      <c r="DJ175" s="42"/>
      <c r="DK175" s="95"/>
      <c r="DL175" s="41"/>
      <c r="DM175" s="41"/>
      <c r="DN175" s="41"/>
      <c r="DO175" s="41"/>
      <c r="DP175" s="41"/>
      <c r="DQ175" s="41"/>
      <c r="DR175" s="41"/>
      <c r="DS175" s="41"/>
      <c r="DT175" s="41"/>
      <c r="DU175" s="41"/>
      <c r="DV175" s="42"/>
      <c r="DX175" s="138" t="e">
        <f t="shared" ref="DX175" si="3333">P175/$E175</f>
        <v>#DIV/0!</v>
      </c>
      <c r="DY175" s="34" t="e">
        <f t="shared" ref="DY175" si="3334">Q175/$E175</f>
        <v>#DIV/0!</v>
      </c>
      <c r="DZ175" s="34" t="e">
        <f t="shared" ref="DZ175" si="3335">R175/$E175</f>
        <v>#DIV/0!</v>
      </c>
      <c r="EA175" s="34" t="e">
        <f t="shared" ref="EA175" si="3336">S175/$E175</f>
        <v>#DIV/0!</v>
      </c>
      <c r="EB175" s="34" t="e">
        <f t="shared" ref="EB175" si="3337">T175/$E175</f>
        <v>#DIV/0!</v>
      </c>
      <c r="EC175" s="34" t="e">
        <f t="shared" ref="EC175" si="3338">U175/$E175</f>
        <v>#DIV/0!</v>
      </c>
      <c r="ED175" s="34" t="e">
        <f t="shared" ref="ED175" si="3339">V175/$E175</f>
        <v>#DIV/0!</v>
      </c>
      <c r="EE175" s="139" t="e">
        <f t="shared" ref="EE175" si="3340">W175/$E175</f>
        <v>#DIV/0!</v>
      </c>
      <c r="EF175" s="138" t="e">
        <f t="shared" ref="EF175" si="3341">X175/$E175</f>
        <v>#DIV/0!</v>
      </c>
      <c r="EG175" s="34" t="e">
        <f t="shared" ref="EG175" si="3342">Y175/$E175</f>
        <v>#DIV/0!</v>
      </c>
      <c r="EH175" s="34" t="e">
        <f t="shared" ref="EH175" si="3343">Z175/$E175</f>
        <v>#DIV/0!</v>
      </c>
      <c r="EI175" s="139" t="e">
        <f t="shared" ref="EI175" si="3344">AA175/$E175</f>
        <v>#DIV/0!</v>
      </c>
      <c r="EJ175" s="138" t="e">
        <f t="shared" ref="EJ175" si="3345">AB175/$E175</f>
        <v>#DIV/0!</v>
      </c>
      <c r="EK175" s="34" t="e">
        <f t="shared" ref="EK175" si="3346">AC175/$E175</f>
        <v>#DIV/0!</v>
      </c>
      <c r="EL175" s="34" t="e">
        <f t="shared" ref="EL175" si="3347">AD175/$E175</f>
        <v>#DIV/0!</v>
      </c>
      <c r="EM175" s="34" t="e">
        <f t="shared" ref="EM175" si="3348">AE175/$E175</f>
        <v>#DIV/0!</v>
      </c>
      <c r="EN175" s="34" t="e">
        <f t="shared" ref="EN175" si="3349">AF175/$E175</f>
        <v>#DIV/0!</v>
      </c>
      <c r="EO175" s="139" t="e">
        <f t="shared" ref="EO175" si="3350">AG175/$E175</f>
        <v>#DIV/0!</v>
      </c>
      <c r="EP175" s="138" t="e">
        <f t="shared" ref="EP175" si="3351">AH175/$E175</f>
        <v>#DIV/0!</v>
      </c>
      <c r="EQ175" s="34" t="e">
        <f t="shared" ref="EQ175" si="3352">AI175/$E175</f>
        <v>#DIV/0!</v>
      </c>
      <c r="ER175" s="34" t="e">
        <f t="shared" ref="ER175" si="3353">AJ175/$E175</f>
        <v>#DIV/0!</v>
      </c>
      <c r="ES175" s="34" t="e">
        <f t="shared" ref="ES175" si="3354">AK175/$E175</f>
        <v>#DIV/0!</v>
      </c>
      <c r="ET175" s="139" t="e">
        <f t="shared" ref="ET175" si="3355">AL175/$E175</f>
        <v>#DIV/0!</v>
      </c>
      <c r="EU175" s="138" t="e">
        <f t="shared" ref="EU175" si="3356">AM175/$E175</f>
        <v>#DIV/0!</v>
      </c>
      <c r="EV175" s="34" t="e">
        <f t="shared" ref="EV175" si="3357">AN175/$E175</f>
        <v>#DIV/0!</v>
      </c>
      <c r="EW175" s="34" t="e">
        <f t="shared" ref="EW175" si="3358">AO175/$E175</f>
        <v>#DIV/0!</v>
      </c>
      <c r="EX175" s="34" t="e">
        <f t="shared" ref="EX175" si="3359">AP175/$E175</f>
        <v>#DIV/0!</v>
      </c>
      <c r="EY175" s="34" t="e">
        <f t="shared" ref="EY175" si="3360">AQ175/$E175</f>
        <v>#DIV/0!</v>
      </c>
      <c r="EZ175" s="34" t="e">
        <f t="shared" ref="EZ175" si="3361">AR175/$E175</f>
        <v>#DIV/0!</v>
      </c>
      <c r="FA175" s="34" t="e">
        <f t="shared" ref="FA175" si="3362">AS175/$E175</f>
        <v>#DIV/0!</v>
      </c>
      <c r="FB175" s="34" t="e">
        <f t="shared" ref="FB175" si="3363">AT175/$E175</f>
        <v>#DIV/0!</v>
      </c>
      <c r="FC175" s="34" t="e">
        <f t="shared" ref="FC175" si="3364">AU175/$E175</f>
        <v>#DIV/0!</v>
      </c>
      <c r="FD175" s="34" t="e">
        <f t="shared" ref="FD175" si="3365">AV175/$E175</f>
        <v>#DIV/0!</v>
      </c>
      <c r="FE175" s="34" t="e">
        <f t="shared" ref="FE175" si="3366">AY175/$E175</f>
        <v>#DIV/0!</v>
      </c>
      <c r="FF175" s="139" t="e">
        <f t="shared" ref="FF175" si="3367">AZ175/$E175</f>
        <v>#DIV/0!</v>
      </c>
      <c r="FG175" s="34"/>
    </row>
    <row r="176" spans="1:163" x14ac:dyDescent="0.25">
      <c r="B176" s="127">
        <v>43085</v>
      </c>
      <c r="C176" s="263"/>
      <c r="D176" s="53"/>
      <c r="E176" s="129"/>
      <c r="F176" s="25"/>
      <c r="G176" s="25"/>
      <c r="H176" s="150"/>
      <c r="I176" s="24"/>
      <c r="J176" s="151"/>
      <c r="K176" s="151"/>
      <c r="L176" s="152">
        <v>9.4</v>
      </c>
      <c r="M176" s="152" t="e">
        <f t="shared" si="3296"/>
        <v>#DIV/0!</v>
      </c>
      <c r="N176" s="153" t="e">
        <f t="shared" si="3297"/>
        <v>#DIV/0!</v>
      </c>
      <c r="O176" s="25"/>
      <c r="P176" s="95"/>
      <c r="Q176" s="41"/>
      <c r="R176" s="41"/>
      <c r="S176" s="41"/>
      <c r="T176" s="41"/>
      <c r="U176" s="41"/>
      <c r="V176" s="41"/>
      <c r="W176" s="42"/>
      <c r="X176" s="95"/>
      <c r="Y176" s="41"/>
      <c r="Z176" s="41"/>
      <c r="AA176" s="42"/>
      <c r="AB176" s="95"/>
      <c r="AC176" s="41"/>
      <c r="AD176" s="41"/>
      <c r="AE176" s="41"/>
      <c r="AF176" s="41"/>
      <c r="AG176" s="42"/>
      <c r="AH176" s="95"/>
      <c r="AI176" s="41"/>
      <c r="AJ176" s="41"/>
      <c r="AK176" s="41"/>
      <c r="AL176" s="42"/>
      <c r="AM176" s="95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2"/>
      <c r="BB176" s="95" t="e">
        <f t="shared" si="3298"/>
        <v>#DIV/0!</v>
      </c>
      <c r="BC176" s="41" t="e">
        <f t="shared" si="3299"/>
        <v>#DIV/0!</v>
      </c>
      <c r="BD176" s="41" t="e">
        <f t="shared" si="3300"/>
        <v>#DIV/0!</v>
      </c>
      <c r="BE176" s="41" t="e">
        <f t="shared" si="3301"/>
        <v>#DIV/0!</v>
      </c>
      <c r="BF176" s="41" t="e">
        <f t="shared" si="3302"/>
        <v>#DIV/0!</v>
      </c>
      <c r="BG176" s="41" t="e">
        <f t="shared" si="3303"/>
        <v>#DIV/0!</v>
      </c>
      <c r="BH176" s="41" t="e">
        <f t="shared" si="3304"/>
        <v>#DIV/0!</v>
      </c>
      <c r="BI176" s="42" t="e">
        <f t="shared" si="3305"/>
        <v>#DIV/0!</v>
      </c>
      <c r="BJ176" s="95" t="e">
        <f t="shared" si="3306"/>
        <v>#DIV/0!</v>
      </c>
      <c r="BK176" s="41" t="e">
        <f t="shared" si="3307"/>
        <v>#DIV/0!</v>
      </c>
      <c r="BL176" s="41" t="e">
        <f t="shared" si="3308"/>
        <v>#DIV/0!</v>
      </c>
      <c r="BM176" s="42" t="e">
        <f t="shared" si="3309"/>
        <v>#DIV/0!</v>
      </c>
      <c r="BN176" s="95" t="e">
        <f t="shared" si="3310"/>
        <v>#DIV/0!</v>
      </c>
      <c r="BO176" s="41" t="e">
        <f t="shared" si="3311"/>
        <v>#DIV/0!</v>
      </c>
      <c r="BP176" s="41" t="e">
        <f t="shared" si="3312"/>
        <v>#DIV/0!</v>
      </c>
      <c r="BQ176" s="41" t="e">
        <f t="shared" si="3313"/>
        <v>#DIV/0!</v>
      </c>
      <c r="BR176" s="41" t="e">
        <f t="shared" si="3314"/>
        <v>#DIV/0!</v>
      </c>
      <c r="BS176" s="42" t="e">
        <f t="shared" si="3315"/>
        <v>#DIV/0!</v>
      </c>
      <c r="BT176" s="95" t="e">
        <f t="shared" si="3316"/>
        <v>#DIV/0!</v>
      </c>
      <c r="BU176" s="41" t="e">
        <f t="shared" si="3317"/>
        <v>#DIV/0!</v>
      </c>
      <c r="BV176" s="41" t="e">
        <f t="shared" si="3318"/>
        <v>#DIV/0!</v>
      </c>
      <c r="BW176" s="41" t="e">
        <f t="shared" si="3319"/>
        <v>#DIV/0!</v>
      </c>
      <c r="BX176" s="42" t="e">
        <f t="shared" si="3320"/>
        <v>#DIV/0!</v>
      </c>
      <c r="BY176" s="95" t="e">
        <f t="shared" si="3321"/>
        <v>#DIV/0!</v>
      </c>
      <c r="BZ176" s="41" t="e">
        <f t="shared" si="3322"/>
        <v>#DIV/0!</v>
      </c>
      <c r="CA176" s="41" t="e">
        <f t="shared" si="3323"/>
        <v>#DIV/0!</v>
      </c>
      <c r="CB176" s="41" t="e">
        <f t="shared" si="3324"/>
        <v>#DIV/0!</v>
      </c>
      <c r="CC176" s="41" t="e">
        <f t="shared" si="3325"/>
        <v>#DIV/0!</v>
      </c>
      <c r="CD176" s="41" t="e">
        <f t="shared" si="3326"/>
        <v>#DIV/0!</v>
      </c>
      <c r="CE176" s="41" t="e">
        <f t="shared" si="3327"/>
        <v>#DIV/0!</v>
      </c>
      <c r="CF176" s="41" t="e">
        <f t="shared" si="3328"/>
        <v>#DIV/0!</v>
      </c>
      <c r="CG176" s="41" t="e">
        <f t="shared" si="3329"/>
        <v>#DIV/0!</v>
      </c>
      <c r="CH176" s="41" t="e">
        <f t="shared" si="3330"/>
        <v>#DIV/0!</v>
      </c>
      <c r="CI176" s="41" t="e">
        <f t="shared" si="3331"/>
        <v>#DIV/0!</v>
      </c>
      <c r="CJ176" s="42" t="e">
        <f t="shared" si="3332"/>
        <v>#DIV/0!</v>
      </c>
      <c r="CL176" s="36"/>
      <c r="CN176" s="95"/>
      <c r="CO176" s="41"/>
      <c r="CP176" s="41"/>
      <c r="CQ176" s="41"/>
      <c r="CR176" s="41"/>
      <c r="CS176" s="41"/>
      <c r="CT176" s="41"/>
      <c r="CU176" s="42"/>
      <c r="CV176" s="95"/>
      <c r="CW176" s="41"/>
      <c r="CX176" s="41"/>
      <c r="CY176" s="42"/>
      <c r="CZ176" s="95"/>
      <c r="DA176" s="41"/>
      <c r="DB176" s="41"/>
      <c r="DC176" s="41"/>
      <c r="DD176" s="41"/>
      <c r="DE176" s="42"/>
      <c r="DF176" s="95"/>
      <c r="DG176" s="41"/>
      <c r="DH176" s="41"/>
      <c r="DI176" s="41"/>
      <c r="DJ176" s="42"/>
      <c r="DK176" s="95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2"/>
      <c r="DX176" s="138" t="e">
        <f t="shared" ref="DX176:DX178" si="3368">P176/$E176</f>
        <v>#DIV/0!</v>
      </c>
      <c r="DY176" s="34" t="e">
        <f t="shared" ref="DY176:DY178" si="3369">Q176/$E176</f>
        <v>#DIV/0!</v>
      </c>
      <c r="DZ176" s="34" t="e">
        <f t="shared" ref="DZ176:DZ178" si="3370">R176/$E176</f>
        <v>#DIV/0!</v>
      </c>
      <c r="EA176" s="34" t="e">
        <f t="shared" ref="EA176:EA178" si="3371">S176/$E176</f>
        <v>#DIV/0!</v>
      </c>
      <c r="EB176" s="34" t="e">
        <f t="shared" ref="EB176:EB178" si="3372">T176/$E176</f>
        <v>#DIV/0!</v>
      </c>
      <c r="EC176" s="34" t="e">
        <f t="shared" ref="EC176:EC178" si="3373">U176/$E176</f>
        <v>#DIV/0!</v>
      </c>
      <c r="ED176" s="34" t="e">
        <f t="shared" ref="ED176:ED178" si="3374">V176/$E176</f>
        <v>#DIV/0!</v>
      </c>
      <c r="EE176" s="139" t="e">
        <f t="shared" ref="EE176:EE178" si="3375">W176/$E176</f>
        <v>#DIV/0!</v>
      </c>
      <c r="EF176" s="138" t="e">
        <f t="shared" ref="EF176:EF178" si="3376">X176/$E176</f>
        <v>#DIV/0!</v>
      </c>
      <c r="EG176" s="34" t="e">
        <f t="shared" ref="EG176:EG178" si="3377">Y176/$E176</f>
        <v>#DIV/0!</v>
      </c>
      <c r="EH176" s="34" t="e">
        <f t="shared" ref="EH176:EH178" si="3378">Z176/$E176</f>
        <v>#DIV/0!</v>
      </c>
      <c r="EI176" s="139" t="e">
        <f t="shared" ref="EI176:EI178" si="3379">AA176/$E176</f>
        <v>#DIV/0!</v>
      </c>
      <c r="EJ176" s="138" t="e">
        <f t="shared" ref="EJ176:EJ178" si="3380">AB176/$E176</f>
        <v>#DIV/0!</v>
      </c>
      <c r="EK176" s="34" t="e">
        <f t="shared" ref="EK176:EK178" si="3381">AC176/$E176</f>
        <v>#DIV/0!</v>
      </c>
      <c r="EL176" s="34" t="e">
        <f t="shared" ref="EL176:EL178" si="3382">AD176/$E176</f>
        <v>#DIV/0!</v>
      </c>
      <c r="EM176" s="34" t="e">
        <f t="shared" ref="EM176:EM178" si="3383">AE176/$E176</f>
        <v>#DIV/0!</v>
      </c>
      <c r="EN176" s="34" t="e">
        <f t="shared" ref="EN176:EN178" si="3384">AF176/$E176</f>
        <v>#DIV/0!</v>
      </c>
      <c r="EO176" s="139" t="e">
        <f t="shared" ref="EO176:EO178" si="3385">AG176/$E176</f>
        <v>#DIV/0!</v>
      </c>
      <c r="EP176" s="138" t="e">
        <f t="shared" ref="EP176:EP178" si="3386">AH176/$E176</f>
        <v>#DIV/0!</v>
      </c>
      <c r="EQ176" s="34" t="e">
        <f t="shared" ref="EQ176:EQ178" si="3387">AI176/$E176</f>
        <v>#DIV/0!</v>
      </c>
      <c r="ER176" s="34" t="e">
        <f t="shared" ref="ER176:ER178" si="3388">AJ176/$E176</f>
        <v>#DIV/0!</v>
      </c>
      <c r="ES176" s="34" t="e">
        <f t="shared" ref="ES176:ES178" si="3389">AK176/$E176</f>
        <v>#DIV/0!</v>
      </c>
      <c r="ET176" s="139" t="e">
        <f t="shared" ref="ET176:ET178" si="3390">AL176/$E176</f>
        <v>#DIV/0!</v>
      </c>
      <c r="EU176" s="138" t="e">
        <f t="shared" ref="EU176:EU178" si="3391">AM176/$E176</f>
        <v>#DIV/0!</v>
      </c>
      <c r="EV176" s="34" t="e">
        <f t="shared" ref="EV176:EV178" si="3392">AN176/$E176</f>
        <v>#DIV/0!</v>
      </c>
      <c r="EW176" s="34" t="e">
        <f t="shared" ref="EW176:EW178" si="3393">AO176/$E176</f>
        <v>#DIV/0!</v>
      </c>
      <c r="EX176" s="34" t="e">
        <f t="shared" ref="EX176:EX178" si="3394">AP176/$E176</f>
        <v>#DIV/0!</v>
      </c>
      <c r="EY176" s="34" t="e">
        <f t="shared" ref="EY176:EY178" si="3395">AQ176/$E176</f>
        <v>#DIV/0!</v>
      </c>
      <c r="EZ176" s="34" t="e">
        <f t="shared" ref="EZ176:EZ178" si="3396">AR176/$E176</f>
        <v>#DIV/0!</v>
      </c>
      <c r="FA176" s="34" t="e">
        <f t="shared" ref="FA176:FA178" si="3397">AS176/$E176</f>
        <v>#DIV/0!</v>
      </c>
      <c r="FB176" s="34" t="e">
        <f t="shared" ref="FB176:FB178" si="3398">AT176/$E176</f>
        <v>#DIV/0!</v>
      </c>
      <c r="FC176" s="34" t="e">
        <f t="shared" ref="FC176:FC178" si="3399">AU176/$E176</f>
        <v>#DIV/0!</v>
      </c>
      <c r="FD176" s="34" t="e">
        <f t="shared" ref="FD176:FD178" si="3400">AV176/$E176</f>
        <v>#DIV/0!</v>
      </c>
      <c r="FE176" s="34" t="e">
        <f t="shared" ref="FE176:FE178" si="3401">AY176/$E176</f>
        <v>#DIV/0!</v>
      </c>
      <c r="FF176" s="139" t="e">
        <f t="shared" ref="FF176:FF178" si="3402">AZ176/$E176</f>
        <v>#DIV/0!</v>
      </c>
    </row>
    <row r="177" spans="1:162" x14ac:dyDescent="0.25">
      <c r="B177" s="127">
        <v>43090</v>
      </c>
      <c r="C177" s="263"/>
      <c r="D177" s="53"/>
      <c r="E177" s="129"/>
      <c r="F177" s="25"/>
      <c r="G177" s="25"/>
      <c r="H177" s="150"/>
      <c r="I177" s="24"/>
      <c r="J177" s="151"/>
      <c r="K177" s="151"/>
      <c r="L177" s="152">
        <v>9.4</v>
      </c>
      <c r="M177" s="152" t="e">
        <f t="shared" ref="M177:M179" si="3403">H177/I177*K177*L177*1.5</f>
        <v>#DIV/0!</v>
      </c>
      <c r="N177" s="153" t="e">
        <f t="shared" ref="N177:N179" si="3404">H177/I177*J177*L177*N$4</f>
        <v>#DIV/0!</v>
      </c>
      <c r="O177" s="25"/>
      <c r="P177" s="95"/>
      <c r="Q177" s="41"/>
      <c r="R177" s="41"/>
      <c r="S177" s="41"/>
      <c r="T177" s="41"/>
      <c r="U177" s="41"/>
      <c r="V177" s="41"/>
      <c r="W177" s="42"/>
      <c r="X177" s="95"/>
      <c r="Y177" s="41"/>
      <c r="Z177" s="41"/>
      <c r="AA177" s="42"/>
      <c r="AB177" s="95"/>
      <c r="AC177" s="41"/>
      <c r="AD177" s="41"/>
      <c r="AE177" s="41"/>
      <c r="AF177" s="41"/>
      <c r="AG177" s="42"/>
      <c r="AH177" s="95"/>
      <c r="AI177" s="41"/>
      <c r="AJ177" s="41"/>
      <c r="AK177" s="41"/>
      <c r="AL177" s="42"/>
      <c r="AM177" s="95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2"/>
      <c r="BB177" s="95" t="e">
        <f t="shared" ref="BB177:BB179" si="3405">$N177*DX177</f>
        <v>#DIV/0!</v>
      </c>
      <c r="BC177" s="41" t="e">
        <f t="shared" ref="BC177:BC179" si="3406">$N177*DY177</f>
        <v>#DIV/0!</v>
      </c>
      <c r="BD177" s="41" t="e">
        <f t="shared" ref="BD177:BD179" si="3407">$N177*DZ177</f>
        <v>#DIV/0!</v>
      </c>
      <c r="BE177" s="41" t="e">
        <f t="shared" ref="BE177:BE179" si="3408">$N177*EA177</f>
        <v>#DIV/0!</v>
      </c>
      <c r="BF177" s="41" t="e">
        <f t="shared" ref="BF177:BF179" si="3409">$N177*EB177</f>
        <v>#DIV/0!</v>
      </c>
      <c r="BG177" s="41" t="e">
        <f t="shared" ref="BG177:BG179" si="3410">$N177*EC177</f>
        <v>#DIV/0!</v>
      </c>
      <c r="BH177" s="41" t="e">
        <f t="shared" ref="BH177:BH179" si="3411">$N177*ED177</f>
        <v>#DIV/0!</v>
      </c>
      <c r="BI177" s="42" t="e">
        <f t="shared" ref="BI177:BI179" si="3412">$N177*EE177</f>
        <v>#DIV/0!</v>
      </c>
      <c r="BJ177" s="95" t="e">
        <f t="shared" ref="BJ177:BJ179" si="3413">$N177*EF177</f>
        <v>#DIV/0!</v>
      </c>
      <c r="BK177" s="41" t="e">
        <f t="shared" ref="BK177:BK179" si="3414">$N177*EG177</f>
        <v>#DIV/0!</v>
      </c>
      <c r="BL177" s="41" t="e">
        <f t="shared" ref="BL177:BL179" si="3415">$N177*EH177</f>
        <v>#DIV/0!</v>
      </c>
      <c r="BM177" s="42" t="e">
        <f t="shared" ref="BM177:BM179" si="3416">$N177*EI177</f>
        <v>#DIV/0!</v>
      </c>
      <c r="BN177" s="95" t="e">
        <f t="shared" ref="BN177:BN179" si="3417">$N177*EJ177</f>
        <v>#DIV/0!</v>
      </c>
      <c r="BO177" s="41" t="e">
        <f t="shared" ref="BO177:BO179" si="3418">$N177*EK177</f>
        <v>#DIV/0!</v>
      </c>
      <c r="BP177" s="41" t="e">
        <f t="shared" ref="BP177:BP179" si="3419">$N177*EL177</f>
        <v>#DIV/0!</v>
      </c>
      <c r="BQ177" s="41" t="e">
        <f t="shared" ref="BQ177:BQ179" si="3420">$N177*EM177</f>
        <v>#DIV/0!</v>
      </c>
      <c r="BR177" s="41" t="e">
        <f t="shared" ref="BR177:BR179" si="3421">$N177*EN177</f>
        <v>#DIV/0!</v>
      </c>
      <c r="BS177" s="42" t="e">
        <f t="shared" ref="BS177:BS179" si="3422">$N177*EO177</f>
        <v>#DIV/0!</v>
      </c>
      <c r="BT177" s="95" t="e">
        <f t="shared" ref="BT177:BT179" si="3423">$N177*EP177</f>
        <v>#DIV/0!</v>
      </c>
      <c r="BU177" s="41" t="e">
        <f t="shared" ref="BU177:BU179" si="3424">$N177*EQ177</f>
        <v>#DIV/0!</v>
      </c>
      <c r="BV177" s="41" t="e">
        <f t="shared" ref="BV177:BV179" si="3425">$N177*ER177</f>
        <v>#DIV/0!</v>
      </c>
      <c r="BW177" s="41" t="e">
        <f t="shared" ref="BW177:BW179" si="3426">$N177*ES177</f>
        <v>#DIV/0!</v>
      </c>
      <c r="BX177" s="42" t="e">
        <f t="shared" ref="BX177:BX179" si="3427">$N177*ET177</f>
        <v>#DIV/0!</v>
      </c>
      <c r="BY177" s="95" t="e">
        <f t="shared" ref="BY177:BY179" si="3428">$N177*EU177</f>
        <v>#DIV/0!</v>
      </c>
      <c r="BZ177" s="41" t="e">
        <f t="shared" ref="BZ177:BZ179" si="3429">$N177*EV177</f>
        <v>#DIV/0!</v>
      </c>
      <c r="CA177" s="41" t="e">
        <f t="shared" ref="CA177:CA179" si="3430">$N177*EW177</f>
        <v>#DIV/0!</v>
      </c>
      <c r="CB177" s="41" t="e">
        <f t="shared" ref="CB177:CB179" si="3431">$N177*EX177</f>
        <v>#DIV/0!</v>
      </c>
      <c r="CC177" s="41" t="e">
        <f t="shared" ref="CC177:CC179" si="3432">$N177*EY177</f>
        <v>#DIV/0!</v>
      </c>
      <c r="CD177" s="41" t="e">
        <f t="shared" ref="CD177:CD179" si="3433">$N177*EZ177</f>
        <v>#DIV/0!</v>
      </c>
      <c r="CE177" s="41" t="e">
        <f t="shared" ref="CE177:CE179" si="3434">$N177*FA177</f>
        <v>#DIV/0!</v>
      </c>
      <c r="CF177" s="41" t="e">
        <f t="shared" ref="CF177:CF179" si="3435">$N177*FB177</f>
        <v>#DIV/0!</v>
      </c>
      <c r="CG177" s="41" t="e">
        <f t="shared" ref="CG177:CG179" si="3436">$N177*FC177</f>
        <v>#DIV/0!</v>
      </c>
      <c r="CH177" s="41" t="e">
        <f t="shared" ref="CH177:CH179" si="3437">$N177*FD177</f>
        <v>#DIV/0!</v>
      </c>
      <c r="CI177" s="41" t="e">
        <f t="shared" ref="CI177:CI179" si="3438">$N177*FE177</f>
        <v>#DIV/0!</v>
      </c>
      <c r="CJ177" s="42" t="e">
        <f t="shared" ref="CJ177:CJ179" si="3439">$N177*FF177</f>
        <v>#DIV/0!</v>
      </c>
      <c r="CL177" s="36"/>
      <c r="CN177" s="95"/>
      <c r="CO177" s="41"/>
      <c r="CP177" s="41"/>
      <c r="CQ177" s="41"/>
      <c r="CR177" s="41"/>
      <c r="CS177" s="41"/>
      <c r="CT177" s="41"/>
      <c r="CU177" s="42"/>
      <c r="CV177" s="95"/>
      <c r="CW177" s="41"/>
      <c r="CX177" s="41"/>
      <c r="CY177" s="42"/>
      <c r="CZ177" s="95"/>
      <c r="DA177" s="41"/>
      <c r="DB177" s="41"/>
      <c r="DC177" s="41"/>
      <c r="DD177" s="41"/>
      <c r="DE177" s="42"/>
      <c r="DF177" s="95"/>
      <c r="DG177" s="41"/>
      <c r="DH177" s="41"/>
      <c r="DI177" s="41"/>
      <c r="DJ177" s="42"/>
      <c r="DK177" s="95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2"/>
      <c r="DX177" s="138" t="e">
        <f t="shared" si="3368"/>
        <v>#DIV/0!</v>
      </c>
      <c r="DY177" s="34" t="e">
        <f t="shared" si="3369"/>
        <v>#DIV/0!</v>
      </c>
      <c r="DZ177" s="34" t="e">
        <f t="shared" si="3370"/>
        <v>#DIV/0!</v>
      </c>
      <c r="EA177" s="34" t="e">
        <f t="shared" si="3371"/>
        <v>#DIV/0!</v>
      </c>
      <c r="EB177" s="34" t="e">
        <f t="shared" si="3372"/>
        <v>#DIV/0!</v>
      </c>
      <c r="EC177" s="34" t="e">
        <f t="shared" si="3373"/>
        <v>#DIV/0!</v>
      </c>
      <c r="ED177" s="34" t="e">
        <f t="shared" si="3374"/>
        <v>#DIV/0!</v>
      </c>
      <c r="EE177" s="139" t="e">
        <f t="shared" si="3375"/>
        <v>#DIV/0!</v>
      </c>
      <c r="EF177" s="138" t="e">
        <f t="shared" si="3376"/>
        <v>#DIV/0!</v>
      </c>
      <c r="EG177" s="34" t="e">
        <f t="shared" si="3377"/>
        <v>#DIV/0!</v>
      </c>
      <c r="EH177" s="34" t="e">
        <f t="shared" si="3378"/>
        <v>#DIV/0!</v>
      </c>
      <c r="EI177" s="139" t="e">
        <f t="shared" si="3379"/>
        <v>#DIV/0!</v>
      </c>
      <c r="EJ177" s="138" t="e">
        <f t="shared" si="3380"/>
        <v>#DIV/0!</v>
      </c>
      <c r="EK177" s="34" t="e">
        <f t="shared" si="3381"/>
        <v>#DIV/0!</v>
      </c>
      <c r="EL177" s="34" t="e">
        <f t="shared" si="3382"/>
        <v>#DIV/0!</v>
      </c>
      <c r="EM177" s="34" t="e">
        <f t="shared" si="3383"/>
        <v>#DIV/0!</v>
      </c>
      <c r="EN177" s="34" t="e">
        <f t="shared" si="3384"/>
        <v>#DIV/0!</v>
      </c>
      <c r="EO177" s="139" t="e">
        <f t="shared" si="3385"/>
        <v>#DIV/0!</v>
      </c>
      <c r="EP177" s="138" t="e">
        <f t="shared" si="3386"/>
        <v>#DIV/0!</v>
      </c>
      <c r="EQ177" s="34" t="e">
        <f t="shared" si="3387"/>
        <v>#DIV/0!</v>
      </c>
      <c r="ER177" s="34" t="e">
        <f t="shared" si="3388"/>
        <v>#DIV/0!</v>
      </c>
      <c r="ES177" s="34" t="e">
        <f t="shared" si="3389"/>
        <v>#DIV/0!</v>
      </c>
      <c r="ET177" s="139" t="e">
        <f t="shared" si="3390"/>
        <v>#DIV/0!</v>
      </c>
      <c r="EU177" s="138" t="e">
        <f t="shared" si="3391"/>
        <v>#DIV/0!</v>
      </c>
      <c r="EV177" s="34" t="e">
        <f t="shared" si="3392"/>
        <v>#DIV/0!</v>
      </c>
      <c r="EW177" s="34" t="e">
        <f t="shared" si="3393"/>
        <v>#DIV/0!</v>
      </c>
      <c r="EX177" s="34" t="e">
        <f t="shared" si="3394"/>
        <v>#DIV/0!</v>
      </c>
      <c r="EY177" s="34" t="e">
        <f t="shared" si="3395"/>
        <v>#DIV/0!</v>
      </c>
      <c r="EZ177" s="34" t="e">
        <f t="shared" si="3396"/>
        <v>#DIV/0!</v>
      </c>
      <c r="FA177" s="34" t="e">
        <f t="shared" si="3397"/>
        <v>#DIV/0!</v>
      </c>
      <c r="FB177" s="34" t="e">
        <f t="shared" si="3398"/>
        <v>#DIV/0!</v>
      </c>
      <c r="FC177" s="34" t="e">
        <f t="shared" si="3399"/>
        <v>#DIV/0!</v>
      </c>
      <c r="FD177" s="34" t="e">
        <f t="shared" si="3400"/>
        <v>#DIV/0!</v>
      </c>
      <c r="FE177" s="34" t="e">
        <f t="shared" si="3401"/>
        <v>#DIV/0!</v>
      </c>
      <c r="FF177" s="139" t="e">
        <f t="shared" si="3402"/>
        <v>#DIV/0!</v>
      </c>
    </row>
    <row r="178" spans="1:162" x14ac:dyDescent="0.25">
      <c r="B178" s="177">
        <v>43092</v>
      </c>
      <c r="C178" s="271"/>
      <c r="D178" s="53"/>
      <c r="E178" s="129"/>
      <c r="F178" s="25"/>
      <c r="G178" s="25"/>
      <c r="H178" s="150"/>
      <c r="I178" s="24"/>
      <c r="J178" s="151"/>
      <c r="K178" s="151"/>
      <c r="L178" s="152">
        <v>9.4</v>
      </c>
      <c r="M178" s="152" t="e">
        <f t="shared" ref="M178" si="3440">H178/I178*K178*L178*1.5</f>
        <v>#DIV/0!</v>
      </c>
      <c r="N178" s="153" t="e">
        <f t="shared" ref="N178" si="3441">H178/I178*J178*L178*N$4</f>
        <v>#DIV/0!</v>
      </c>
      <c r="O178" s="25"/>
      <c r="P178" s="95"/>
      <c r="Q178" s="41"/>
      <c r="R178" s="41"/>
      <c r="S178" s="41"/>
      <c r="T178" s="41"/>
      <c r="U178" s="41"/>
      <c r="V178" s="41"/>
      <c r="W178" s="42"/>
      <c r="X178" s="95"/>
      <c r="Y178" s="41"/>
      <c r="Z178" s="41"/>
      <c r="AA178" s="42"/>
      <c r="AB178" s="95"/>
      <c r="AC178" s="41"/>
      <c r="AD178" s="41"/>
      <c r="AE178" s="41"/>
      <c r="AF178" s="41"/>
      <c r="AG178" s="42"/>
      <c r="AH178" s="95"/>
      <c r="AI178" s="41"/>
      <c r="AJ178" s="41"/>
      <c r="AK178" s="41"/>
      <c r="AL178" s="42"/>
      <c r="AM178" s="95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2"/>
      <c r="BB178" s="95" t="e">
        <f t="shared" ref="BB178" si="3442">$N178*DX178</f>
        <v>#DIV/0!</v>
      </c>
      <c r="BC178" s="41" t="e">
        <f t="shared" ref="BC178" si="3443">$N178*DY178</f>
        <v>#DIV/0!</v>
      </c>
      <c r="BD178" s="41" t="e">
        <f t="shared" ref="BD178" si="3444">$N178*DZ178</f>
        <v>#DIV/0!</v>
      </c>
      <c r="BE178" s="41" t="e">
        <f t="shared" ref="BE178" si="3445">$N178*EA178</f>
        <v>#DIV/0!</v>
      </c>
      <c r="BF178" s="41" t="e">
        <f t="shared" ref="BF178" si="3446">$N178*EB178</f>
        <v>#DIV/0!</v>
      </c>
      <c r="BG178" s="41" t="e">
        <f t="shared" ref="BG178" si="3447">$N178*EC178</f>
        <v>#DIV/0!</v>
      </c>
      <c r="BH178" s="41" t="e">
        <f t="shared" ref="BH178" si="3448">$N178*ED178</f>
        <v>#DIV/0!</v>
      </c>
      <c r="BI178" s="42" t="e">
        <f t="shared" ref="BI178" si="3449">$N178*EE178</f>
        <v>#DIV/0!</v>
      </c>
      <c r="BJ178" s="95" t="e">
        <f t="shared" ref="BJ178" si="3450">$N178*EF178</f>
        <v>#DIV/0!</v>
      </c>
      <c r="BK178" s="41" t="e">
        <f t="shared" ref="BK178" si="3451">$N178*EG178</f>
        <v>#DIV/0!</v>
      </c>
      <c r="BL178" s="41" t="e">
        <f t="shared" ref="BL178" si="3452">$N178*EH178</f>
        <v>#DIV/0!</v>
      </c>
      <c r="BM178" s="42" t="e">
        <f t="shared" ref="BM178" si="3453">$N178*EI178</f>
        <v>#DIV/0!</v>
      </c>
      <c r="BN178" s="95" t="e">
        <f t="shared" ref="BN178" si="3454">$N178*EJ178</f>
        <v>#DIV/0!</v>
      </c>
      <c r="BO178" s="41" t="e">
        <f t="shared" ref="BO178" si="3455">$N178*EK178</f>
        <v>#DIV/0!</v>
      </c>
      <c r="BP178" s="41" t="e">
        <f t="shared" ref="BP178" si="3456">$N178*EL178</f>
        <v>#DIV/0!</v>
      </c>
      <c r="BQ178" s="41" t="e">
        <f t="shared" ref="BQ178" si="3457">$N178*EM178</f>
        <v>#DIV/0!</v>
      </c>
      <c r="BR178" s="41" t="e">
        <f t="shared" ref="BR178" si="3458">$N178*EN178</f>
        <v>#DIV/0!</v>
      </c>
      <c r="BS178" s="42" t="e">
        <f t="shared" ref="BS178" si="3459">$N178*EO178</f>
        <v>#DIV/0!</v>
      </c>
      <c r="BT178" s="95" t="e">
        <f t="shared" ref="BT178" si="3460">$N178*EP178</f>
        <v>#DIV/0!</v>
      </c>
      <c r="BU178" s="41" t="e">
        <f t="shared" ref="BU178" si="3461">$N178*EQ178</f>
        <v>#DIV/0!</v>
      </c>
      <c r="BV178" s="41" t="e">
        <f t="shared" ref="BV178" si="3462">$N178*ER178</f>
        <v>#DIV/0!</v>
      </c>
      <c r="BW178" s="41" t="e">
        <f t="shared" ref="BW178" si="3463">$N178*ES178</f>
        <v>#DIV/0!</v>
      </c>
      <c r="BX178" s="42" t="e">
        <f t="shared" ref="BX178" si="3464">$N178*ET178</f>
        <v>#DIV/0!</v>
      </c>
      <c r="BY178" s="95" t="e">
        <f t="shared" ref="BY178" si="3465">$N178*EU178</f>
        <v>#DIV/0!</v>
      </c>
      <c r="BZ178" s="41" t="e">
        <f t="shared" ref="BZ178" si="3466">$N178*EV178</f>
        <v>#DIV/0!</v>
      </c>
      <c r="CA178" s="41" t="e">
        <f t="shared" ref="CA178" si="3467">$N178*EW178</f>
        <v>#DIV/0!</v>
      </c>
      <c r="CB178" s="41" t="e">
        <f t="shared" ref="CB178" si="3468">$N178*EX178</f>
        <v>#DIV/0!</v>
      </c>
      <c r="CC178" s="41" t="e">
        <f t="shared" ref="CC178" si="3469">$N178*EY178</f>
        <v>#DIV/0!</v>
      </c>
      <c r="CD178" s="41" t="e">
        <f t="shared" ref="CD178" si="3470">$N178*EZ178</f>
        <v>#DIV/0!</v>
      </c>
      <c r="CE178" s="41" t="e">
        <f t="shared" ref="CE178" si="3471">$N178*FA178</f>
        <v>#DIV/0!</v>
      </c>
      <c r="CF178" s="41" t="e">
        <f t="shared" ref="CF178" si="3472">$N178*FB178</f>
        <v>#DIV/0!</v>
      </c>
      <c r="CG178" s="41" t="e">
        <f t="shared" ref="CG178" si="3473">$N178*FC178</f>
        <v>#DIV/0!</v>
      </c>
      <c r="CH178" s="41" t="e">
        <f t="shared" ref="CH178" si="3474">$N178*FD178</f>
        <v>#DIV/0!</v>
      </c>
      <c r="CI178" s="41" t="e">
        <f t="shared" ref="CI178" si="3475">$N178*FE178</f>
        <v>#DIV/0!</v>
      </c>
      <c r="CJ178" s="42" t="e">
        <f t="shared" ref="CJ178" si="3476">$N178*FF178</f>
        <v>#DIV/0!</v>
      </c>
      <c r="CL178" s="36"/>
      <c r="CN178" s="95"/>
      <c r="CO178" s="41"/>
      <c r="CP178" s="41"/>
      <c r="CQ178" s="41"/>
      <c r="CR178" s="41"/>
      <c r="CS178" s="41"/>
      <c r="CT178" s="41"/>
      <c r="CU178" s="42"/>
      <c r="CV178" s="95"/>
      <c r="CW178" s="41"/>
      <c r="CX178" s="41"/>
      <c r="CY178" s="42"/>
      <c r="CZ178" s="95"/>
      <c r="DA178" s="41"/>
      <c r="DB178" s="41"/>
      <c r="DC178" s="41"/>
      <c r="DD178" s="41"/>
      <c r="DE178" s="42"/>
      <c r="DF178" s="95"/>
      <c r="DG178" s="41"/>
      <c r="DH178" s="41"/>
      <c r="DI178" s="41"/>
      <c r="DJ178" s="42"/>
      <c r="DK178" s="95"/>
      <c r="DL178" s="41"/>
      <c r="DM178" s="41"/>
      <c r="DN178" s="41"/>
      <c r="DO178" s="41"/>
      <c r="DP178" s="41"/>
      <c r="DQ178" s="41"/>
      <c r="DR178" s="41"/>
      <c r="DS178" s="41"/>
      <c r="DT178" s="41"/>
      <c r="DU178" s="41"/>
      <c r="DV178" s="42"/>
      <c r="DX178" s="138" t="e">
        <f t="shared" si="3368"/>
        <v>#DIV/0!</v>
      </c>
      <c r="DY178" s="34" t="e">
        <f t="shared" si="3369"/>
        <v>#DIV/0!</v>
      </c>
      <c r="DZ178" s="34" t="e">
        <f t="shared" si="3370"/>
        <v>#DIV/0!</v>
      </c>
      <c r="EA178" s="34" t="e">
        <f t="shared" si="3371"/>
        <v>#DIV/0!</v>
      </c>
      <c r="EB178" s="34" t="e">
        <f t="shared" si="3372"/>
        <v>#DIV/0!</v>
      </c>
      <c r="EC178" s="34" t="e">
        <f t="shared" si="3373"/>
        <v>#DIV/0!</v>
      </c>
      <c r="ED178" s="34" t="e">
        <f t="shared" si="3374"/>
        <v>#DIV/0!</v>
      </c>
      <c r="EE178" s="139" t="e">
        <f t="shared" si="3375"/>
        <v>#DIV/0!</v>
      </c>
      <c r="EF178" s="138" t="e">
        <f t="shared" si="3376"/>
        <v>#DIV/0!</v>
      </c>
      <c r="EG178" s="34" t="e">
        <f t="shared" si="3377"/>
        <v>#DIV/0!</v>
      </c>
      <c r="EH178" s="34" t="e">
        <f t="shared" si="3378"/>
        <v>#DIV/0!</v>
      </c>
      <c r="EI178" s="139" t="e">
        <f t="shared" si="3379"/>
        <v>#DIV/0!</v>
      </c>
      <c r="EJ178" s="138" t="e">
        <f t="shared" si="3380"/>
        <v>#DIV/0!</v>
      </c>
      <c r="EK178" s="34" t="e">
        <f t="shared" si="3381"/>
        <v>#DIV/0!</v>
      </c>
      <c r="EL178" s="34" t="e">
        <f t="shared" si="3382"/>
        <v>#DIV/0!</v>
      </c>
      <c r="EM178" s="34" t="e">
        <f t="shared" si="3383"/>
        <v>#DIV/0!</v>
      </c>
      <c r="EN178" s="34" t="e">
        <f t="shared" si="3384"/>
        <v>#DIV/0!</v>
      </c>
      <c r="EO178" s="139" t="e">
        <f t="shared" si="3385"/>
        <v>#DIV/0!</v>
      </c>
      <c r="EP178" s="138" t="e">
        <f t="shared" si="3386"/>
        <v>#DIV/0!</v>
      </c>
      <c r="EQ178" s="34" t="e">
        <f t="shared" si="3387"/>
        <v>#DIV/0!</v>
      </c>
      <c r="ER178" s="34" t="e">
        <f t="shared" si="3388"/>
        <v>#DIV/0!</v>
      </c>
      <c r="ES178" s="34" t="e">
        <f t="shared" si="3389"/>
        <v>#DIV/0!</v>
      </c>
      <c r="ET178" s="139" t="e">
        <f t="shared" si="3390"/>
        <v>#DIV/0!</v>
      </c>
      <c r="EU178" s="138" t="e">
        <f t="shared" si="3391"/>
        <v>#DIV/0!</v>
      </c>
      <c r="EV178" s="34" t="e">
        <f t="shared" si="3392"/>
        <v>#DIV/0!</v>
      </c>
      <c r="EW178" s="34" t="e">
        <f t="shared" si="3393"/>
        <v>#DIV/0!</v>
      </c>
      <c r="EX178" s="34" t="e">
        <f t="shared" si="3394"/>
        <v>#DIV/0!</v>
      </c>
      <c r="EY178" s="34" t="e">
        <f t="shared" si="3395"/>
        <v>#DIV/0!</v>
      </c>
      <c r="EZ178" s="34" t="e">
        <f t="shared" si="3396"/>
        <v>#DIV/0!</v>
      </c>
      <c r="FA178" s="34" t="e">
        <f t="shared" si="3397"/>
        <v>#DIV/0!</v>
      </c>
      <c r="FB178" s="34" t="e">
        <f t="shared" si="3398"/>
        <v>#DIV/0!</v>
      </c>
      <c r="FC178" s="34" t="e">
        <f t="shared" si="3399"/>
        <v>#DIV/0!</v>
      </c>
      <c r="FD178" s="34" t="e">
        <f t="shared" si="3400"/>
        <v>#DIV/0!</v>
      </c>
      <c r="FE178" s="34" t="e">
        <f t="shared" si="3401"/>
        <v>#DIV/0!</v>
      </c>
      <c r="FF178" s="139" t="e">
        <f t="shared" si="3402"/>
        <v>#DIV/0!</v>
      </c>
    </row>
    <row r="179" spans="1:162" x14ac:dyDescent="0.25">
      <c r="B179" s="177">
        <v>43096</v>
      </c>
      <c r="C179" s="271"/>
      <c r="D179" s="53"/>
      <c r="E179" s="129"/>
      <c r="F179" s="25"/>
      <c r="G179" s="25"/>
      <c r="H179" s="150"/>
      <c r="I179" s="24"/>
      <c r="J179" s="151"/>
      <c r="K179" s="151"/>
      <c r="L179" s="152">
        <v>9.4</v>
      </c>
      <c r="M179" s="152" t="e">
        <f t="shared" si="3403"/>
        <v>#DIV/0!</v>
      </c>
      <c r="N179" s="153" t="e">
        <f t="shared" si="3404"/>
        <v>#DIV/0!</v>
      </c>
      <c r="O179" s="25"/>
      <c r="P179" s="95"/>
      <c r="Q179" s="41"/>
      <c r="R179" s="41"/>
      <c r="S179" s="41"/>
      <c r="T179" s="41"/>
      <c r="U179" s="41"/>
      <c r="V179" s="41"/>
      <c r="W179" s="42"/>
      <c r="X179" s="95"/>
      <c r="Y179" s="41"/>
      <c r="Z179" s="41"/>
      <c r="AA179" s="42"/>
      <c r="AB179" s="95"/>
      <c r="AC179" s="41"/>
      <c r="AD179" s="41"/>
      <c r="AE179" s="41"/>
      <c r="AF179" s="41"/>
      <c r="AG179" s="42"/>
      <c r="AH179" s="95"/>
      <c r="AI179" s="41"/>
      <c r="AJ179" s="41"/>
      <c r="AK179" s="41"/>
      <c r="AL179" s="42"/>
      <c r="AM179" s="95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2"/>
      <c r="BB179" s="95" t="e">
        <f t="shared" si="3405"/>
        <v>#DIV/0!</v>
      </c>
      <c r="BC179" s="41" t="e">
        <f t="shared" si="3406"/>
        <v>#DIV/0!</v>
      </c>
      <c r="BD179" s="41" t="e">
        <f t="shared" si="3407"/>
        <v>#DIV/0!</v>
      </c>
      <c r="BE179" s="41" t="e">
        <f t="shared" si="3408"/>
        <v>#DIV/0!</v>
      </c>
      <c r="BF179" s="41" t="e">
        <f t="shared" si="3409"/>
        <v>#DIV/0!</v>
      </c>
      <c r="BG179" s="41" t="e">
        <f t="shared" si="3410"/>
        <v>#DIV/0!</v>
      </c>
      <c r="BH179" s="41" t="e">
        <f t="shared" si="3411"/>
        <v>#DIV/0!</v>
      </c>
      <c r="BI179" s="42" t="e">
        <f t="shared" si="3412"/>
        <v>#DIV/0!</v>
      </c>
      <c r="BJ179" s="95" t="e">
        <f t="shared" si="3413"/>
        <v>#DIV/0!</v>
      </c>
      <c r="BK179" s="41" t="e">
        <f t="shared" si="3414"/>
        <v>#DIV/0!</v>
      </c>
      <c r="BL179" s="41" t="e">
        <f t="shared" si="3415"/>
        <v>#DIV/0!</v>
      </c>
      <c r="BM179" s="42" t="e">
        <f t="shared" si="3416"/>
        <v>#DIV/0!</v>
      </c>
      <c r="BN179" s="95" t="e">
        <f t="shared" si="3417"/>
        <v>#DIV/0!</v>
      </c>
      <c r="BO179" s="41" t="e">
        <f t="shared" si="3418"/>
        <v>#DIV/0!</v>
      </c>
      <c r="BP179" s="41" t="e">
        <f t="shared" si="3419"/>
        <v>#DIV/0!</v>
      </c>
      <c r="BQ179" s="41" t="e">
        <f t="shared" si="3420"/>
        <v>#DIV/0!</v>
      </c>
      <c r="BR179" s="41" t="e">
        <f t="shared" si="3421"/>
        <v>#DIV/0!</v>
      </c>
      <c r="BS179" s="42" t="e">
        <f t="shared" si="3422"/>
        <v>#DIV/0!</v>
      </c>
      <c r="BT179" s="95" t="e">
        <f t="shared" si="3423"/>
        <v>#DIV/0!</v>
      </c>
      <c r="BU179" s="41" t="e">
        <f t="shared" si="3424"/>
        <v>#DIV/0!</v>
      </c>
      <c r="BV179" s="41" t="e">
        <f t="shared" si="3425"/>
        <v>#DIV/0!</v>
      </c>
      <c r="BW179" s="41" t="e">
        <f t="shared" si="3426"/>
        <v>#DIV/0!</v>
      </c>
      <c r="BX179" s="42" t="e">
        <f t="shared" si="3427"/>
        <v>#DIV/0!</v>
      </c>
      <c r="BY179" s="95" t="e">
        <f t="shared" si="3428"/>
        <v>#DIV/0!</v>
      </c>
      <c r="BZ179" s="41" t="e">
        <f t="shared" si="3429"/>
        <v>#DIV/0!</v>
      </c>
      <c r="CA179" s="41" t="e">
        <f t="shared" si="3430"/>
        <v>#DIV/0!</v>
      </c>
      <c r="CB179" s="41" t="e">
        <f t="shared" si="3431"/>
        <v>#DIV/0!</v>
      </c>
      <c r="CC179" s="41" t="e">
        <f t="shared" si="3432"/>
        <v>#DIV/0!</v>
      </c>
      <c r="CD179" s="41" t="e">
        <f t="shared" si="3433"/>
        <v>#DIV/0!</v>
      </c>
      <c r="CE179" s="41" t="e">
        <f t="shared" si="3434"/>
        <v>#DIV/0!</v>
      </c>
      <c r="CF179" s="41" t="e">
        <f t="shared" si="3435"/>
        <v>#DIV/0!</v>
      </c>
      <c r="CG179" s="41" t="e">
        <f t="shared" si="3436"/>
        <v>#DIV/0!</v>
      </c>
      <c r="CH179" s="41" t="e">
        <f t="shared" si="3437"/>
        <v>#DIV/0!</v>
      </c>
      <c r="CI179" s="41" t="e">
        <f t="shared" si="3438"/>
        <v>#DIV/0!</v>
      </c>
      <c r="CJ179" s="42" t="e">
        <f t="shared" si="3439"/>
        <v>#DIV/0!</v>
      </c>
      <c r="CL179" s="36"/>
      <c r="CN179" s="95"/>
      <c r="CO179" s="41"/>
      <c r="CP179" s="41"/>
      <c r="CQ179" s="41"/>
      <c r="CR179" s="41"/>
      <c r="CS179" s="41"/>
      <c r="CT179" s="41"/>
      <c r="CU179" s="42"/>
      <c r="CV179" s="95"/>
      <c r="CW179" s="41"/>
      <c r="CX179" s="41"/>
      <c r="CY179" s="42"/>
      <c r="CZ179" s="95"/>
      <c r="DA179" s="41"/>
      <c r="DB179" s="41"/>
      <c r="DC179" s="41"/>
      <c r="DD179" s="41"/>
      <c r="DE179" s="42"/>
      <c r="DF179" s="95"/>
      <c r="DG179" s="41"/>
      <c r="DH179" s="41"/>
      <c r="DI179" s="41"/>
      <c r="DJ179" s="42"/>
      <c r="DK179" s="95"/>
      <c r="DL179" s="41"/>
      <c r="DM179" s="41"/>
      <c r="DN179" s="41"/>
      <c r="DO179" s="41"/>
      <c r="DP179" s="41"/>
      <c r="DQ179" s="41"/>
      <c r="DR179" s="41"/>
      <c r="DS179" s="41"/>
      <c r="DT179" s="41"/>
      <c r="DU179" s="41"/>
      <c r="DV179" s="42"/>
      <c r="DX179" s="138" t="e">
        <f t="shared" ref="DX179" si="3477">P179/$E179</f>
        <v>#DIV/0!</v>
      </c>
      <c r="DY179" s="34" t="e">
        <f t="shared" ref="DY179" si="3478">Q179/$E179</f>
        <v>#DIV/0!</v>
      </c>
      <c r="DZ179" s="34" t="e">
        <f t="shared" ref="DZ179" si="3479">R179/$E179</f>
        <v>#DIV/0!</v>
      </c>
      <c r="EA179" s="34" t="e">
        <f t="shared" ref="EA179" si="3480">S179/$E179</f>
        <v>#DIV/0!</v>
      </c>
      <c r="EB179" s="34" t="e">
        <f t="shared" ref="EB179" si="3481">T179/$E179</f>
        <v>#DIV/0!</v>
      </c>
      <c r="EC179" s="34" t="e">
        <f t="shared" ref="EC179" si="3482">U179/$E179</f>
        <v>#DIV/0!</v>
      </c>
      <c r="ED179" s="34" t="e">
        <f t="shared" ref="ED179" si="3483">V179/$E179</f>
        <v>#DIV/0!</v>
      </c>
      <c r="EE179" s="139" t="e">
        <f t="shared" ref="EE179" si="3484">W179/$E179</f>
        <v>#DIV/0!</v>
      </c>
      <c r="EF179" s="138" t="e">
        <f t="shared" ref="EF179" si="3485">X179/$E179</f>
        <v>#DIV/0!</v>
      </c>
      <c r="EG179" s="34" t="e">
        <f t="shared" ref="EG179" si="3486">Y179/$E179</f>
        <v>#DIV/0!</v>
      </c>
      <c r="EH179" s="34" t="e">
        <f t="shared" ref="EH179" si="3487">Z179/$E179</f>
        <v>#DIV/0!</v>
      </c>
      <c r="EI179" s="139" t="e">
        <f t="shared" ref="EI179" si="3488">AA179/$E179</f>
        <v>#DIV/0!</v>
      </c>
      <c r="EJ179" s="138" t="e">
        <f t="shared" ref="EJ179" si="3489">AB179/$E179</f>
        <v>#DIV/0!</v>
      </c>
      <c r="EK179" s="34" t="e">
        <f t="shared" ref="EK179" si="3490">AC179/$E179</f>
        <v>#DIV/0!</v>
      </c>
      <c r="EL179" s="34" t="e">
        <f t="shared" ref="EL179" si="3491">AD179/$E179</f>
        <v>#DIV/0!</v>
      </c>
      <c r="EM179" s="34" t="e">
        <f t="shared" ref="EM179" si="3492">AE179/$E179</f>
        <v>#DIV/0!</v>
      </c>
      <c r="EN179" s="34" t="e">
        <f t="shared" ref="EN179" si="3493">AF179/$E179</f>
        <v>#DIV/0!</v>
      </c>
      <c r="EO179" s="139" t="e">
        <f t="shared" ref="EO179" si="3494">AG179/$E179</f>
        <v>#DIV/0!</v>
      </c>
      <c r="EP179" s="138" t="e">
        <f t="shared" ref="EP179" si="3495">AH179/$E179</f>
        <v>#DIV/0!</v>
      </c>
      <c r="EQ179" s="34" t="e">
        <f t="shared" ref="EQ179" si="3496">AI179/$E179</f>
        <v>#DIV/0!</v>
      </c>
      <c r="ER179" s="34" t="e">
        <f t="shared" ref="ER179" si="3497">AJ179/$E179</f>
        <v>#DIV/0!</v>
      </c>
      <c r="ES179" s="34" t="e">
        <f t="shared" ref="ES179" si="3498">AK179/$E179</f>
        <v>#DIV/0!</v>
      </c>
      <c r="ET179" s="139" t="e">
        <f t="shared" ref="ET179" si="3499">AL179/$E179</f>
        <v>#DIV/0!</v>
      </c>
      <c r="EU179" s="138" t="e">
        <f t="shared" ref="EU179" si="3500">AM179/$E179</f>
        <v>#DIV/0!</v>
      </c>
      <c r="EV179" s="34" t="e">
        <f t="shared" ref="EV179" si="3501">AN179/$E179</f>
        <v>#DIV/0!</v>
      </c>
      <c r="EW179" s="34" t="e">
        <f t="shared" ref="EW179" si="3502">AO179/$E179</f>
        <v>#DIV/0!</v>
      </c>
      <c r="EX179" s="34" t="e">
        <f t="shared" ref="EX179" si="3503">AP179/$E179</f>
        <v>#DIV/0!</v>
      </c>
      <c r="EY179" s="34" t="e">
        <f t="shared" ref="EY179" si="3504">AQ179/$E179</f>
        <v>#DIV/0!</v>
      </c>
      <c r="EZ179" s="34" t="e">
        <f t="shared" ref="EZ179" si="3505">AR179/$E179</f>
        <v>#DIV/0!</v>
      </c>
      <c r="FA179" s="34" t="e">
        <f t="shared" ref="FA179" si="3506">AS179/$E179</f>
        <v>#DIV/0!</v>
      </c>
      <c r="FB179" s="34" t="e">
        <f t="shared" ref="FB179" si="3507">AT179/$E179</f>
        <v>#DIV/0!</v>
      </c>
      <c r="FC179" s="34" t="e">
        <f t="shared" ref="FC179" si="3508">AU179/$E179</f>
        <v>#DIV/0!</v>
      </c>
      <c r="FD179" s="34" t="e">
        <f t="shared" ref="FD179" si="3509">AV179/$E179</f>
        <v>#DIV/0!</v>
      </c>
      <c r="FE179" s="34" t="e">
        <f t="shared" ref="FE179" si="3510">AY179/$E179</f>
        <v>#DIV/0!</v>
      </c>
      <c r="FF179" s="139" t="e">
        <f t="shared" ref="FF179" si="3511">AZ179/$E179</f>
        <v>#DIV/0!</v>
      </c>
    </row>
    <row r="180" spans="1:162" x14ac:dyDescent="0.25">
      <c r="B180" s="177"/>
      <c r="C180" s="271"/>
      <c r="D180" s="53"/>
      <c r="E180" s="129"/>
      <c r="F180" s="25"/>
      <c r="G180" s="25"/>
      <c r="H180" s="150"/>
      <c r="I180" s="24"/>
      <c r="J180" s="151"/>
      <c r="K180" s="151"/>
      <c r="L180" s="152"/>
      <c r="M180" s="152"/>
      <c r="N180" s="153"/>
      <c r="O180" s="25"/>
      <c r="P180" s="95"/>
      <c r="Q180" s="41"/>
      <c r="R180" s="41"/>
      <c r="S180" s="41"/>
      <c r="T180" s="41"/>
      <c r="U180" s="41"/>
      <c r="V180" s="41"/>
      <c r="W180" s="42"/>
      <c r="X180" s="95"/>
      <c r="Y180" s="41"/>
      <c r="Z180" s="41"/>
      <c r="AA180" s="42"/>
      <c r="AB180" s="95"/>
      <c r="AC180" s="41"/>
      <c r="AD180" s="41"/>
      <c r="AE180" s="41"/>
      <c r="AF180" s="41"/>
      <c r="AG180" s="42"/>
      <c r="AH180" s="95"/>
      <c r="AI180" s="41"/>
      <c r="AJ180" s="41"/>
      <c r="AK180" s="41"/>
      <c r="AL180" s="42"/>
      <c r="AM180" s="95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2"/>
      <c r="BB180" s="95"/>
      <c r="BC180" s="41"/>
      <c r="BD180" s="41"/>
      <c r="BE180" s="41"/>
      <c r="BF180" s="41"/>
      <c r="BG180" s="41"/>
      <c r="BH180" s="41"/>
      <c r="BI180" s="42"/>
      <c r="BJ180" s="95"/>
      <c r="BK180" s="41"/>
      <c r="BL180" s="41"/>
      <c r="BM180" s="42"/>
      <c r="BN180" s="95"/>
      <c r="BO180" s="41"/>
      <c r="BP180" s="41"/>
      <c r="BQ180" s="41"/>
      <c r="BR180" s="41"/>
      <c r="BS180" s="42"/>
      <c r="BT180" s="95"/>
      <c r="BU180" s="41"/>
      <c r="BV180" s="41"/>
      <c r="BW180" s="41"/>
      <c r="BX180" s="42"/>
      <c r="BY180" s="95"/>
      <c r="BZ180" s="41"/>
      <c r="CA180" s="41"/>
      <c r="CB180" s="41"/>
      <c r="CC180" s="41"/>
      <c r="CD180" s="41"/>
      <c r="CE180" s="41"/>
      <c r="CF180" s="41"/>
      <c r="CG180" s="41"/>
      <c r="CH180" s="41"/>
      <c r="CI180" s="41"/>
      <c r="CJ180" s="42"/>
      <c r="CL180" s="36"/>
      <c r="CN180" s="95"/>
      <c r="CO180" s="41"/>
      <c r="CP180" s="41"/>
      <c r="CQ180" s="41"/>
      <c r="CR180" s="41"/>
      <c r="CS180" s="41"/>
      <c r="CT180" s="41"/>
      <c r="CU180" s="42"/>
      <c r="CV180" s="95"/>
      <c r="CW180" s="41"/>
      <c r="CX180" s="41"/>
      <c r="CY180" s="42"/>
      <c r="CZ180" s="95"/>
      <c r="DA180" s="41"/>
      <c r="DB180" s="41"/>
      <c r="DC180" s="41"/>
      <c r="DD180" s="41"/>
      <c r="DE180" s="42"/>
      <c r="DF180" s="95"/>
      <c r="DG180" s="41"/>
      <c r="DH180" s="41"/>
      <c r="DI180" s="41"/>
      <c r="DJ180" s="42"/>
      <c r="DK180" s="95"/>
      <c r="DL180" s="41"/>
      <c r="DM180" s="41"/>
      <c r="DN180" s="41"/>
      <c r="DO180" s="41"/>
      <c r="DP180" s="41"/>
      <c r="DQ180" s="41"/>
      <c r="DR180" s="41"/>
      <c r="DS180" s="41"/>
      <c r="DT180" s="41"/>
      <c r="DU180" s="41"/>
      <c r="DV180" s="42"/>
      <c r="DX180" s="138"/>
      <c r="DY180" s="34"/>
      <c r="DZ180" s="34"/>
      <c r="EA180" s="34"/>
      <c r="EB180" s="34"/>
      <c r="EC180" s="34"/>
      <c r="ED180" s="34"/>
      <c r="EE180" s="139"/>
      <c r="EF180" s="138"/>
      <c r="EG180" s="34"/>
      <c r="EH180" s="34"/>
      <c r="EI180" s="139"/>
      <c r="EJ180" s="138"/>
      <c r="EK180" s="34"/>
      <c r="EL180" s="34"/>
      <c r="EM180" s="34"/>
      <c r="EN180" s="34"/>
      <c r="EO180" s="139"/>
      <c r="EP180" s="138"/>
      <c r="EQ180" s="34"/>
      <c r="ER180" s="34"/>
      <c r="ES180" s="34"/>
      <c r="ET180" s="139"/>
      <c r="EU180" s="138"/>
      <c r="EV180" s="34"/>
      <c r="EW180" s="34"/>
      <c r="EX180" s="34"/>
      <c r="EY180" s="34"/>
      <c r="EZ180" s="34"/>
      <c r="FA180" s="34"/>
      <c r="FB180" s="34"/>
      <c r="FC180" s="34"/>
      <c r="FD180" s="34"/>
      <c r="FE180" s="34"/>
      <c r="FF180" s="139"/>
    </row>
    <row r="181" spans="1:162" ht="16.5" thickBot="1" x14ac:dyDescent="0.3">
      <c r="B181" s="177"/>
      <c r="C181" s="287"/>
      <c r="D181" s="100"/>
      <c r="E181" s="131"/>
      <c r="F181" s="25"/>
      <c r="G181" s="25"/>
      <c r="H181" s="171"/>
      <c r="I181" s="172"/>
      <c r="J181" s="173"/>
      <c r="K181" s="173"/>
      <c r="L181" s="174"/>
      <c r="M181" s="174"/>
      <c r="N181" s="175"/>
      <c r="O181" s="25"/>
      <c r="P181" s="96"/>
      <c r="Q181" s="76"/>
      <c r="R181" s="76"/>
      <c r="S181" s="76"/>
      <c r="T181" s="76"/>
      <c r="U181" s="76"/>
      <c r="V181" s="76"/>
      <c r="W181" s="77"/>
      <c r="X181" s="96"/>
      <c r="Y181" s="76"/>
      <c r="Z181" s="76"/>
      <c r="AA181" s="77"/>
      <c r="AB181" s="96"/>
      <c r="AC181" s="76"/>
      <c r="AD181" s="76"/>
      <c r="AE181" s="76"/>
      <c r="AF181" s="76"/>
      <c r="AG181" s="77"/>
      <c r="AH181" s="96"/>
      <c r="AI181" s="76"/>
      <c r="AJ181" s="76"/>
      <c r="AK181" s="76"/>
      <c r="AL181" s="77"/>
      <c r="AM181" s="96"/>
      <c r="AN181" s="76"/>
      <c r="AO181" s="76"/>
      <c r="AP181" s="76"/>
      <c r="AQ181" s="76"/>
      <c r="AR181" s="76"/>
      <c r="AS181" s="76"/>
      <c r="AT181" s="76"/>
      <c r="AU181" s="76"/>
      <c r="AV181" s="76"/>
      <c r="AW181" s="76"/>
      <c r="AX181" s="76"/>
      <c r="AY181" s="76"/>
      <c r="AZ181" s="77"/>
      <c r="BB181" s="96"/>
      <c r="BC181" s="76"/>
      <c r="BD181" s="76"/>
      <c r="BE181" s="76"/>
      <c r="BF181" s="76"/>
      <c r="BG181" s="76"/>
      <c r="BH181" s="76"/>
      <c r="BI181" s="77"/>
      <c r="BJ181" s="96"/>
      <c r="BK181" s="76"/>
      <c r="BL181" s="76"/>
      <c r="BM181" s="77"/>
      <c r="BN181" s="96"/>
      <c r="BO181" s="76"/>
      <c r="BP181" s="76"/>
      <c r="BQ181" s="76"/>
      <c r="BR181" s="76"/>
      <c r="BS181" s="77"/>
      <c r="BT181" s="96"/>
      <c r="BU181" s="76"/>
      <c r="BV181" s="76"/>
      <c r="BW181" s="76"/>
      <c r="BX181" s="77"/>
      <c r="BY181" s="96"/>
      <c r="BZ181" s="76"/>
      <c r="CA181" s="76"/>
      <c r="CB181" s="76"/>
      <c r="CC181" s="76"/>
      <c r="CD181" s="76"/>
      <c r="CE181" s="76"/>
      <c r="CF181" s="76"/>
      <c r="CG181" s="76"/>
      <c r="CH181" s="76"/>
      <c r="CI181" s="76"/>
      <c r="CJ181" s="77"/>
      <c r="CN181" s="96"/>
      <c r="CO181" s="76"/>
      <c r="CP181" s="76"/>
      <c r="CQ181" s="76"/>
      <c r="CR181" s="76"/>
      <c r="CS181" s="76"/>
      <c r="CT181" s="76"/>
      <c r="CU181" s="77"/>
      <c r="CV181" s="96"/>
      <c r="CW181" s="76"/>
      <c r="CX181" s="76"/>
      <c r="CY181" s="77"/>
      <c r="CZ181" s="96"/>
      <c r="DA181" s="76"/>
      <c r="DB181" s="76"/>
      <c r="DC181" s="76"/>
      <c r="DD181" s="76"/>
      <c r="DE181" s="77"/>
      <c r="DF181" s="96"/>
      <c r="DG181" s="76"/>
      <c r="DH181" s="76"/>
      <c r="DI181" s="76"/>
      <c r="DJ181" s="77"/>
      <c r="DK181" s="96"/>
      <c r="DL181" s="76"/>
      <c r="DM181" s="76"/>
      <c r="DN181" s="76"/>
      <c r="DO181" s="76"/>
      <c r="DP181" s="76"/>
      <c r="DQ181" s="76"/>
      <c r="DR181" s="76"/>
      <c r="DS181" s="76"/>
      <c r="DT181" s="76"/>
      <c r="DU181" s="76"/>
      <c r="DV181" s="77"/>
      <c r="DX181" s="140"/>
      <c r="DY181" s="141"/>
      <c r="DZ181" s="141"/>
      <c r="EA181" s="141"/>
      <c r="EB181" s="141"/>
      <c r="EC181" s="141"/>
      <c r="ED181" s="141"/>
      <c r="EE181" s="142"/>
      <c r="EF181" s="140"/>
      <c r="EG181" s="141"/>
      <c r="EH181" s="141"/>
      <c r="EI181" s="142"/>
      <c r="EJ181" s="140"/>
      <c r="EK181" s="141"/>
      <c r="EL181" s="141"/>
      <c r="EM181" s="141"/>
      <c r="EN181" s="141"/>
      <c r="EO181" s="142"/>
      <c r="EP181" s="140"/>
      <c r="EQ181" s="141"/>
      <c r="ER181" s="141"/>
      <c r="ES181" s="141"/>
      <c r="ET181" s="142"/>
      <c r="EU181" s="140"/>
      <c r="EV181" s="141"/>
      <c r="EW181" s="141"/>
      <c r="EX181" s="141"/>
      <c r="EY181" s="141"/>
      <c r="EZ181" s="141"/>
      <c r="FA181" s="141"/>
      <c r="FB181" s="141"/>
      <c r="FC181" s="141"/>
      <c r="FD181" s="141"/>
      <c r="FE181" s="141"/>
      <c r="FF181" s="142"/>
    </row>
    <row r="182" spans="1:162" ht="17.25" thickTop="1" thickBot="1" x14ac:dyDescent="0.3">
      <c r="B182" s="178"/>
      <c r="C182" s="270"/>
      <c r="D182" s="101">
        <f>SUM(D171:D181)</f>
        <v>0</v>
      </c>
      <c r="E182" s="134">
        <f>SUM(E171:E181)</f>
        <v>0</v>
      </c>
      <c r="F182" s="146"/>
      <c r="G182" s="146"/>
      <c r="H182" s="43"/>
      <c r="I182" s="39"/>
      <c r="J182" s="39"/>
      <c r="K182" s="39"/>
      <c r="L182" s="184"/>
      <c r="M182" s="185"/>
      <c r="N182" s="170" t="e">
        <f>AVERAGE(N171:N181)*28</f>
        <v>#DIV/0!</v>
      </c>
      <c r="O182" s="146"/>
      <c r="P182" s="68">
        <f t="shared" ref="P182:AV182" si="3512">SUM(P171:P181)</f>
        <v>0</v>
      </c>
      <c r="Q182" s="65">
        <f t="shared" si="3512"/>
        <v>0</v>
      </c>
      <c r="R182" s="65">
        <f t="shared" si="3512"/>
        <v>0</v>
      </c>
      <c r="S182" s="65">
        <f t="shared" si="3512"/>
        <v>0</v>
      </c>
      <c r="T182" s="65">
        <f t="shared" si="3512"/>
        <v>0</v>
      </c>
      <c r="U182" s="65">
        <f t="shared" si="3512"/>
        <v>0</v>
      </c>
      <c r="V182" s="65">
        <f t="shared" si="3512"/>
        <v>0</v>
      </c>
      <c r="W182" s="66">
        <f t="shared" si="3512"/>
        <v>0</v>
      </c>
      <c r="X182" s="68">
        <f t="shared" si="3512"/>
        <v>0</v>
      </c>
      <c r="Y182" s="65">
        <f t="shared" si="3512"/>
        <v>0</v>
      </c>
      <c r="Z182" s="65">
        <f t="shared" si="3512"/>
        <v>0</v>
      </c>
      <c r="AA182" s="66">
        <f t="shared" si="3512"/>
        <v>0</v>
      </c>
      <c r="AB182" s="68">
        <f t="shared" si="3512"/>
        <v>0</v>
      </c>
      <c r="AC182" s="65">
        <f t="shared" si="3512"/>
        <v>0</v>
      </c>
      <c r="AD182" s="65">
        <f t="shared" si="3512"/>
        <v>0</v>
      </c>
      <c r="AE182" s="65">
        <f t="shared" si="3512"/>
        <v>0</v>
      </c>
      <c r="AF182" s="65">
        <f t="shared" si="3512"/>
        <v>0</v>
      </c>
      <c r="AG182" s="66">
        <f t="shared" si="3512"/>
        <v>0</v>
      </c>
      <c r="AH182" s="68">
        <f t="shared" si="3512"/>
        <v>0</v>
      </c>
      <c r="AI182" s="65">
        <f t="shared" si="3512"/>
        <v>0</v>
      </c>
      <c r="AJ182" s="65">
        <f t="shared" si="3512"/>
        <v>0</v>
      </c>
      <c r="AK182" s="65">
        <f t="shared" si="3512"/>
        <v>0</v>
      </c>
      <c r="AL182" s="66">
        <f t="shared" si="3512"/>
        <v>0</v>
      </c>
      <c r="AM182" s="68">
        <f t="shared" si="3512"/>
        <v>0</v>
      </c>
      <c r="AN182" s="65">
        <f t="shared" si="3512"/>
        <v>0</v>
      </c>
      <c r="AO182" s="65">
        <f t="shared" si="3512"/>
        <v>0</v>
      </c>
      <c r="AP182" s="65">
        <f t="shared" si="3512"/>
        <v>0</v>
      </c>
      <c r="AQ182" s="65">
        <f t="shared" si="3512"/>
        <v>0</v>
      </c>
      <c r="AR182" s="65">
        <f t="shared" si="3512"/>
        <v>0</v>
      </c>
      <c r="AS182" s="65">
        <f t="shared" si="3512"/>
        <v>0</v>
      </c>
      <c r="AT182" s="65">
        <f t="shared" si="3512"/>
        <v>0</v>
      </c>
      <c r="AU182" s="65">
        <f t="shared" si="3512"/>
        <v>0</v>
      </c>
      <c r="AV182" s="65">
        <f t="shared" si="3512"/>
        <v>0</v>
      </c>
      <c r="AW182" s="65">
        <f>SUM(AW169:AW181)</f>
        <v>0</v>
      </c>
      <c r="AX182" s="65">
        <f>SUM(AX169:AX181)</f>
        <v>0</v>
      </c>
      <c r="AY182" s="65">
        <f>SUM(AY171:AY181)</f>
        <v>0</v>
      </c>
      <c r="AZ182" s="66">
        <f>SUM(AZ171:AZ181)</f>
        <v>0</v>
      </c>
      <c r="BB182" s="68" t="e">
        <f t="shared" ref="BB182:CJ182" si="3513">SUM(BB171:BB181)</f>
        <v>#DIV/0!</v>
      </c>
      <c r="BC182" s="65" t="e">
        <f t="shared" si="3513"/>
        <v>#DIV/0!</v>
      </c>
      <c r="BD182" s="65" t="e">
        <f t="shared" si="3513"/>
        <v>#DIV/0!</v>
      </c>
      <c r="BE182" s="65" t="e">
        <f t="shared" si="3513"/>
        <v>#DIV/0!</v>
      </c>
      <c r="BF182" s="65" t="e">
        <f t="shared" si="3513"/>
        <v>#DIV/0!</v>
      </c>
      <c r="BG182" s="65" t="e">
        <f t="shared" si="3513"/>
        <v>#DIV/0!</v>
      </c>
      <c r="BH182" s="65" t="e">
        <f t="shared" si="3513"/>
        <v>#DIV/0!</v>
      </c>
      <c r="BI182" s="66" t="e">
        <f t="shared" si="3513"/>
        <v>#DIV/0!</v>
      </c>
      <c r="BJ182" s="68" t="e">
        <f t="shared" si="3513"/>
        <v>#DIV/0!</v>
      </c>
      <c r="BK182" s="65" t="e">
        <f t="shared" si="3513"/>
        <v>#DIV/0!</v>
      </c>
      <c r="BL182" s="65" t="e">
        <f t="shared" si="3513"/>
        <v>#DIV/0!</v>
      </c>
      <c r="BM182" s="66" t="e">
        <f t="shared" si="3513"/>
        <v>#DIV/0!</v>
      </c>
      <c r="BN182" s="68" t="e">
        <f t="shared" si="3513"/>
        <v>#DIV/0!</v>
      </c>
      <c r="BO182" s="65" t="e">
        <f t="shared" si="3513"/>
        <v>#DIV/0!</v>
      </c>
      <c r="BP182" s="65" t="e">
        <f t="shared" si="3513"/>
        <v>#DIV/0!</v>
      </c>
      <c r="BQ182" s="65" t="e">
        <f t="shared" si="3513"/>
        <v>#DIV/0!</v>
      </c>
      <c r="BR182" s="65" t="e">
        <f t="shared" si="3513"/>
        <v>#DIV/0!</v>
      </c>
      <c r="BS182" s="66" t="e">
        <f t="shared" si="3513"/>
        <v>#DIV/0!</v>
      </c>
      <c r="BT182" s="68" t="e">
        <f t="shared" si="3513"/>
        <v>#DIV/0!</v>
      </c>
      <c r="BU182" s="65" t="e">
        <f t="shared" si="3513"/>
        <v>#DIV/0!</v>
      </c>
      <c r="BV182" s="65" t="e">
        <f t="shared" si="3513"/>
        <v>#DIV/0!</v>
      </c>
      <c r="BW182" s="65" t="e">
        <f t="shared" si="3513"/>
        <v>#DIV/0!</v>
      </c>
      <c r="BX182" s="66" t="e">
        <f t="shared" si="3513"/>
        <v>#DIV/0!</v>
      </c>
      <c r="BY182" s="68" t="e">
        <f t="shared" si="3513"/>
        <v>#DIV/0!</v>
      </c>
      <c r="BZ182" s="65" t="e">
        <f t="shared" si="3513"/>
        <v>#DIV/0!</v>
      </c>
      <c r="CA182" s="65" t="e">
        <f t="shared" si="3513"/>
        <v>#DIV/0!</v>
      </c>
      <c r="CB182" s="65" t="e">
        <f t="shared" si="3513"/>
        <v>#DIV/0!</v>
      </c>
      <c r="CC182" s="65" t="e">
        <f t="shared" si="3513"/>
        <v>#DIV/0!</v>
      </c>
      <c r="CD182" s="65" t="e">
        <f t="shared" si="3513"/>
        <v>#DIV/0!</v>
      </c>
      <c r="CE182" s="65" t="e">
        <f t="shared" si="3513"/>
        <v>#DIV/0!</v>
      </c>
      <c r="CF182" s="65" t="e">
        <f t="shared" si="3513"/>
        <v>#DIV/0!</v>
      </c>
      <c r="CG182" s="65" t="e">
        <f t="shared" si="3513"/>
        <v>#DIV/0!</v>
      </c>
      <c r="CH182" s="65" t="e">
        <f t="shared" si="3513"/>
        <v>#DIV/0!</v>
      </c>
      <c r="CI182" s="65" t="e">
        <f t="shared" si="3513"/>
        <v>#DIV/0!</v>
      </c>
      <c r="CJ182" s="66" t="e">
        <f t="shared" si="3513"/>
        <v>#DIV/0!</v>
      </c>
      <c r="CN182" s="68" t="e">
        <f t="shared" ref="CN182:DV182" si="3514">SUM(CN171:CN181)</f>
        <v>#DIV/0!</v>
      </c>
      <c r="CO182" s="65" t="e">
        <f t="shared" si="3514"/>
        <v>#DIV/0!</v>
      </c>
      <c r="CP182" s="65" t="e">
        <f t="shared" si="3514"/>
        <v>#DIV/0!</v>
      </c>
      <c r="CQ182" s="65" t="e">
        <f t="shared" si="3514"/>
        <v>#DIV/0!</v>
      </c>
      <c r="CR182" s="65" t="e">
        <f t="shared" si="3514"/>
        <v>#DIV/0!</v>
      </c>
      <c r="CS182" s="65" t="e">
        <f t="shared" si="3514"/>
        <v>#DIV/0!</v>
      </c>
      <c r="CT182" s="65" t="e">
        <f t="shared" si="3514"/>
        <v>#DIV/0!</v>
      </c>
      <c r="CU182" s="66" t="e">
        <f t="shared" si="3514"/>
        <v>#DIV/0!</v>
      </c>
      <c r="CV182" s="68" t="e">
        <f t="shared" si="3514"/>
        <v>#DIV/0!</v>
      </c>
      <c r="CW182" s="65" t="e">
        <f t="shared" si="3514"/>
        <v>#DIV/0!</v>
      </c>
      <c r="CX182" s="65" t="e">
        <f t="shared" si="3514"/>
        <v>#DIV/0!</v>
      </c>
      <c r="CY182" s="66" t="e">
        <f t="shared" si="3514"/>
        <v>#DIV/0!</v>
      </c>
      <c r="CZ182" s="68" t="e">
        <f t="shared" si="3514"/>
        <v>#DIV/0!</v>
      </c>
      <c r="DA182" s="65" t="e">
        <f t="shared" si="3514"/>
        <v>#DIV/0!</v>
      </c>
      <c r="DB182" s="65" t="e">
        <f t="shared" si="3514"/>
        <v>#DIV/0!</v>
      </c>
      <c r="DC182" s="65" t="e">
        <f t="shared" si="3514"/>
        <v>#DIV/0!</v>
      </c>
      <c r="DD182" s="65" t="e">
        <f t="shared" si="3514"/>
        <v>#DIV/0!</v>
      </c>
      <c r="DE182" s="66" t="e">
        <f t="shared" si="3514"/>
        <v>#DIV/0!</v>
      </c>
      <c r="DF182" s="68" t="e">
        <f t="shared" si="3514"/>
        <v>#DIV/0!</v>
      </c>
      <c r="DG182" s="65" t="e">
        <f t="shared" si="3514"/>
        <v>#DIV/0!</v>
      </c>
      <c r="DH182" s="65" t="e">
        <f t="shared" si="3514"/>
        <v>#DIV/0!</v>
      </c>
      <c r="DI182" s="65" t="e">
        <f t="shared" si="3514"/>
        <v>#DIV/0!</v>
      </c>
      <c r="DJ182" s="66" t="e">
        <f t="shared" si="3514"/>
        <v>#DIV/0!</v>
      </c>
      <c r="DK182" s="68" t="e">
        <f t="shared" si="3514"/>
        <v>#DIV/0!</v>
      </c>
      <c r="DL182" s="65" t="e">
        <f t="shared" si="3514"/>
        <v>#DIV/0!</v>
      </c>
      <c r="DM182" s="65" t="e">
        <f t="shared" si="3514"/>
        <v>#DIV/0!</v>
      </c>
      <c r="DN182" s="65" t="e">
        <f t="shared" si="3514"/>
        <v>#DIV/0!</v>
      </c>
      <c r="DO182" s="65" t="e">
        <f t="shared" si="3514"/>
        <v>#DIV/0!</v>
      </c>
      <c r="DP182" s="65" t="e">
        <f t="shared" si="3514"/>
        <v>#DIV/0!</v>
      </c>
      <c r="DQ182" s="65" t="e">
        <f t="shared" si="3514"/>
        <v>#DIV/0!</v>
      </c>
      <c r="DR182" s="65" t="e">
        <f t="shared" si="3514"/>
        <v>#DIV/0!</v>
      </c>
      <c r="DS182" s="65" t="e">
        <f t="shared" si="3514"/>
        <v>#DIV/0!</v>
      </c>
      <c r="DT182" s="65" t="e">
        <f t="shared" si="3514"/>
        <v>#DIV/0!</v>
      </c>
      <c r="DU182" s="65" t="e">
        <f t="shared" si="3514"/>
        <v>#DIV/0!</v>
      </c>
      <c r="DV182" s="66" t="e">
        <f t="shared" si="3514"/>
        <v>#DIV/0!</v>
      </c>
      <c r="DX182" s="143" t="e">
        <f t="shared" ref="DX182:FF182" si="3515">AVERAGE(DX171:DX181)</f>
        <v>#DIV/0!</v>
      </c>
      <c r="DY182" s="144" t="e">
        <f t="shared" si="3515"/>
        <v>#DIV/0!</v>
      </c>
      <c r="DZ182" s="144" t="e">
        <f t="shared" si="3515"/>
        <v>#DIV/0!</v>
      </c>
      <c r="EA182" s="144" t="e">
        <f t="shared" si="3515"/>
        <v>#DIV/0!</v>
      </c>
      <c r="EB182" s="144" t="e">
        <f t="shared" si="3515"/>
        <v>#DIV/0!</v>
      </c>
      <c r="EC182" s="144" t="e">
        <f t="shared" si="3515"/>
        <v>#DIV/0!</v>
      </c>
      <c r="ED182" s="144" t="e">
        <f t="shared" si="3515"/>
        <v>#DIV/0!</v>
      </c>
      <c r="EE182" s="145" t="e">
        <f t="shared" si="3515"/>
        <v>#DIV/0!</v>
      </c>
      <c r="EF182" s="143" t="e">
        <f t="shared" si="3515"/>
        <v>#DIV/0!</v>
      </c>
      <c r="EG182" s="144" t="e">
        <f t="shared" si="3515"/>
        <v>#DIV/0!</v>
      </c>
      <c r="EH182" s="144" t="e">
        <f t="shared" si="3515"/>
        <v>#DIV/0!</v>
      </c>
      <c r="EI182" s="145" t="e">
        <f t="shared" si="3515"/>
        <v>#DIV/0!</v>
      </c>
      <c r="EJ182" s="143" t="e">
        <f t="shared" si="3515"/>
        <v>#DIV/0!</v>
      </c>
      <c r="EK182" s="144" t="e">
        <f t="shared" si="3515"/>
        <v>#DIV/0!</v>
      </c>
      <c r="EL182" s="144" t="e">
        <f t="shared" si="3515"/>
        <v>#DIV/0!</v>
      </c>
      <c r="EM182" s="144" t="e">
        <f t="shared" si="3515"/>
        <v>#DIV/0!</v>
      </c>
      <c r="EN182" s="144" t="e">
        <f t="shared" si="3515"/>
        <v>#DIV/0!</v>
      </c>
      <c r="EO182" s="144" t="e">
        <f t="shared" si="3515"/>
        <v>#DIV/0!</v>
      </c>
      <c r="EP182" s="143" t="e">
        <f t="shared" si="3515"/>
        <v>#DIV/0!</v>
      </c>
      <c r="EQ182" s="144" t="e">
        <f t="shared" si="3515"/>
        <v>#DIV/0!</v>
      </c>
      <c r="ER182" s="144" t="e">
        <f t="shared" si="3515"/>
        <v>#DIV/0!</v>
      </c>
      <c r="ES182" s="144" t="e">
        <f t="shared" si="3515"/>
        <v>#DIV/0!</v>
      </c>
      <c r="ET182" s="145" t="e">
        <f t="shared" si="3515"/>
        <v>#DIV/0!</v>
      </c>
      <c r="EU182" s="143" t="e">
        <f t="shared" si="3515"/>
        <v>#DIV/0!</v>
      </c>
      <c r="EV182" s="144" t="e">
        <f t="shared" si="3515"/>
        <v>#DIV/0!</v>
      </c>
      <c r="EW182" s="144" t="e">
        <f t="shared" si="3515"/>
        <v>#DIV/0!</v>
      </c>
      <c r="EX182" s="144" t="e">
        <f t="shared" si="3515"/>
        <v>#DIV/0!</v>
      </c>
      <c r="EY182" s="144" t="e">
        <f t="shared" si="3515"/>
        <v>#DIV/0!</v>
      </c>
      <c r="EZ182" s="144" t="e">
        <f t="shared" si="3515"/>
        <v>#DIV/0!</v>
      </c>
      <c r="FA182" s="144" t="e">
        <f t="shared" si="3515"/>
        <v>#DIV/0!</v>
      </c>
      <c r="FB182" s="144" t="e">
        <f t="shared" si="3515"/>
        <v>#DIV/0!</v>
      </c>
      <c r="FC182" s="144" t="e">
        <f t="shared" si="3515"/>
        <v>#DIV/0!</v>
      </c>
      <c r="FD182" s="144" t="e">
        <f t="shared" si="3515"/>
        <v>#DIV/0!</v>
      </c>
      <c r="FE182" s="144" t="e">
        <f t="shared" si="3515"/>
        <v>#DIV/0!</v>
      </c>
      <c r="FF182" s="145" t="e">
        <f t="shared" si="3515"/>
        <v>#DIV/0!</v>
      </c>
    </row>
    <row r="183" spans="1:162" ht="16.5" thickBot="1" x14ac:dyDescent="0.3">
      <c r="L183" s="253" t="s">
        <v>147</v>
      </c>
    </row>
    <row r="184" spans="1:162" x14ac:dyDescent="0.25">
      <c r="A184" s="296"/>
      <c r="B184" s="176">
        <v>43102</v>
      </c>
      <c r="C184" s="269"/>
      <c r="D184" s="103"/>
      <c r="E184" s="156"/>
      <c r="F184" s="25"/>
      <c r="G184" s="25"/>
      <c r="H184" s="179"/>
      <c r="I184" s="180"/>
      <c r="J184" s="181"/>
      <c r="K184" s="181"/>
      <c r="L184" s="182">
        <v>8.5</v>
      </c>
      <c r="M184" s="182" t="e">
        <f t="shared" ref="M184:M193" si="3516">H184/I184*K184*L184*1.5</f>
        <v>#DIV/0!</v>
      </c>
      <c r="N184" s="183" t="e">
        <f t="shared" ref="N184:N193" si="3517">H184/I184*J184*L184*N$4</f>
        <v>#DIV/0!</v>
      </c>
      <c r="P184" s="157"/>
      <c r="Q184" s="158"/>
      <c r="R184" s="158"/>
      <c r="S184" s="158"/>
      <c r="T184" s="158"/>
      <c r="U184" s="158"/>
      <c r="V184" s="158"/>
      <c r="W184" s="159"/>
      <c r="X184" s="157"/>
      <c r="Y184" s="158"/>
      <c r="Z184" s="158"/>
      <c r="AA184" s="159"/>
      <c r="AB184" s="157"/>
      <c r="AC184" s="158"/>
      <c r="AD184" s="158"/>
      <c r="AE184" s="158"/>
      <c r="AF184" s="158"/>
      <c r="AG184" s="159"/>
      <c r="AH184" s="157"/>
      <c r="AI184" s="158"/>
      <c r="AJ184" s="158"/>
      <c r="AK184" s="158"/>
      <c r="AL184" s="159"/>
      <c r="AM184" s="157"/>
      <c r="AN184" s="158"/>
      <c r="AO184" s="158"/>
      <c r="AP184" s="158"/>
      <c r="AQ184" s="158"/>
      <c r="AR184" s="158"/>
      <c r="AS184" s="158"/>
      <c r="AT184" s="158"/>
      <c r="AU184" s="158"/>
      <c r="AV184" s="158"/>
      <c r="AW184" s="158"/>
      <c r="AX184" s="158"/>
      <c r="AY184" s="158"/>
      <c r="AZ184" s="159"/>
      <c r="BB184" s="157" t="e">
        <f t="shared" ref="BB184:BB193" si="3518">$N184*DX184</f>
        <v>#DIV/0!</v>
      </c>
      <c r="BC184" s="158" t="e">
        <f t="shared" ref="BC184:BC193" si="3519">$N184*DY184</f>
        <v>#DIV/0!</v>
      </c>
      <c r="BD184" s="158" t="e">
        <f t="shared" ref="BD184:BD193" si="3520">$N184*DZ184</f>
        <v>#DIV/0!</v>
      </c>
      <c r="BE184" s="158" t="e">
        <f t="shared" ref="BE184:BE193" si="3521">$N184*EA184</f>
        <v>#DIV/0!</v>
      </c>
      <c r="BF184" s="158" t="e">
        <f t="shared" ref="BF184:BF193" si="3522">$N184*EB184</f>
        <v>#DIV/0!</v>
      </c>
      <c r="BG184" s="158" t="e">
        <f t="shared" ref="BG184:BG193" si="3523">$N184*EC184</f>
        <v>#DIV/0!</v>
      </c>
      <c r="BH184" s="158" t="e">
        <f t="shared" ref="BH184:BH193" si="3524">$N184*ED184</f>
        <v>#DIV/0!</v>
      </c>
      <c r="BI184" s="159" t="e">
        <f t="shared" ref="BI184:BI193" si="3525">$N184*EE184</f>
        <v>#DIV/0!</v>
      </c>
      <c r="BJ184" s="157" t="e">
        <f t="shared" ref="BJ184:BJ193" si="3526">$N184*EF184</f>
        <v>#DIV/0!</v>
      </c>
      <c r="BK184" s="158" t="e">
        <f t="shared" ref="BK184:BK193" si="3527">$N184*EG184</f>
        <v>#DIV/0!</v>
      </c>
      <c r="BL184" s="158" t="e">
        <f t="shared" ref="BL184:BL193" si="3528">$N184*EH184</f>
        <v>#DIV/0!</v>
      </c>
      <c r="BM184" s="159" t="e">
        <f t="shared" ref="BM184:BM193" si="3529">$N184*EI184</f>
        <v>#DIV/0!</v>
      </c>
      <c r="BN184" s="157" t="e">
        <f t="shared" ref="BN184:BN193" si="3530">$N184*EJ184</f>
        <v>#DIV/0!</v>
      </c>
      <c r="BO184" s="158" t="e">
        <f t="shared" ref="BO184:BO193" si="3531">$N184*EK184</f>
        <v>#DIV/0!</v>
      </c>
      <c r="BP184" s="158" t="e">
        <f t="shared" ref="BP184:BP193" si="3532">$N184*EL184</f>
        <v>#DIV/0!</v>
      </c>
      <c r="BQ184" s="158" t="e">
        <f t="shared" ref="BQ184:BQ193" si="3533">$N184*EM184</f>
        <v>#DIV/0!</v>
      </c>
      <c r="BR184" s="158" t="e">
        <f t="shared" ref="BR184:BR193" si="3534">$N184*EN184</f>
        <v>#DIV/0!</v>
      </c>
      <c r="BS184" s="159" t="e">
        <f t="shared" ref="BS184:BS193" si="3535">$N184*EO184</f>
        <v>#DIV/0!</v>
      </c>
      <c r="BT184" s="157" t="e">
        <f t="shared" ref="BT184:BT193" si="3536">$N184*EP184</f>
        <v>#DIV/0!</v>
      </c>
      <c r="BU184" s="158" t="e">
        <f t="shared" ref="BU184:BU193" si="3537">$N184*EQ184</f>
        <v>#DIV/0!</v>
      </c>
      <c r="BV184" s="158" t="e">
        <f t="shared" ref="BV184:BV193" si="3538">$N184*ER184</f>
        <v>#DIV/0!</v>
      </c>
      <c r="BW184" s="158" t="e">
        <f t="shared" ref="BW184:BW193" si="3539">$N184*ES184</f>
        <v>#DIV/0!</v>
      </c>
      <c r="BX184" s="159" t="e">
        <f t="shared" ref="BX184:BX193" si="3540">$N184*ET184</f>
        <v>#DIV/0!</v>
      </c>
      <c r="BY184" s="157" t="e">
        <f t="shared" ref="BY184:BY193" si="3541">$N184*EU184</f>
        <v>#DIV/0!</v>
      </c>
      <c r="BZ184" s="158" t="e">
        <f t="shared" ref="BZ184:BZ193" si="3542">$N184*EV184</f>
        <v>#DIV/0!</v>
      </c>
      <c r="CA184" s="158" t="e">
        <f t="shared" ref="CA184:CA193" si="3543">$N184*EW184</f>
        <v>#DIV/0!</v>
      </c>
      <c r="CB184" s="158" t="e">
        <f t="shared" ref="CB184:CB193" si="3544">$N184*EX184</f>
        <v>#DIV/0!</v>
      </c>
      <c r="CC184" s="158" t="e">
        <f t="shared" ref="CC184:CC193" si="3545">$N184*EY184</f>
        <v>#DIV/0!</v>
      </c>
      <c r="CD184" s="158" t="e">
        <f t="shared" ref="CD184:CD193" si="3546">$N184*EZ184</f>
        <v>#DIV/0!</v>
      </c>
      <c r="CE184" s="158" t="e">
        <f t="shared" ref="CE184:CE193" si="3547">$N184*FA184</f>
        <v>#DIV/0!</v>
      </c>
      <c r="CF184" s="158" t="e">
        <f t="shared" ref="CF184:CF193" si="3548">$N184*FB184</f>
        <v>#DIV/0!</v>
      </c>
      <c r="CG184" s="158" t="e">
        <f t="shared" ref="CG184:CG193" si="3549">$N184*FC184</f>
        <v>#DIV/0!</v>
      </c>
      <c r="CH184" s="158" t="e">
        <f t="shared" ref="CH184:CH193" si="3550">$N184*FD184</f>
        <v>#DIV/0!</v>
      </c>
      <c r="CI184" s="158" t="e">
        <f t="shared" ref="CI184:CI193" si="3551">$N184*FE184</f>
        <v>#DIV/0!</v>
      </c>
      <c r="CJ184" s="159" t="e">
        <f t="shared" ref="CJ184:CJ193" si="3552">$N184*FF184</f>
        <v>#DIV/0!</v>
      </c>
      <c r="CL184" s="36">
        <v>31</v>
      </c>
      <c r="CN184" s="157" t="e">
        <f t="shared" ref="CN184:DV184" si="3553">AVERAGE(BB184:BB193)*$CL184</f>
        <v>#DIV/0!</v>
      </c>
      <c r="CO184" s="158" t="e">
        <f t="shared" si="3553"/>
        <v>#DIV/0!</v>
      </c>
      <c r="CP184" s="158" t="e">
        <f t="shared" si="3553"/>
        <v>#DIV/0!</v>
      </c>
      <c r="CQ184" s="158" t="e">
        <f t="shared" si="3553"/>
        <v>#DIV/0!</v>
      </c>
      <c r="CR184" s="158" t="e">
        <f t="shared" si="3553"/>
        <v>#DIV/0!</v>
      </c>
      <c r="CS184" s="158" t="e">
        <f t="shared" si="3553"/>
        <v>#DIV/0!</v>
      </c>
      <c r="CT184" s="158" t="e">
        <f t="shared" si="3553"/>
        <v>#DIV/0!</v>
      </c>
      <c r="CU184" s="159" t="e">
        <f t="shared" si="3553"/>
        <v>#DIV/0!</v>
      </c>
      <c r="CV184" s="157" t="e">
        <f t="shared" si="3553"/>
        <v>#DIV/0!</v>
      </c>
      <c r="CW184" s="158" t="e">
        <f t="shared" si="3553"/>
        <v>#DIV/0!</v>
      </c>
      <c r="CX184" s="158" t="e">
        <f t="shared" si="3553"/>
        <v>#DIV/0!</v>
      </c>
      <c r="CY184" s="159" t="e">
        <f t="shared" si="3553"/>
        <v>#DIV/0!</v>
      </c>
      <c r="CZ184" s="157" t="e">
        <f t="shared" si="3553"/>
        <v>#DIV/0!</v>
      </c>
      <c r="DA184" s="158" t="e">
        <f t="shared" si="3553"/>
        <v>#DIV/0!</v>
      </c>
      <c r="DB184" s="158" t="e">
        <f t="shared" si="3553"/>
        <v>#DIV/0!</v>
      </c>
      <c r="DC184" s="158" t="e">
        <f t="shared" si="3553"/>
        <v>#DIV/0!</v>
      </c>
      <c r="DD184" s="158" t="e">
        <f t="shared" si="3553"/>
        <v>#DIV/0!</v>
      </c>
      <c r="DE184" s="159" t="e">
        <f t="shared" si="3553"/>
        <v>#DIV/0!</v>
      </c>
      <c r="DF184" s="157" t="e">
        <f t="shared" si="3553"/>
        <v>#DIV/0!</v>
      </c>
      <c r="DG184" s="158" t="e">
        <f t="shared" si="3553"/>
        <v>#DIV/0!</v>
      </c>
      <c r="DH184" s="158" t="e">
        <f t="shared" si="3553"/>
        <v>#DIV/0!</v>
      </c>
      <c r="DI184" s="158" t="e">
        <f t="shared" si="3553"/>
        <v>#DIV/0!</v>
      </c>
      <c r="DJ184" s="159" t="e">
        <f t="shared" si="3553"/>
        <v>#DIV/0!</v>
      </c>
      <c r="DK184" s="157" t="e">
        <f t="shared" si="3553"/>
        <v>#DIV/0!</v>
      </c>
      <c r="DL184" s="158" t="e">
        <f t="shared" si="3553"/>
        <v>#DIV/0!</v>
      </c>
      <c r="DM184" s="158" t="e">
        <f t="shared" si="3553"/>
        <v>#DIV/0!</v>
      </c>
      <c r="DN184" s="158" t="e">
        <f t="shared" si="3553"/>
        <v>#DIV/0!</v>
      </c>
      <c r="DO184" s="158" t="e">
        <f t="shared" si="3553"/>
        <v>#DIV/0!</v>
      </c>
      <c r="DP184" s="158" t="e">
        <f t="shared" si="3553"/>
        <v>#DIV/0!</v>
      </c>
      <c r="DQ184" s="158" t="e">
        <f t="shared" si="3553"/>
        <v>#DIV/0!</v>
      </c>
      <c r="DR184" s="158" t="e">
        <f t="shared" si="3553"/>
        <v>#DIV/0!</v>
      </c>
      <c r="DS184" s="158" t="e">
        <f t="shared" si="3553"/>
        <v>#DIV/0!</v>
      </c>
      <c r="DT184" s="158" t="e">
        <f t="shared" si="3553"/>
        <v>#DIV/0!</v>
      </c>
      <c r="DU184" s="158" t="e">
        <f t="shared" si="3553"/>
        <v>#DIV/0!</v>
      </c>
      <c r="DV184" s="159" t="e">
        <f t="shared" si="3553"/>
        <v>#DIV/0!</v>
      </c>
      <c r="DX184" s="186" t="e">
        <f t="shared" ref="DX184:DX193" si="3554">P184/$E184</f>
        <v>#DIV/0!</v>
      </c>
      <c r="DY184" s="187" t="e">
        <f t="shared" ref="DY184:DY185" si="3555">Q184/$E184</f>
        <v>#DIV/0!</v>
      </c>
      <c r="DZ184" s="187" t="e">
        <f t="shared" ref="DZ184:DZ185" si="3556">R184/$E184</f>
        <v>#DIV/0!</v>
      </c>
      <c r="EA184" s="187" t="e">
        <f t="shared" ref="EA184:EA185" si="3557">S184/$E184</f>
        <v>#DIV/0!</v>
      </c>
      <c r="EB184" s="187" t="e">
        <f t="shared" ref="EB184:EB185" si="3558">T184/$E184</f>
        <v>#DIV/0!</v>
      </c>
      <c r="EC184" s="187" t="e">
        <f t="shared" ref="EC184:EC185" si="3559">U184/$E184</f>
        <v>#DIV/0!</v>
      </c>
      <c r="ED184" s="187" t="e">
        <f t="shared" ref="ED184:ED185" si="3560">V184/$E184</f>
        <v>#DIV/0!</v>
      </c>
      <c r="EE184" s="188" t="e">
        <f t="shared" ref="EE184:EE185" si="3561">W184/$E184</f>
        <v>#DIV/0!</v>
      </c>
      <c r="EF184" s="186" t="e">
        <f t="shared" ref="EF184:EF185" si="3562">X184/$E184</f>
        <v>#DIV/0!</v>
      </c>
      <c r="EG184" s="187" t="e">
        <f t="shared" ref="EG184:EG185" si="3563">Y184/$E184</f>
        <v>#DIV/0!</v>
      </c>
      <c r="EH184" s="187" t="e">
        <f t="shared" ref="EH184:EH185" si="3564">Z184/$E184</f>
        <v>#DIV/0!</v>
      </c>
      <c r="EI184" s="188" t="e">
        <f t="shared" ref="EI184:EI185" si="3565">AA184/$E184</f>
        <v>#DIV/0!</v>
      </c>
      <c r="EJ184" s="186" t="e">
        <f t="shared" ref="EJ184:EJ185" si="3566">AB184/$E184</f>
        <v>#DIV/0!</v>
      </c>
      <c r="EK184" s="187" t="e">
        <f t="shared" ref="EK184:EK185" si="3567">AC184/$E184</f>
        <v>#DIV/0!</v>
      </c>
      <c r="EL184" s="187" t="e">
        <f t="shared" ref="EL184:EL185" si="3568">AD184/$E184</f>
        <v>#DIV/0!</v>
      </c>
      <c r="EM184" s="187" t="e">
        <f t="shared" ref="EM184:EM185" si="3569">AE184/$E184</f>
        <v>#DIV/0!</v>
      </c>
      <c r="EN184" s="187" t="e">
        <f t="shared" ref="EN184:EN185" si="3570">AF184/$E184</f>
        <v>#DIV/0!</v>
      </c>
      <c r="EO184" s="188" t="e">
        <f t="shared" ref="EO184:EO185" si="3571">AG184/$E184</f>
        <v>#DIV/0!</v>
      </c>
      <c r="EP184" s="186" t="e">
        <f t="shared" ref="EP184:EP185" si="3572">AH184/$E184</f>
        <v>#DIV/0!</v>
      </c>
      <c r="EQ184" s="187" t="e">
        <f t="shared" ref="EQ184:EQ185" si="3573">AI184/$E184</f>
        <v>#DIV/0!</v>
      </c>
      <c r="ER184" s="187" t="e">
        <f t="shared" ref="ER184:ER185" si="3574">AJ184/$E184</f>
        <v>#DIV/0!</v>
      </c>
      <c r="ES184" s="187" t="e">
        <f t="shared" ref="ES184:ES185" si="3575">AK184/$E184</f>
        <v>#DIV/0!</v>
      </c>
      <c r="ET184" s="188" t="e">
        <f t="shared" ref="ET184:ET185" si="3576">AL184/$E184</f>
        <v>#DIV/0!</v>
      </c>
      <c r="EU184" s="186" t="e">
        <f t="shared" ref="EU184:EU185" si="3577">AM184/$E184</f>
        <v>#DIV/0!</v>
      </c>
      <c r="EV184" s="187" t="e">
        <f t="shared" ref="EV184:EV185" si="3578">AN184/$E184</f>
        <v>#DIV/0!</v>
      </c>
      <c r="EW184" s="187" t="e">
        <f t="shared" ref="EW184:EW185" si="3579">AO184/$E184</f>
        <v>#DIV/0!</v>
      </c>
      <c r="EX184" s="187" t="e">
        <f t="shared" ref="EX184:EX185" si="3580">AP184/$E184</f>
        <v>#DIV/0!</v>
      </c>
      <c r="EY184" s="187" t="e">
        <f t="shared" ref="EY184:EY185" si="3581">AQ184/$E184</f>
        <v>#DIV/0!</v>
      </c>
      <c r="EZ184" s="187" t="e">
        <f t="shared" ref="EZ184:EZ185" si="3582">AR184/$E184</f>
        <v>#DIV/0!</v>
      </c>
      <c r="FA184" s="187" t="e">
        <f t="shared" ref="FA184:FA185" si="3583">AS184/$E184</f>
        <v>#DIV/0!</v>
      </c>
      <c r="FB184" s="187" t="e">
        <f t="shared" ref="FB184:FB185" si="3584">AT184/$E184</f>
        <v>#DIV/0!</v>
      </c>
      <c r="FC184" s="187" t="e">
        <f t="shared" ref="FC184:FC185" si="3585">AU184/$E184</f>
        <v>#DIV/0!</v>
      </c>
      <c r="FD184" s="187" t="e">
        <f t="shared" ref="FD184:FD185" si="3586">AV184/$E184</f>
        <v>#DIV/0!</v>
      </c>
      <c r="FE184" s="187" t="e">
        <f t="shared" ref="FE184:FE185" si="3587">AY184/$E184</f>
        <v>#DIV/0!</v>
      </c>
      <c r="FF184" s="188" t="e">
        <f t="shared" ref="FF184:FF185" si="3588">AZ184/$E184</f>
        <v>#DIV/0!</v>
      </c>
    </row>
    <row r="185" spans="1:162" x14ac:dyDescent="0.25">
      <c r="B185" s="177">
        <v>43104</v>
      </c>
      <c r="C185" s="271"/>
      <c r="D185" s="53"/>
      <c r="E185" s="129"/>
      <c r="F185" s="25"/>
      <c r="G185" s="25"/>
      <c r="H185" s="150"/>
      <c r="I185" s="24"/>
      <c r="J185" s="151"/>
      <c r="K185" s="151"/>
      <c r="L185" s="152">
        <v>8.5</v>
      </c>
      <c r="M185" s="152" t="e">
        <f t="shared" si="3516"/>
        <v>#DIV/0!</v>
      </c>
      <c r="N185" s="153" t="e">
        <f t="shared" si="3517"/>
        <v>#DIV/0!</v>
      </c>
      <c r="O185" s="25"/>
      <c r="P185" s="95"/>
      <c r="Q185" s="41"/>
      <c r="R185" s="41"/>
      <c r="S185" s="41"/>
      <c r="T185" s="41"/>
      <c r="U185" s="41"/>
      <c r="V185" s="41"/>
      <c r="W185" s="42"/>
      <c r="X185" s="95"/>
      <c r="Y185" s="41"/>
      <c r="Z185" s="41"/>
      <c r="AA185" s="42"/>
      <c r="AB185" s="95"/>
      <c r="AC185" s="41"/>
      <c r="AD185" s="41"/>
      <c r="AE185" s="41"/>
      <c r="AF185" s="41"/>
      <c r="AG185" s="42"/>
      <c r="AH185" s="95"/>
      <c r="AI185" s="41"/>
      <c r="AJ185" s="41"/>
      <c r="AK185" s="41"/>
      <c r="AL185" s="42"/>
      <c r="AM185" s="95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2"/>
      <c r="BB185" s="95" t="e">
        <f t="shared" si="3518"/>
        <v>#DIV/0!</v>
      </c>
      <c r="BC185" s="41" t="e">
        <f t="shared" si="3519"/>
        <v>#DIV/0!</v>
      </c>
      <c r="BD185" s="41" t="e">
        <f t="shared" si="3520"/>
        <v>#DIV/0!</v>
      </c>
      <c r="BE185" s="41" t="e">
        <f t="shared" si="3521"/>
        <v>#DIV/0!</v>
      </c>
      <c r="BF185" s="41" t="e">
        <f t="shared" si="3522"/>
        <v>#DIV/0!</v>
      </c>
      <c r="BG185" s="41" t="e">
        <f t="shared" si="3523"/>
        <v>#DIV/0!</v>
      </c>
      <c r="BH185" s="41" t="e">
        <f t="shared" si="3524"/>
        <v>#DIV/0!</v>
      </c>
      <c r="BI185" s="42" t="e">
        <f t="shared" si="3525"/>
        <v>#DIV/0!</v>
      </c>
      <c r="BJ185" s="95" t="e">
        <f t="shared" si="3526"/>
        <v>#DIV/0!</v>
      </c>
      <c r="BK185" s="41" t="e">
        <f t="shared" si="3527"/>
        <v>#DIV/0!</v>
      </c>
      <c r="BL185" s="41" t="e">
        <f t="shared" si="3528"/>
        <v>#DIV/0!</v>
      </c>
      <c r="BM185" s="42" t="e">
        <f t="shared" si="3529"/>
        <v>#DIV/0!</v>
      </c>
      <c r="BN185" s="95" t="e">
        <f t="shared" si="3530"/>
        <v>#DIV/0!</v>
      </c>
      <c r="BO185" s="41" t="e">
        <f t="shared" si="3531"/>
        <v>#DIV/0!</v>
      </c>
      <c r="BP185" s="41" t="e">
        <f t="shared" si="3532"/>
        <v>#DIV/0!</v>
      </c>
      <c r="BQ185" s="41" t="e">
        <f t="shared" si="3533"/>
        <v>#DIV/0!</v>
      </c>
      <c r="BR185" s="41" t="e">
        <f t="shared" si="3534"/>
        <v>#DIV/0!</v>
      </c>
      <c r="BS185" s="42" t="e">
        <f t="shared" si="3535"/>
        <v>#DIV/0!</v>
      </c>
      <c r="BT185" s="95" t="e">
        <f t="shared" si="3536"/>
        <v>#DIV/0!</v>
      </c>
      <c r="BU185" s="41" t="e">
        <f t="shared" si="3537"/>
        <v>#DIV/0!</v>
      </c>
      <c r="BV185" s="41" t="e">
        <f t="shared" si="3538"/>
        <v>#DIV/0!</v>
      </c>
      <c r="BW185" s="41" t="e">
        <f t="shared" si="3539"/>
        <v>#DIV/0!</v>
      </c>
      <c r="BX185" s="42" t="e">
        <f t="shared" si="3540"/>
        <v>#DIV/0!</v>
      </c>
      <c r="BY185" s="95" t="e">
        <f t="shared" si="3541"/>
        <v>#DIV/0!</v>
      </c>
      <c r="BZ185" s="41" t="e">
        <f t="shared" si="3542"/>
        <v>#DIV/0!</v>
      </c>
      <c r="CA185" s="41" t="e">
        <f t="shared" si="3543"/>
        <v>#DIV/0!</v>
      </c>
      <c r="CB185" s="41" t="e">
        <f t="shared" si="3544"/>
        <v>#DIV/0!</v>
      </c>
      <c r="CC185" s="41" t="e">
        <f t="shared" si="3545"/>
        <v>#DIV/0!</v>
      </c>
      <c r="CD185" s="41" t="e">
        <f t="shared" si="3546"/>
        <v>#DIV/0!</v>
      </c>
      <c r="CE185" s="41" t="e">
        <f t="shared" si="3547"/>
        <v>#DIV/0!</v>
      </c>
      <c r="CF185" s="41" t="e">
        <f t="shared" si="3548"/>
        <v>#DIV/0!</v>
      </c>
      <c r="CG185" s="41" t="e">
        <f t="shared" si="3549"/>
        <v>#DIV/0!</v>
      </c>
      <c r="CH185" s="41" t="e">
        <f t="shared" si="3550"/>
        <v>#DIV/0!</v>
      </c>
      <c r="CI185" s="41" t="e">
        <f t="shared" si="3551"/>
        <v>#DIV/0!</v>
      </c>
      <c r="CJ185" s="42" t="e">
        <f t="shared" si="3552"/>
        <v>#DIV/0!</v>
      </c>
      <c r="CL185" s="36"/>
      <c r="CN185" s="95"/>
      <c r="CO185" s="41"/>
      <c r="CP185" s="41"/>
      <c r="CQ185" s="41"/>
      <c r="CR185" s="41"/>
      <c r="CS185" s="41"/>
      <c r="CT185" s="41"/>
      <c r="CU185" s="42"/>
      <c r="CV185" s="95"/>
      <c r="CW185" s="41"/>
      <c r="CX185" s="41"/>
      <c r="CY185" s="42"/>
      <c r="CZ185" s="95"/>
      <c r="DA185" s="41"/>
      <c r="DB185" s="41"/>
      <c r="DC185" s="41"/>
      <c r="DD185" s="41"/>
      <c r="DE185" s="42"/>
      <c r="DF185" s="95"/>
      <c r="DG185" s="41"/>
      <c r="DH185" s="41"/>
      <c r="DI185" s="41"/>
      <c r="DJ185" s="42"/>
      <c r="DK185" s="95"/>
      <c r="DL185" s="41"/>
      <c r="DM185" s="41"/>
      <c r="DN185" s="41"/>
      <c r="DO185" s="41"/>
      <c r="DP185" s="41"/>
      <c r="DQ185" s="41"/>
      <c r="DR185" s="41"/>
      <c r="DS185" s="41"/>
      <c r="DT185" s="41"/>
      <c r="DU185" s="41"/>
      <c r="DV185" s="42"/>
      <c r="DX185" s="138" t="e">
        <f t="shared" si="3554"/>
        <v>#DIV/0!</v>
      </c>
      <c r="DY185" s="34" t="e">
        <f t="shared" si="3555"/>
        <v>#DIV/0!</v>
      </c>
      <c r="DZ185" s="34" t="e">
        <f t="shared" si="3556"/>
        <v>#DIV/0!</v>
      </c>
      <c r="EA185" s="34" t="e">
        <f t="shared" si="3557"/>
        <v>#DIV/0!</v>
      </c>
      <c r="EB185" s="34" t="e">
        <f t="shared" si="3558"/>
        <v>#DIV/0!</v>
      </c>
      <c r="EC185" s="34" t="e">
        <f t="shared" si="3559"/>
        <v>#DIV/0!</v>
      </c>
      <c r="ED185" s="34" t="e">
        <f t="shared" si="3560"/>
        <v>#DIV/0!</v>
      </c>
      <c r="EE185" s="139" t="e">
        <f t="shared" si="3561"/>
        <v>#DIV/0!</v>
      </c>
      <c r="EF185" s="138" t="e">
        <f t="shared" si="3562"/>
        <v>#DIV/0!</v>
      </c>
      <c r="EG185" s="34" t="e">
        <f t="shared" si="3563"/>
        <v>#DIV/0!</v>
      </c>
      <c r="EH185" s="34" t="e">
        <f t="shared" si="3564"/>
        <v>#DIV/0!</v>
      </c>
      <c r="EI185" s="139" t="e">
        <f t="shared" si="3565"/>
        <v>#DIV/0!</v>
      </c>
      <c r="EJ185" s="138" t="e">
        <f t="shared" si="3566"/>
        <v>#DIV/0!</v>
      </c>
      <c r="EK185" s="34" t="e">
        <f t="shared" si="3567"/>
        <v>#DIV/0!</v>
      </c>
      <c r="EL185" s="34" t="e">
        <f t="shared" si="3568"/>
        <v>#DIV/0!</v>
      </c>
      <c r="EM185" s="34" t="e">
        <f t="shared" si="3569"/>
        <v>#DIV/0!</v>
      </c>
      <c r="EN185" s="34" t="e">
        <f t="shared" si="3570"/>
        <v>#DIV/0!</v>
      </c>
      <c r="EO185" s="139" t="e">
        <f t="shared" si="3571"/>
        <v>#DIV/0!</v>
      </c>
      <c r="EP185" s="138" t="e">
        <f t="shared" si="3572"/>
        <v>#DIV/0!</v>
      </c>
      <c r="EQ185" s="34" t="e">
        <f t="shared" si="3573"/>
        <v>#DIV/0!</v>
      </c>
      <c r="ER185" s="34" t="e">
        <f t="shared" si="3574"/>
        <v>#DIV/0!</v>
      </c>
      <c r="ES185" s="34" t="e">
        <f t="shared" si="3575"/>
        <v>#DIV/0!</v>
      </c>
      <c r="ET185" s="139" t="e">
        <f t="shared" si="3576"/>
        <v>#DIV/0!</v>
      </c>
      <c r="EU185" s="138" t="e">
        <f t="shared" si="3577"/>
        <v>#DIV/0!</v>
      </c>
      <c r="EV185" s="34" t="e">
        <f t="shared" si="3578"/>
        <v>#DIV/0!</v>
      </c>
      <c r="EW185" s="34" t="e">
        <f t="shared" si="3579"/>
        <v>#DIV/0!</v>
      </c>
      <c r="EX185" s="34" t="e">
        <f t="shared" si="3580"/>
        <v>#DIV/0!</v>
      </c>
      <c r="EY185" s="34" t="e">
        <f t="shared" si="3581"/>
        <v>#DIV/0!</v>
      </c>
      <c r="EZ185" s="34" t="e">
        <f t="shared" si="3582"/>
        <v>#DIV/0!</v>
      </c>
      <c r="FA185" s="34" t="e">
        <f t="shared" si="3583"/>
        <v>#DIV/0!</v>
      </c>
      <c r="FB185" s="34" t="e">
        <f t="shared" si="3584"/>
        <v>#DIV/0!</v>
      </c>
      <c r="FC185" s="34" t="e">
        <f t="shared" si="3585"/>
        <v>#DIV/0!</v>
      </c>
      <c r="FD185" s="34" t="e">
        <f t="shared" si="3586"/>
        <v>#DIV/0!</v>
      </c>
      <c r="FE185" s="34" t="e">
        <f t="shared" si="3587"/>
        <v>#DIV/0!</v>
      </c>
      <c r="FF185" s="139" t="e">
        <f t="shared" si="3588"/>
        <v>#DIV/0!</v>
      </c>
    </row>
    <row r="186" spans="1:162" x14ac:dyDescent="0.25">
      <c r="B186" s="177">
        <v>43106</v>
      </c>
      <c r="C186" s="271"/>
      <c r="D186" s="53"/>
      <c r="E186" s="129"/>
      <c r="F186" s="25"/>
      <c r="G186" s="25"/>
      <c r="H186" s="150"/>
      <c r="I186" s="24"/>
      <c r="J186" s="151"/>
      <c r="K186" s="151"/>
      <c r="L186" s="152">
        <v>8.6</v>
      </c>
      <c r="M186" s="152" t="e">
        <f t="shared" si="3516"/>
        <v>#DIV/0!</v>
      </c>
      <c r="N186" s="153" t="e">
        <f t="shared" si="3517"/>
        <v>#DIV/0!</v>
      </c>
      <c r="O186" s="25"/>
      <c r="P186" s="95"/>
      <c r="Q186" s="41"/>
      <c r="R186" s="41"/>
      <c r="S186" s="41"/>
      <c r="T186" s="41"/>
      <c r="U186" s="41"/>
      <c r="V186" s="41"/>
      <c r="W186" s="42"/>
      <c r="X186" s="95"/>
      <c r="Y186" s="41"/>
      <c r="Z186" s="41"/>
      <c r="AA186" s="42"/>
      <c r="AB186" s="95"/>
      <c r="AC186" s="41"/>
      <c r="AD186" s="41"/>
      <c r="AE186" s="41"/>
      <c r="AF186" s="41"/>
      <c r="AG186" s="42"/>
      <c r="AH186" s="95"/>
      <c r="AI186" s="41"/>
      <c r="AJ186" s="41"/>
      <c r="AK186" s="41"/>
      <c r="AL186" s="42"/>
      <c r="AM186" s="95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2"/>
      <c r="BB186" s="95" t="e">
        <f t="shared" si="3518"/>
        <v>#DIV/0!</v>
      </c>
      <c r="BC186" s="41" t="e">
        <f t="shared" si="3519"/>
        <v>#DIV/0!</v>
      </c>
      <c r="BD186" s="41" t="e">
        <f t="shared" si="3520"/>
        <v>#DIV/0!</v>
      </c>
      <c r="BE186" s="41" t="e">
        <f t="shared" si="3521"/>
        <v>#DIV/0!</v>
      </c>
      <c r="BF186" s="41" t="e">
        <f t="shared" si="3522"/>
        <v>#DIV/0!</v>
      </c>
      <c r="BG186" s="41" t="e">
        <f t="shared" si="3523"/>
        <v>#DIV/0!</v>
      </c>
      <c r="BH186" s="41" t="e">
        <f t="shared" si="3524"/>
        <v>#DIV/0!</v>
      </c>
      <c r="BI186" s="42" t="e">
        <f t="shared" si="3525"/>
        <v>#DIV/0!</v>
      </c>
      <c r="BJ186" s="95" t="e">
        <f t="shared" si="3526"/>
        <v>#DIV/0!</v>
      </c>
      <c r="BK186" s="41" t="e">
        <f t="shared" si="3527"/>
        <v>#DIV/0!</v>
      </c>
      <c r="BL186" s="41" t="e">
        <f t="shared" si="3528"/>
        <v>#DIV/0!</v>
      </c>
      <c r="BM186" s="42" t="e">
        <f t="shared" si="3529"/>
        <v>#DIV/0!</v>
      </c>
      <c r="BN186" s="95" t="e">
        <f t="shared" si="3530"/>
        <v>#DIV/0!</v>
      </c>
      <c r="BO186" s="41" t="e">
        <f t="shared" si="3531"/>
        <v>#DIV/0!</v>
      </c>
      <c r="BP186" s="41" t="e">
        <f t="shared" si="3532"/>
        <v>#DIV/0!</v>
      </c>
      <c r="BQ186" s="41" t="e">
        <f t="shared" si="3533"/>
        <v>#DIV/0!</v>
      </c>
      <c r="BR186" s="41" t="e">
        <f t="shared" si="3534"/>
        <v>#DIV/0!</v>
      </c>
      <c r="BS186" s="42" t="e">
        <f t="shared" si="3535"/>
        <v>#DIV/0!</v>
      </c>
      <c r="BT186" s="95" t="e">
        <f t="shared" si="3536"/>
        <v>#DIV/0!</v>
      </c>
      <c r="BU186" s="41" t="e">
        <f t="shared" si="3537"/>
        <v>#DIV/0!</v>
      </c>
      <c r="BV186" s="41" t="e">
        <f t="shared" si="3538"/>
        <v>#DIV/0!</v>
      </c>
      <c r="BW186" s="41" t="e">
        <f t="shared" si="3539"/>
        <v>#DIV/0!</v>
      </c>
      <c r="BX186" s="42" t="e">
        <f t="shared" si="3540"/>
        <v>#DIV/0!</v>
      </c>
      <c r="BY186" s="95" t="e">
        <f t="shared" si="3541"/>
        <v>#DIV/0!</v>
      </c>
      <c r="BZ186" s="41" t="e">
        <f t="shared" si="3542"/>
        <v>#DIV/0!</v>
      </c>
      <c r="CA186" s="41" t="e">
        <f t="shared" si="3543"/>
        <v>#DIV/0!</v>
      </c>
      <c r="CB186" s="41" t="e">
        <f t="shared" si="3544"/>
        <v>#DIV/0!</v>
      </c>
      <c r="CC186" s="41" t="e">
        <f t="shared" si="3545"/>
        <v>#DIV/0!</v>
      </c>
      <c r="CD186" s="41" t="e">
        <f t="shared" si="3546"/>
        <v>#DIV/0!</v>
      </c>
      <c r="CE186" s="41" t="e">
        <f t="shared" si="3547"/>
        <v>#DIV/0!</v>
      </c>
      <c r="CF186" s="41" t="e">
        <f t="shared" si="3548"/>
        <v>#DIV/0!</v>
      </c>
      <c r="CG186" s="41" t="e">
        <f t="shared" si="3549"/>
        <v>#DIV/0!</v>
      </c>
      <c r="CH186" s="41" t="e">
        <f t="shared" si="3550"/>
        <v>#DIV/0!</v>
      </c>
      <c r="CI186" s="41" t="e">
        <f t="shared" si="3551"/>
        <v>#DIV/0!</v>
      </c>
      <c r="CJ186" s="42" t="e">
        <f t="shared" si="3552"/>
        <v>#DIV/0!</v>
      </c>
      <c r="CL186" s="36"/>
      <c r="CN186" s="95"/>
      <c r="CO186" s="41"/>
      <c r="CP186" s="41"/>
      <c r="CQ186" s="41"/>
      <c r="CR186" s="41"/>
      <c r="CS186" s="41"/>
      <c r="CT186" s="41"/>
      <c r="CU186" s="42"/>
      <c r="CV186" s="95"/>
      <c r="CW186" s="41"/>
      <c r="CX186" s="41"/>
      <c r="CY186" s="42"/>
      <c r="CZ186" s="95"/>
      <c r="DA186" s="41"/>
      <c r="DB186" s="41"/>
      <c r="DC186" s="41"/>
      <c r="DD186" s="41"/>
      <c r="DE186" s="42"/>
      <c r="DF186" s="95"/>
      <c r="DG186" s="41"/>
      <c r="DH186" s="41"/>
      <c r="DI186" s="41"/>
      <c r="DJ186" s="42"/>
      <c r="DK186" s="95"/>
      <c r="DL186" s="41"/>
      <c r="DM186" s="41"/>
      <c r="DN186" s="41"/>
      <c r="DO186" s="41"/>
      <c r="DP186" s="41"/>
      <c r="DQ186" s="41"/>
      <c r="DR186" s="41"/>
      <c r="DS186" s="41"/>
      <c r="DT186" s="41"/>
      <c r="DU186" s="41"/>
      <c r="DV186" s="42"/>
      <c r="DX186" s="138" t="e">
        <f t="shared" si="3554"/>
        <v>#DIV/0!</v>
      </c>
      <c r="DY186" s="34" t="e">
        <f t="shared" ref="DY186:DY192" si="3589">Q186/$E186</f>
        <v>#DIV/0!</v>
      </c>
      <c r="DZ186" s="34" t="e">
        <f t="shared" ref="DZ186:DZ192" si="3590">R186/$E186</f>
        <v>#DIV/0!</v>
      </c>
      <c r="EA186" s="34" t="e">
        <f t="shared" ref="EA186:EA192" si="3591">S186/$E186</f>
        <v>#DIV/0!</v>
      </c>
      <c r="EB186" s="34" t="e">
        <f t="shared" ref="EB186:EB192" si="3592">T186/$E186</f>
        <v>#DIV/0!</v>
      </c>
      <c r="EC186" s="34" t="e">
        <f t="shared" ref="EC186:EC192" si="3593">U186/$E186</f>
        <v>#DIV/0!</v>
      </c>
      <c r="ED186" s="34" t="e">
        <f t="shared" ref="ED186:ED192" si="3594">V186/$E186</f>
        <v>#DIV/0!</v>
      </c>
      <c r="EE186" s="139" t="e">
        <f t="shared" ref="EE186:EE192" si="3595">W186/$E186</f>
        <v>#DIV/0!</v>
      </c>
      <c r="EF186" s="138" t="e">
        <f t="shared" ref="EF186:EF192" si="3596">X186/$E186</f>
        <v>#DIV/0!</v>
      </c>
      <c r="EG186" s="34" t="e">
        <f t="shared" ref="EG186:EG192" si="3597">Y186/$E186</f>
        <v>#DIV/0!</v>
      </c>
      <c r="EH186" s="34" t="e">
        <f t="shared" ref="EH186:EH192" si="3598">Z186/$E186</f>
        <v>#DIV/0!</v>
      </c>
      <c r="EI186" s="139" t="e">
        <f t="shared" ref="EI186:EI192" si="3599">AA186/$E186</f>
        <v>#DIV/0!</v>
      </c>
      <c r="EJ186" s="138" t="e">
        <f t="shared" ref="EJ186:EJ192" si="3600">AB186/$E186</f>
        <v>#DIV/0!</v>
      </c>
      <c r="EK186" s="34" t="e">
        <f t="shared" ref="EK186:EK192" si="3601">AC186/$E186</f>
        <v>#DIV/0!</v>
      </c>
      <c r="EL186" s="34" t="e">
        <f t="shared" ref="EL186:EL192" si="3602">AD186/$E186</f>
        <v>#DIV/0!</v>
      </c>
      <c r="EM186" s="34" t="e">
        <f t="shared" ref="EM186:EM192" si="3603">AE186/$E186</f>
        <v>#DIV/0!</v>
      </c>
      <c r="EN186" s="34" t="e">
        <f t="shared" ref="EN186:EN192" si="3604">AF186/$E186</f>
        <v>#DIV/0!</v>
      </c>
      <c r="EO186" s="139" t="e">
        <f t="shared" ref="EO186:EO192" si="3605">AG186/$E186</f>
        <v>#DIV/0!</v>
      </c>
      <c r="EP186" s="138" t="e">
        <f t="shared" ref="EP186:EP192" si="3606">AH186/$E186</f>
        <v>#DIV/0!</v>
      </c>
      <c r="EQ186" s="34" t="e">
        <f t="shared" ref="EQ186:EQ192" si="3607">AI186/$E186</f>
        <v>#DIV/0!</v>
      </c>
      <c r="ER186" s="34" t="e">
        <f t="shared" ref="ER186:ER192" si="3608">AJ186/$E186</f>
        <v>#DIV/0!</v>
      </c>
      <c r="ES186" s="34" t="e">
        <f t="shared" ref="ES186:ES192" si="3609">AK186/$E186</f>
        <v>#DIV/0!</v>
      </c>
      <c r="ET186" s="139" t="e">
        <f t="shared" ref="ET186:ET192" si="3610">AL186/$E186</f>
        <v>#DIV/0!</v>
      </c>
      <c r="EU186" s="138" t="e">
        <f t="shared" ref="EU186:EU192" si="3611">AM186/$E186</f>
        <v>#DIV/0!</v>
      </c>
      <c r="EV186" s="34" t="e">
        <f t="shared" ref="EV186:EV192" si="3612">AN186/$E186</f>
        <v>#DIV/0!</v>
      </c>
      <c r="EW186" s="34" t="e">
        <f t="shared" ref="EW186:EW192" si="3613">AO186/$E186</f>
        <v>#DIV/0!</v>
      </c>
      <c r="EX186" s="34" t="e">
        <f t="shared" ref="EX186:EX192" si="3614">AP186/$E186</f>
        <v>#DIV/0!</v>
      </c>
      <c r="EY186" s="34" t="e">
        <f t="shared" ref="EY186:EY192" si="3615">AQ186/$E186</f>
        <v>#DIV/0!</v>
      </c>
      <c r="EZ186" s="34" t="e">
        <f t="shared" ref="EZ186:EZ192" si="3616">AR186/$E186</f>
        <v>#DIV/0!</v>
      </c>
      <c r="FA186" s="34" t="e">
        <f t="shared" ref="FA186:FA192" si="3617">AS186/$E186</f>
        <v>#DIV/0!</v>
      </c>
      <c r="FB186" s="34" t="e">
        <f t="shared" ref="FB186:FB192" si="3618">AT186/$E186</f>
        <v>#DIV/0!</v>
      </c>
      <c r="FC186" s="34" t="e">
        <f t="shared" ref="FC186:FC192" si="3619">AU186/$E186</f>
        <v>#DIV/0!</v>
      </c>
      <c r="FD186" s="34" t="e">
        <f t="shared" ref="FD186:FD192" si="3620">AV186/$E186</f>
        <v>#DIV/0!</v>
      </c>
      <c r="FE186" s="34" t="e">
        <f t="shared" ref="FE186:FE192" si="3621">AY186/$E186</f>
        <v>#DIV/0!</v>
      </c>
      <c r="FF186" s="139" t="e">
        <f t="shared" ref="FF186:FF192" si="3622">AZ186/$E186</f>
        <v>#DIV/0!</v>
      </c>
    </row>
    <row r="187" spans="1:162" x14ac:dyDescent="0.25">
      <c r="B187" s="177">
        <v>43110</v>
      </c>
      <c r="C187" s="271"/>
      <c r="D187" s="53"/>
      <c r="E187" s="129"/>
      <c r="F187" s="25"/>
      <c r="G187" s="25"/>
      <c r="H187" s="150"/>
      <c r="I187" s="24"/>
      <c r="J187" s="151"/>
      <c r="K187" s="151"/>
      <c r="L187" s="152">
        <v>8.6</v>
      </c>
      <c r="M187" s="152" t="e">
        <f t="shared" ref="M187:M192" si="3623">H187/I187*K187*L187*1.5</f>
        <v>#DIV/0!</v>
      </c>
      <c r="N187" s="153" t="e">
        <f t="shared" ref="N187:N192" si="3624">H187/I187*J187*L187*N$4</f>
        <v>#DIV/0!</v>
      </c>
      <c r="O187" s="25"/>
      <c r="P187" s="95"/>
      <c r="Q187" s="41"/>
      <c r="R187" s="41"/>
      <c r="S187" s="41"/>
      <c r="T187" s="41"/>
      <c r="U187" s="41"/>
      <c r="V187" s="41"/>
      <c r="W187" s="42"/>
      <c r="X187" s="95"/>
      <c r="Y187" s="41"/>
      <c r="Z187" s="41"/>
      <c r="AA187" s="42"/>
      <c r="AB187" s="95"/>
      <c r="AC187" s="41"/>
      <c r="AD187" s="41"/>
      <c r="AE187" s="41"/>
      <c r="AF187" s="41"/>
      <c r="AG187" s="42"/>
      <c r="AH187" s="95"/>
      <c r="AI187" s="41"/>
      <c r="AJ187" s="41"/>
      <c r="AK187" s="41"/>
      <c r="AL187" s="42"/>
      <c r="AM187" s="95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2"/>
      <c r="BB187" s="95" t="e">
        <f t="shared" ref="BB187:BB192" si="3625">$N187*DX187</f>
        <v>#DIV/0!</v>
      </c>
      <c r="BC187" s="41" t="e">
        <f t="shared" ref="BC187:BC192" si="3626">$N187*DY187</f>
        <v>#DIV/0!</v>
      </c>
      <c r="BD187" s="41" t="e">
        <f t="shared" ref="BD187:BD192" si="3627">$N187*DZ187</f>
        <v>#DIV/0!</v>
      </c>
      <c r="BE187" s="41" t="e">
        <f t="shared" ref="BE187:BE192" si="3628">$N187*EA187</f>
        <v>#DIV/0!</v>
      </c>
      <c r="BF187" s="41" t="e">
        <f t="shared" ref="BF187:BF192" si="3629">$N187*EB187</f>
        <v>#DIV/0!</v>
      </c>
      <c r="BG187" s="41" t="e">
        <f t="shared" ref="BG187:BG192" si="3630">$N187*EC187</f>
        <v>#DIV/0!</v>
      </c>
      <c r="BH187" s="41" t="e">
        <f t="shared" ref="BH187:BH192" si="3631">$N187*ED187</f>
        <v>#DIV/0!</v>
      </c>
      <c r="BI187" s="42" t="e">
        <f t="shared" ref="BI187:BI192" si="3632">$N187*EE187</f>
        <v>#DIV/0!</v>
      </c>
      <c r="BJ187" s="95" t="e">
        <f t="shared" ref="BJ187:BJ192" si="3633">$N187*EF187</f>
        <v>#DIV/0!</v>
      </c>
      <c r="BK187" s="41" t="e">
        <f t="shared" ref="BK187:BK192" si="3634">$N187*EG187</f>
        <v>#DIV/0!</v>
      </c>
      <c r="BL187" s="41" t="e">
        <f t="shared" ref="BL187:BL192" si="3635">$N187*EH187</f>
        <v>#DIV/0!</v>
      </c>
      <c r="BM187" s="42" t="e">
        <f t="shared" ref="BM187:BM192" si="3636">$N187*EI187</f>
        <v>#DIV/0!</v>
      </c>
      <c r="BN187" s="95" t="e">
        <f t="shared" ref="BN187:BN192" si="3637">$N187*EJ187</f>
        <v>#DIV/0!</v>
      </c>
      <c r="BO187" s="41" t="e">
        <f t="shared" ref="BO187:BO192" si="3638">$N187*EK187</f>
        <v>#DIV/0!</v>
      </c>
      <c r="BP187" s="41" t="e">
        <f t="shared" ref="BP187:BP192" si="3639">$N187*EL187</f>
        <v>#DIV/0!</v>
      </c>
      <c r="BQ187" s="41" t="e">
        <f t="shared" ref="BQ187:BQ192" si="3640">$N187*EM187</f>
        <v>#DIV/0!</v>
      </c>
      <c r="BR187" s="41" t="e">
        <f t="shared" ref="BR187:BR192" si="3641">$N187*EN187</f>
        <v>#DIV/0!</v>
      </c>
      <c r="BS187" s="42" t="e">
        <f t="shared" ref="BS187:BS192" si="3642">$N187*EO187</f>
        <v>#DIV/0!</v>
      </c>
      <c r="BT187" s="95" t="e">
        <f t="shared" ref="BT187:BT192" si="3643">$N187*EP187</f>
        <v>#DIV/0!</v>
      </c>
      <c r="BU187" s="41" t="e">
        <f t="shared" ref="BU187:BU192" si="3644">$N187*EQ187</f>
        <v>#DIV/0!</v>
      </c>
      <c r="BV187" s="41" t="e">
        <f t="shared" ref="BV187:BV192" si="3645">$N187*ER187</f>
        <v>#DIV/0!</v>
      </c>
      <c r="BW187" s="41" t="e">
        <f t="shared" ref="BW187:BW192" si="3646">$N187*ES187</f>
        <v>#DIV/0!</v>
      </c>
      <c r="BX187" s="42" t="e">
        <f t="shared" ref="BX187:BX192" si="3647">$N187*ET187</f>
        <v>#DIV/0!</v>
      </c>
      <c r="BY187" s="95" t="e">
        <f t="shared" ref="BY187:BY192" si="3648">$N187*EU187</f>
        <v>#DIV/0!</v>
      </c>
      <c r="BZ187" s="41" t="e">
        <f t="shared" ref="BZ187:BZ192" si="3649">$N187*EV187</f>
        <v>#DIV/0!</v>
      </c>
      <c r="CA187" s="41" t="e">
        <f t="shared" ref="CA187:CA192" si="3650">$N187*EW187</f>
        <v>#DIV/0!</v>
      </c>
      <c r="CB187" s="41" t="e">
        <f t="shared" ref="CB187:CB192" si="3651">$N187*EX187</f>
        <v>#DIV/0!</v>
      </c>
      <c r="CC187" s="41" t="e">
        <f t="shared" ref="CC187:CC192" si="3652">$N187*EY187</f>
        <v>#DIV/0!</v>
      </c>
      <c r="CD187" s="41" t="e">
        <f t="shared" ref="CD187:CD192" si="3653">$N187*EZ187</f>
        <v>#DIV/0!</v>
      </c>
      <c r="CE187" s="41" t="e">
        <f t="shared" ref="CE187:CE192" si="3654">$N187*FA187</f>
        <v>#DIV/0!</v>
      </c>
      <c r="CF187" s="41" t="e">
        <f t="shared" ref="CF187:CF192" si="3655">$N187*FB187</f>
        <v>#DIV/0!</v>
      </c>
      <c r="CG187" s="41" t="e">
        <f t="shared" ref="CG187:CG192" si="3656">$N187*FC187</f>
        <v>#DIV/0!</v>
      </c>
      <c r="CH187" s="41" t="e">
        <f t="shared" ref="CH187:CH192" si="3657">$N187*FD187</f>
        <v>#DIV/0!</v>
      </c>
      <c r="CI187" s="41" t="e">
        <f t="shared" ref="CI187:CI192" si="3658">$N187*FE187</f>
        <v>#DIV/0!</v>
      </c>
      <c r="CJ187" s="42" t="e">
        <f t="shared" ref="CJ187:CJ192" si="3659">$N187*FF187</f>
        <v>#DIV/0!</v>
      </c>
      <c r="CL187" s="36"/>
      <c r="CN187" s="95"/>
      <c r="CO187" s="41"/>
      <c r="CP187" s="41"/>
      <c r="CQ187" s="41"/>
      <c r="CR187" s="41"/>
      <c r="CS187" s="41"/>
      <c r="CT187" s="41"/>
      <c r="CU187" s="42"/>
      <c r="CV187" s="95"/>
      <c r="CW187" s="41"/>
      <c r="CX187" s="41"/>
      <c r="CY187" s="42"/>
      <c r="CZ187" s="95"/>
      <c r="DA187" s="41"/>
      <c r="DB187" s="41"/>
      <c r="DC187" s="41"/>
      <c r="DD187" s="41"/>
      <c r="DE187" s="42"/>
      <c r="DF187" s="95"/>
      <c r="DG187" s="41"/>
      <c r="DH187" s="41"/>
      <c r="DI187" s="41"/>
      <c r="DJ187" s="42"/>
      <c r="DK187" s="95"/>
      <c r="DL187" s="41"/>
      <c r="DM187" s="41"/>
      <c r="DN187" s="41"/>
      <c r="DO187" s="41"/>
      <c r="DP187" s="41"/>
      <c r="DQ187" s="41"/>
      <c r="DR187" s="41"/>
      <c r="DS187" s="41"/>
      <c r="DT187" s="41"/>
      <c r="DU187" s="41"/>
      <c r="DV187" s="42"/>
      <c r="DX187" s="138" t="e">
        <f t="shared" si="3554"/>
        <v>#DIV/0!</v>
      </c>
      <c r="DY187" s="34" t="e">
        <f t="shared" si="3589"/>
        <v>#DIV/0!</v>
      </c>
      <c r="DZ187" s="34" t="e">
        <f t="shared" si="3590"/>
        <v>#DIV/0!</v>
      </c>
      <c r="EA187" s="34" t="e">
        <f t="shared" si="3591"/>
        <v>#DIV/0!</v>
      </c>
      <c r="EB187" s="34" t="e">
        <f t="shared" si="3592"/>
        <v>#DIV/0!</v>
      </c>
      <c r="EC187" s="34" t="e">
        <f t="shared" si="3593"/>
        <v>#DIV/0!</v>
      </c>
      <c r="ED187" s="34" t="e">
        <f t="shared" si="3594"/>
        <v>#DIV/0!</v>
      </c>
      <c r="EE187" s="139" t="e">
        <f t="shared" si="3595"/>
        <v>#DIV/0!</v>
      </c>
      <c r="EF187" s="138" t="e">
        <f t="shared" si="3596"/>
        <v>#DIV/0!</v>
      </c>
      <c r="EG187" s="34" t="e">
        <f t="shared" si="3597"/>
        <v>#DIV/0!</v>
      </c>
      <c r="EH187" s="34" t="e">
        <f t="shared" si="3598"/>
        <v>#DIV/0!</v>
      </c>
      <c r="EI187" s="139" t="e">
        <f t="shared" si="3599"/>
        <v>#DIV/0!</v>
      </c>
      <c r="EJ187" s="138" t="e">
        <f t="shared" si="3600"/>
        <v>#DIV/0!</v>
      </c>
      <c r="EK187" s="34" t="e">
        <f t="shared" si="3601"/>
        <v>#DIV/0!</v>
      </c>
      <c r="EL187" s="34" t="e">
        <f t="shared" si="3602"/>
        <v>#DIV/0!</v>
      </c>
      <c r="EM187" s="34" t="e">
        <f t="shared" si="3603"/>
        <v>#DIV/0!</v>
      </c>
      <c r="EN187" s="34" t="e">
        <f t="shared" si="3604"/>
        <v>#DIV/0!</v>
      </c>
      <c r="EO187" s="139" t="e">
        <f t="shared" si="3605"/>
        <v>#DIV/0!</v>
      </c>
      <c r="EP187" s="138" t="e">
        <f t="shared" si="3606"/>
        <v>#DIV/0!</v>
      </c>
      <c r="EQ187" s="34" t="e">
        <f t="shared" si="3607"/>
        <v>#DIV/0!</v>
      </c>
      <c r="ER187" s="34" t="e">
        <f t="shared" si="3608"/>
        <v>#DIV/0!</v>
      </c>
      <c r="ES187" s="34" t="e">
        <f t="shared" si="3609"/>
        <v>#DIV/0!</v>
      </c>
      <c r="ET187" s="139" t="e">
        <f t="shared" si="3610"/>
        <v>#DIV/0!</v>
      </c>
      <c r="EU187" s="138" t="e">
        <f t="shared" si="3611"/>
        <v>#DIV/0!</v>
      </c>
      <c r="EV187" s="34" t="e">
        <f t="shared" si="3612"/>
        <v>#DIV/0!</v>
      </c>
      <c r="EW187" s="34" t="e">
        <f t="shared" si="3613"/>
        <v>#DIV/0!</v>
      </c>
      <c r="EX187" s="34" t="e">
        <f t="shared" si="3614"/>
        <v>#DIV/0!</v>
      </c>
      <c r="EY187" s="34" t="e">
        <f t="shared" si="3615"/>
        <v>#DIV/0!</v>
      </c>
      <c r="EZ187" s="34" t="e">
        <f t="shared" si="3616"/>
        <v>#DIV/0!</v>
      </c>
      <c r="FA187" s="34" t="e">
        <f t="shared" si="3617"/>
        <v>#DIV/0!</v>
      </c>
      <c r="FB187" s="34" t="e">
        <f t="shared" si="3618"/>
        <v>#DIV/0!</v>
      </c>
      <c r="FC187" s="34" t="e">
        <f t="shared" si="3619"/>
        <v>#DIV/0!</v>
      </c>
      <c r="FD187" s="34" t="e">
        <f t="shared" si="3620"/>
        <v>#DIV/0!</v>
      </c>
      <c r="FE187" s="34" t="e">
        <f t="shared" si="3621"/>
        <v>#DIV/0!</v>
      </c>
      <c r="FF187" s="139" t="e">
        <f t="shared" si="3622"/>
        <v>#DIV/0!</v>
      </c>
    </row>
    <row r="188" spans="1:162" x14ac:dyDescent="0.25">
      <c r="B188" s="177">
        <v>43114</v>
      </c>
      <c r="C188" s="271"/>
      <c r="D188" s="53"/>
      <c r="E188" s="129"/>
      <c r="F188" s="25"/>
      <c r="G188" s="25"/>
      <c r="H188" s="150"/>
      <c r="I188" s="24"/>
      <c r="J188" s="151"/>
      <c r="K188" s="151"/>
      <c r="L188" s="152">
        <v>8.8000000000000007</v>
      </c>
      <c r="M188" s="152" t="e">
        <f t="shared" si="3623"/>
        <v>#DIV/0!</v>
      </c>
      <c r="N188" s="153" t="e">
        <f t="shared" si="3624"/>
        <v>#DIV/0!</v>
      </c>
      <c r="O188" s="25"/>
      <c r="P188" s="95"/>
      <c r="Q188" s="41"/>
      <c r="R188" s="41"/>
      <c r="S188" s="41"/>
      <c r="T188" s="41"/>
      <c r="U188" s="41"/>
      <c r="V188" s="41"/>
      <c r="W188" s="42"/>
      <c r="X188" s="95"/>
      <c r="Y188" s="41"/>
      <c r="Z188" s="41"/>
      <c r="AA188" s="42"/>
      <c r="AB188" s="95"/>
      <c r="AC188" s="41"/>
      <c r="AD188" s="41"/>
      <c r="AE188" s="41"/>
      <c r="AF188" s="41"/>
      <c r="AG188" s="42"/>
      <c r="AH188" s="95"/>
      <c r="AI188" s="41"/>
      <c r="AJ188" s="41"/>
      <c r="AK188" s="41"/>
      <c r="AL188" s="42"/>
      <c r="AM188" s="95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2"/>
      <c r="BB188" s="95" t="e">
        <f t="shared" si="3625"/>
        <v>#DIV/0!</v>
      </c>
      <c r="BC188" s="41" t="e">
        <f t="shared" si="3626"/>
        <v>#DIV/0!</v>
      </c>
      <c r="BD188" s="41" t="e">
        <f t="shared" si="3627"/>
        <v>#DIV/0!</v>
      </c>
      <c r="BE188" s="41" t="e">
        <f t="shared" si="3628"/>
        <v>#DIV/0!</v>
      </c>
      <c r="BF188" s="41" t="e">
        <f t="shared" si="3629"/>
        <v>#DIV/0!</v>
      </c>
      <c r="BG188" s="41" t="e">
        <f t="shared" si="3630"/>
        <v>#DIV/0!</v>
      </c>
      <c r="BH188" s="41" t="e">
        <f t="shared" si="3631"/>
        <v>#DIV/0!</v>
      </c>
      <c r="BI188" s="42" t="e">
        <f t="shared" si="3632"/>
        <v>#DIV/0!</v>
      </c>
      <c r="BJ188" s="95" t="e">
        <f t="shared" si="3633"/>
        <v>#DIV/0!</v>
      </c>
      <c r="BK188" s="41" t="e">
        <f t="shared" si="3634"/>
        <v>#DIV/0!</v>
      </c>
      <c r="BL188" s="41" t="e">
        <f t="shared" si="3635"/>
        <v>#DIV/0!</v>
      </c>
      <c r="BM188" s="42" t="e">
        <f t="shared" si="3636"/>
        <v>#DIV/0!</v>
      </c>
      <c r="BN188" s="95" t="e">
        <f t="shared" si="3637"/>
        <v>#DIV/0!</v>
      </c>
      <c r="BO188" s="41" t="e">
        <f t="shared" si="3638"/>
        <v>#DIV/0!</v>
      </c>
      <c r="BP188" s="41" t="e">
        <f t="shared" si="3639"/>
        <v>#DIV/0!</v>
      </c>
      <c r="BQ188" s="41" t="e">
        <f t="shared" si="3640"/>
        <v>#DIV/0!</v>
      </c>
      <c r="BR188" s="41" t="e">
        <f t="shared" si="3641"/>
        <v>#DIV/0!</v>
      </c>
      <c r="BS188" s="42" t="e">
        <f t="shared" si="3642"/>
        <v>#DIV/0!</v>
      </c>
      <c r="BT188" s="95" t="e">
        <f t="shared" si="3643"/>
        <v>#DIV/0!</v>
      </c>
      <c r="BU188" s="41" t="e">
        <f t="shared" si="3644"/>
        <v>#DIV/0!</v>
      </c>
      <c r="BV188" s="41" t="e">
        <f t="shared" si="3645"/>
        <v>#DIV/0!</v>
      </c>
      <c r="BW188" s="41" t="e">
        <f t="shared" si="3646"/>
        <v>#DIV/0!</v>
      </c>
      <c r="BX188" s="42" t="e">
        <f t="shared" si="3647"/>
        <v>#DIV/0!</v>
      </c>
      <c r="BY188" s="95" t="e">
        <f t="shared" si="3648"/>
        <v>#DIV/0!</v>
      </c>
      <c r="BZ188" s="41" t="e">
        <f t="shared" si="3649"/>
        <v>#DIV/0!</v>
      </c>
      <c r="CA188" s="41" t="e">
        <f t="shared" si="3650"/>
        <v>#DIV/0!</v>
      </c>
      <c r="CB188" s="41" t="e">
        <f t="shared" si="3651"/>
        <v>#DIV/0!</v>
      </c>
      <c r="CC188" s="41" t="e">
        <f t="shared" si="3652"/>
        <v>#DIV/0!</v>
      </c>
      <c r="CD188" s="41" t="e">
        <f t="shared" si="3653"/>
        <v>#DIV/0!</v>
      </c>
      <c r="CE188" s="41" t="e">
        <f t="shared" si="3654"/>
        <v>#DIV/0!</v>
      </c>
      <c r="CF188" s="41" t="e">
        <f t="shared" si="3655"/>
        <v>#DIV/0!</v>
      </c>
      <c r="CG188" s="41" t="e">
        <f t="shared" si="3656"/>
        <v>#DIV/0!</v>
      </c>
      <c r="CH188" s="41" t="e">
        <f t="shared" si="3657"/>
        <v>#DIV/0!</v>
      </c>
      <c r="CI188" s="41" t="e">
        <f t="shared" si="3658"/>
        <v>#DIV/0!</v>
      </c>
      <c r="CJ188" s="42" t="e">
        <f t="shared" si="3659"/>
        <v>#DIV/0!</v>
      </c>
      <c r="CL188" s="36"/>
      <c r="CN188" s="95"/>
      <c r="CO188" s="41"/>
      <c r="CP188" s="41"/>
      <c r="CQ188" s="41"/>
      <c r="CR188" s="41"/>
      <c r="CS188" s="41"/>
      <c r="CT188" s="41"/>
      <c r="CU188" s="42"/>
      <c r="CV188" s="95"/>
      <c r="CW188" s="41"/>
      <c r="CX188" s="41"/>
      <c r="CY188" s="42"/>
      <c r="CZ188" s="95"/>
      <c r="DA188" s="41"/>
      <c r="DB188" s="41"/>
      <c r="DC188" s="41"/>
      <c r="DD188" s="41"/>
      <c r="DE188" s="42"/>
      <c r="DF188" s="95"/>
      <c r="DG188" s="41"/>
      <c r="DH188" s="41"/>
      <c r="DI188" s="41"/>
      <c r="DJ188" s="42"/>
      <c r="DK188" s="95"/>
      <c r="DL188" s="41"/>
      <c r="DM188" s="41"/>
      <c r="DN188" s="41"/>
      <c r="DO188" s="41"/>
      <c r="DP188" s="41"/>
      <c r="DQ188" s="41"/>
      <c r="DR188" s="41"/>
      <c r="DS188" s="41"/>
      <c r="DT188" s="41"/>
      <c r="DU188" s="41"/>
      <c r="DV188" s="42"/>
      <c r="DX188" s="138" t="e">
        <f t="shared" si="3554"/>
        <v>#DIV/0!</v>
      </c>
      <c r="DY188" s="34" t="e">
        <f t="shared" si="3589"/>
        <v>#DIV/0!</v>
      </c>
      <c r="DZ188" s="34" t="e">
        <f t="shared" si="3590"/>
        <v>#DIV/0!</v>
      </c>
      <c r="EA188" s="34" t="e">
        <f t="shared" si="3591"/>
        <v>#DIV/0!</v>
      </c>
      <c r="EB188" s="34" t="e">
        <f t="shared" si="3592"/>
        <v>#DIV/0!</v>
      </c>
      <c r="EC188" s="34" t="e">
        <f t="shared" si="3593"/>
        <v>#DIV/0!</v>
      </c>
      <c r="ED188" s="34" t="e">
        <f t="shared" si="3594"/>
        <v>#DIV/0!</v>
      </c>
      <c r="EE188" s="139" t="e">
        <f t="shared" si="3595"/>
        <v>#DIV/0!</v>
      </c>
      <c r="EF188" s="138" t="e">
        <f t="shared" si="3596"/>
        <v>#DIV/0!</v>
      </c>
      <c r="EG188" s="34" t="e">
        <f t="shared" si="3597"/>
        <v>#DIV/0!</v>
      </c>
      <c r="EH188" s="34" t="e">
        <f t="shared" si="3598"/>
        <v>#DIV/0!</v>
      </c>
      <c r="EI188" s="139" t="e">
        <f t="shared" si="3599"/>
        <v>#DIV/0!</v>
      </c>
      <c r="EJ188" s="138" t="e">
        <f t="shared" si="3600"/>
        <v>#DIV/0!</v>
      </c>
      <c r="EK188" s="34" t="e">
        <f t="shared" si="3601"/>
        <v>#DIV/0!</v>
      </c>
      <c r="EL188" s="34" t="e">
        <f t="shared" si="3602"/>
        <v>#DIV/0!</v>
      </c>
      <c r="EM188" s="34" t="e">
        <f t="shared" si="3603"/>
        <v>#DIV/0!</v>
      </c>
      <c r="EN188" s="34" t="e">
        <f t="shared" si="3604"/>
        <v>#DIV/0!</v>
      </c>
      <c r="EO188" s="139" t="e">
        <f t="shared" si="3605"/>
        <v>#DIV/0!</v>
      </c>
      <c r="EP188" s="138" t="e">
        <f t="shared" si="3606"/>
        <v>#DIV/0!</v>
      </c>
      <c r="EQ188" s="34" t="e">
        <f t="shared" si="3607"/>
        <v>#DIV/0!</v>
      </c>
      <c r="ER188" s="34" t="e">
        <f t="shared" si="3608"/>
        <v>#DIV/0!</v>
      </c>
      <c r="ES188" s="34" t="e">
        <f t="shared" si="3609"/>
        <v>#DIV/0!</v>
      </c>
      <c r="ET188" s="139" t="e">
        <f t="shared" si="3610"/>
        <v>#DIV/0!</v>
      </c>
      <c r="EU188" s="138" t="e">
        <f t="shared" si="3611"/>
        <v>#DIV/0!</v>
      </c>
      <c r="EV188" s="34" t="e">
        <f t="shared" si="3612"/>
        <v>#DIV/0!</v>
      </c>
      <c r="EW188" s="34" t="e">
        <f t="shared" si="3613"/>
        <v>#DIV/0!</v>
      </c>
      <c r="EX188" s="34" t="e">
        <f t="shared" si="3614"/>
        <v>#DIV/0!</v>
      </c>
      <c r="EY188" s="34" t="e">
        <f t="shared" si="3615"/>
        <v>#DIV/0!</v>
      </c>
      <c r="EZ188" s="34" t="e">
        <f t="shared" si="3616"/>
        <v>#DIV/0!</v>
      </c>
      <c r="FA188" s="34" t="e">
        <f t="shared" si="3617"/>
        <v>#DIV/0!</v>
      </c>
      <c r="FB188" s="34" t="e">
        <f t="shared" si="3618"/>
        <v>#DIV/0!</v>
      </c>
      <c r="FC188" s="34" t="e">
        <f t="shared" si="3619"/>
        <v>#DIV/0!</v>
      </c>
      <c r="FD188" s="34" t="e">
        <f t="shared" si="3620"/>
        <v>#DIV/0!</v>
      </c>
      <c r="FE188" s="34" t="e">
        <f t="shared" si="3621"/>
        <v>#DIV/0!</v>
      </c>
      <c r="FF188" s="139" t="e">
        <f t="shared" si="3622"/>
        <v>#DIV/0!</v>
      </c>
    </row>
    <row r="189" spans="1:162" x14ac:dyDescent="0.25">
      <c r="B189" s="177">
        <v>43119</v>
      </c>
      <c r="C189" s="271"/>
      <c r="D189" s="53"/>
      <c r="E189" s="129"/>
      <c r="F189" s="25"/>
      <c r="G189" s="25"/>
      <c r="H189" s="150"/>
      <c r="I189" s="24"/>
      <c r="J189" s="151"/>
      <c r="K189" s="151"/>
      <c r="L189" s="152">
        <v>8.9</v>
      </c>
      <c r="M189" s="152" t="e">
        <f t="shared" si="3623"/>
        <v>#DIV/0!</v>
      </c>
      <c r="N189" s="153" t="e">
        <f t="shared" si="3624"/>
        <v>#DIV/0!</v>
      </c>
      <c r="O189" s="25"/>
      <c r="P189" s="95"/>
      <c r="Q189" s="41"/>
      <c r="R189" s="41"/>
      <c r="S189" s="41"/>
      <c r="T189" s="41"/>
      <c r="U189" s="41"/>
      <c r="V189" s="41"/>
      <c r="W189" s="42"/>
      <c r="X189" s="95"/>
      <c r="Y189" s="41"/>
      <c r="Z189" s="41"/>
      <c r="AA189" s="42"/>
      <c r="AB189" s="95"/>
      <c r="AC189" s="41"/>
      <c r="AD189" s="41"/>
      <c r="AE189" s="41"/>
      <c r="AF189" s="41"/>
      <c r="AG189" s="42"/>
      <c r="AH189" s="95"/>
      <c r="AI189" s="41"/>
      <c r="AJ189" s="41"/>
      <c r="AK189" s="41"/>
      <c r="AL189" s="42"/>
      <c r="AM189" s="95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2"/>
      <c r="BB189" s="95" t="e">
        <f t="shared" si="3625"/>
        <v>#DIV/0!</v>
      </c>
      <c r="BC189" s="41" t="e">
        <f t="shared" si="3626"/>
        <v>#DIV/0!</v>
      </c>
      <c r="BD189" s="41" t="e">
        <f t="shared" si="3627"/>
        <v>#DIV/0!</v>
      </c>
      <c r="BE189" s="41" t="e">
        <f t="shared" si="3628"/>
        <v>#DIV/0!</v>
      </c>
      <c r="BF189" s="41" t="e">
        <f t="shared" si="3629"/>
        <v>#DIV/0!</v>
      </c>
      <c r="BG189" s="41" t="e">
        <f t="shared" si="3630"/>
        <v>#DIV/0!</v>
      </c>
      <c r="BH189" s="41" t="e">
        <f t="shared" si="3631"/>
        <v>#DIV/0!</v>
      </c>
      <c r="BI189" s="42" t="e">
        <f t="shared" si="3632"/>
        <v>#DIV/0!</v>
      </c>
      <c r="BJ189" s="95" t="e">
        <f t="shared" si="3633"/>
        <v>#DIV/0!</v>
      </c>
      <c r="BK189" s="41" t="e">
        <f t="shared" si="3634"/>
        <v>#DIV/0!</v>
      </c>
      <c r="BL189" s="41" t="e">
        <f t="shared" si="3635"/>
        <v>#DIV/0!</v>
      </c>
      <c r="BM189" s="42" t="e">
        <f t="shared" si="3636"/>
        <v>#DIV/0!</v>
      </c>
      <c r="BN189" s="95" t="e">
        <f t="shared" si="3637"/>
        <v>#DIV/0!</v>
      </c>
      <c r="BO189" s="41" t="e">
        <f t="shared" si="3638"/>
        <v>#DIV/0!</v>
      </c>
      <c r="BP189" s="41" t="e">
        <f t="shared" si="3639"/>
        <v>#DIV/0!</v>
      </c>
      <c r="BQ189" s="41" t="e">
        <f t="shared" si="3640"/>
        <v>#DIV/0!</v>
      </c>
      <c r="BR189" s="41" t="e">
        <f t="shared" si="3641"/>
        <v>#DIV/0!</v>
      </c>
      <c r="BS189" s="42" t="e">
        <f t="shared" si="3642"/>
        <v>#DIV/0!</v>
      </c>
      <c r="BT189" s="95" t="e">
        <f t="shared" si="3643"/>
        <v>#DIV/0!</v>
      </c>
      <c r="BU189" s="41" t="e">
        <f t="shared" si="3644"/>
        <v>#DIV/0!</v>
      </c>
      <c r="BV189" s="41" t="e">
        <f t="shared" si="3645"/>
        <v>#DIV/0!</v>
      </c>
      <c r="BW189" s="41" t="e">
        <f t="shared" si="3646"/>
        <v>#DIV/0!</v>
      </c>
      <c r="BX189" s="42" t="e">
        <f t="shared" si="3647"/>
        <v>#DIV/0!</v>
      </c>
      <c r="BY189" s="95" t="e">
        <f t="shared" si="3648"/>
        <v>#DIV/0!</v>
      </c>
      <c r="BZ189" s="41" t="e">
        <f t="shared" si="3649"/>
        <v>#DIV/0!</v>
      </c>
      <c r="CA189" s="41" t="e">
        <f t="shared" si="3650"/>
        <v>#DIV/0!</v>
      </c>
      <c r="CB189" s="41" t="e">
        <f t="shared" si="3651"/>
        <v>#DIV/0!</v>
      </c>
      <c r="CC189" s="41" t="e">
        <f t="shared" si="3652"/>
        <v>#DIV/0!</v>
      </c>
      <c r="CD189" s="41" t="e">
        <f t="shared" si="3653"/>
        <v>#DIV/0!</v>
      </c>
      <c r="CE189" s="41" t="e">
        <f t="shared" si="3654"/>
        <v>#DIV/0!</v>
      </c>
      <c r="CF189" s="41" t="e">
        <f t="shared" si="3655"/>
        <v>#DIV/0!</v>
      </c>
      <c r="CG189" s="41" t="e">
        <f t="shared" si="3656"/>
        <v>#DIV/0!</v>
      </c>
      <c r="CH189" s="41" t="e">
        <f t="shared" si="3657"/>
        <v>#DIV/0!</v>
      </c>
      <c r="CI189" s="41" t="e">
        <f t="shared" si="3658"/>
        <v>#DIV/0!</v>
      </c>
      <c r="CJ189" s="42" t="e">
        <f t="shared" si="3659"/>
        <v>#DIV/0!</v>
      </c>
      <c r="CL189" s="36"/>
      <c r="CN189" s="95"/>
      <c r="CO189" s="41"/>
      <c r="CP189" s="41"/>
      <c r="CQ189" s="41"/>
      <c r="CR189" s="41"/>
      <c r="CS189" s="41"/>
      <c r="CT189" s="41"/>
      <c r="CU189" s="42"/>
      <c r="CV189" s="95"/>
      <c r="CW189" s="41"/>
      <c r="CX189" s="41"/>
      <c r="CY189" s="42"/>
      <c r="CZ189" s="95"/>
      <c r="DA189" s="41"/>
      <c r="DB189" s="41"/>
      <c r="DC189" s="41"/>
      <c r="DD189" s="41"/>
      <c r="DE189" s="42"/>
      <c r="DF189" s="95"/>
      <c r="DG189" s="41"/>
      <c r="DH189" s="41"/>
      <c r="DI189" s="41"/>
      <c r="DJ189" s="42"/>
      <c r="DK189" s="95"/>
      <c r="DL189" s="41"/>
      <c r="DM189" s="41"/>
      <c r="DN189" s="41"/>
      <c r="DO189" s="41"/>
      <c r="DP189" s="41"/>
      <c r="DQ189" s="41"/>
      <c r="DR189" s="41"/>
      <c r="DS189" s="41"/>
      <c r="DT189" s="41"/>
      <c r="DU189" s="41"/>
      <c r="DV189" s="42"/>
      <c r="DX189" s="138" t="e">
        <f t="shared" si="3554"/>
        <v>#DIV/0!</v>
      </c>
      <c r="DY189" s="34" t="e">
        <f t="shared" si="3589"/>
        <v>#DIV/0!</v>
      </c>
      <c r="DZ189" s="34" t="e">
        <f t="shared" si="3590"/>
        <v>#DIV/0!</v>
      </c>
      <c r="EA189" s="34" t="e">
        <f t="shared" si="3591"/>
        <v>#DIV/0!</v>
      </c>
      <c r="EB189" s="34" t="e">
        <f t="shared" si="3592"/>
        <v>#DIV/0!</v>
      </c>
      <c r="EC189" s="34" t="e">
        <f t="shared" si="3593"/>
        <v>#DIV/0!</v>
      </c>
      <c r="ED189" s="34" t="e">
        <f t="shared" si="3594"/>
        <v>#DIV/0!</v>
      </c>
      <c r="EE189" s="139" t="e">
        <f t="shared" si="3595"/>
        <v>#DIV/0!</v>
      </c>
      <c r="EF189" s="138" t="e">
        <f t="shared" si="3596"/>
        <v>#DIV/0!</v>
      </c>
      <c r="EG189" s="34" t="e">
        <f t="shared" si="3597"/>
        <v>#DIV/0!</v>
      </c>
      <c r="EH189" s="34" t="e">
        <f t="shared" si="3598"/>
        <v>#DIV/0!</v>
      </c>
      <c r="EI189" s="139" t="e">
        <f t="shared" si="3599"/>
        <v>#DIV/0!</v>
      </c>
      <c r="EJ189" s="138" t="e">
        <f t="shared" si="3600"/>
        <v>#DIV/0!</v>
      </c>
      <c r="EK189" s="34" t="e">
        <f t="shared" si="3601"/>
        <v>#DIV/0!</v>
      </c>
      <c r="EL189" s="34" t="e">
        <f t="shared" si="3602"/>
        <v>#DIV/0!</v>
      </c>
      <c r="EM189" s="34" t="e">
        <f t="shared" si="3603"/>
        <v>#DIV/0!</v>
      </c>
      <c r="EN189" s="34" t="e">
        <f t="shared" si="3604"/>
        <v>#DIV/0!</v>
      </c>
      <c r="EO189" s="139" t="e">
        <f t="shared" si="3605"/>
        <v>#DIV/0!</v>
      </c>
      <c r="EP189" s="138" t="e">
        <f t="shared" si="3606"/>
        <v>#DIV/0!</v>
      </c>
      <c r="EQ189" s="34" t="e">
        <f t="shared" si="3607"/>
        <v>#DIV/0!</v>
      </c>
      <c r="ER189" s="34" t="e">
        <f t="shared" si="3608"/>
        <v>#DIV/0!</v>
      </c>
      <c r="ES189" s="34" t="e">
        <f t="shared" si="3609"/>
        <v>#DIV/0!</v>
      </c>
      <c r="ET189" s="139" t="e">
        <f t="shared" si="3610"/>
        <v>#DIV/0!</v>
      </c>
      <c r="EU189" s="138" t="e">
        <f t="shared" si="3611"/>
        <v>#DIV/0!</v>
      </c>
      <c r="EV189" s="34" t="e">
        <f t="shared" si="3612"/>
        <v>#DIV/0!</v>
      </c>
      <c r="EW189" s="34" t="e">
        <f t="shared" si="3613"/>
        <v>#DIV/0!</v>
      </c>
      <c r="EX189" s="34" t="e">
        <f t="shared" si="3614"/>
        <v>#DIV/0!</v>
      </c>
      <c r="EY189" s="34" t="e">
        <f t="shared" si="3615"/>
        <v>#DIV/0!</v>
      </c>
      <c r="EZ189" s="34" t="e">
        <f t="shared" si="3616"/>
        <v>#DIV/0!</v>
      </c>
      <c r="FA189" s="34" t="e">
        <f t="shared" si="3617"/>
        <v>#DIV/0!</v>
      </c>
      <c r="FB189" s="34" t="e">
        <f t="shared" si="3618"/>
        <v>#DIV/0!</v>
      </c>
      <c r="FC189" s="34" t="e">
        <f t="shared" si="3619"/>
        <v>#DIV/0!</v>
      </c>
      <c r="FD189" s="34" t="e">
        <f t="shared" si="3620"/>
        <v>#DIV/0!</v>
      </c>
      <c r="FE189" s="34" t="e">
        <f t="shared" si="3621"/>
        <v>#DIV/0!</v>
      </c>
      <c r="FF189" s="139" t="e">
        <f t="shared" si="3622"/>
        <v>#DIV/0!</v>
      </c>
    </row>
    <row r="190" spans="1:162" x14ac:dyDescent="0.25">
      <c r="B190" s="177">
        <v>43120</v>
      </c>
      <c r="C190" s="271"/>
      <c r="D190" s="53"/>
      <c r="E190" s="129"/>
      <c r="F190" s="25"/>
      <c r="G190" s="25"/>
      <c r="H190" s="150"/>
      <c r="I190" s="24"/>
      <c r="J190" s="151"/>
      <c r="K190" s="151"/>
      <c r="L190" s="152">
        <v>9</v>
      </c>
      <c r="M190" s="152" t="e">
        <f t="shared" si="3623"/>
        <v>#DIV/0!</v>
      </c>
      <c r="N190" s="153" t="e">
        <f t="shared" si="3624"/>
        <v>#DIV/0!</v>
      </c>
      <c r="O190" s="25"/>
      <c r="P190" s="95"/>
      <c r="Q190" s="41"/>
      <c r="R190" s="41"/>
      <c r="S190" s="41"/>
      <c r="T190" s="41"/>
      <c r="U190" s="41"/>
      <c r="V190" s="41"/>
      <c r="W190" s="42"/>
      <c r="X190" s="95"/>
      <c r="Y190" s="41"/>
      <c r="Z190" s="41"/>
      <c r="AA190" s="42"/>
      <c r="AB190" s="95"/>
      <c r="AC190" s="41"/>
      <c r="AD190" s="41"/>
      <c r="AE190" s="41"/>
      <c r="AF190" s="41"/>
      <c r="AG190" s="42"/>
      <c r="AH190" s="95"/>
      <c r="AI190" s="41"/>
      <c r="AJ190" s="41"/>
      <c r="AK190" s="41"/>
      <c r="AL190" s="42"/>
      <c r="AM190" s="95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2"/>
      <c r="BB190" s="95" t="e">
        <f t="shared" si="3625"/>
        <v>#DIV/0!</v>
      </c>
      <c r="BC190" s="41" t="e">
        <f t="shared" si="3626"/>
        <v>#DIV/0!</v>
      </c>
      <c r="BD190" s="41" t="e">
        <f t="shared" si="3627"/>
        <v>#DIV/0!</v>
      </c>
      <c r="BE190" s="41" t="e">
        <f t="shared" si="3628"/>
        <v>#DIV/0!</v>
      </c>
      <c r="BF190" s="41" t="e">
        <f t="shared" si="3629"/>
        <v>#DIV/0!</v>
      </c>
      <c r="BG190" s="41" t="e">
        <f t="shared" si="3630"/>
        <v>#DIV/0!</v>
      </c>
      <c r="BH190" s="41" t="e">
        <f t="shared" si="3631"/>
        <v>#DIV/0!</v>
      </c>
      <c r="BI190" s="42" t="e">
        <f t="shared" si="3632"/>
        <v>#DIV/0!</v>
      </c>
      <c r="BJ190" s="95" t="e">
        <f t="shared" si="3633"/>
        <v>#DIV/0!</v>
      </c>
      <c r="BK190" s="41" t="e">
        <f t="shared" si="3634"/>
        <v>#DIV/0!</v>
      </c>
      <c r="BL190" s="41" t="e">
        <f t="shared" si="3635"/>
        <v>#DIV/0!</v>
      </c>
      <c r="BM190" s="42" t="e">
        <f t="shared" si="3636"/>
        <v>#DIV/0!</v>
      </c>
      <c r="BN190" s="95" t="e">
        <f t="shared" si="3637"/>
        <v>#DIV/0!</v>
      </c>
      <c r="BO190" s="41" t="e">
        <f t="shared" si="3638"/>
        <v>#DIV/0!</v>
      </c>
      <c r="BP190" s="41" t="e">
        <f t="shared" si="3639"/>
        <v>#DIV/0!</v>
      </c>
      <c r="BQ190" s="41" t="e">
        <f t="shared" si="3640"/>
        <v>#DIV/0!</v>
      </c>
      <c r="BR190" s="41" t="e">
        <f t="shared" si="3641"/>
        <v>#DIV/0!</v>
      </c>
      <c r="BS190" s="42" t="e">
        <f t="shared" si="3642"/>
        <v>#DIV/0!</v>
      </c>
      <c r="BT190" s="95" t="e">
        <f t="shared" si="3643"/>
        <v>#DIV/0!</v>
      </c>
      <c r="BU190" s="41" t="e">
        <f t="shared" si="3644"/>
        <v>#DIV/0!</v>
      </c>
      <c r="BV190" s="41" t="e">
        <f t="shared" si="3645"/>
        <v>#DIV/0!</v>
      </c>
      <c r="BW190" s="41" t="e">
        <f t="shared" si="3646"/>
        <v>#DIV/0!</v>
      </c>
      <c r="BX190" s="42" t="e">
        <f t="shared" si="3647"/>
        <v>#DIV/0!</v>
      </c>
      <c r="BY190" s="95" t="e">
        <f t="shared" si="3648"/>
        <v>#DIV/0!</v>
      </c>
      <c r="BZ190" s="41" t="e">
        <f t="shared" si="3649"/>
        <v>#DIV/0!</v>
      </c>
      <c r="CA190" s="41" t="e">
        <f t="shared" si="3650"/>
        <v>#DIV/0!</v>
      </c>
      <c r="CB190" s="41" t="e">
        <f t="shared" si="3651"/>
        <v>#DIV/0!</v>
      </c>
      <c r="CC190" s="41" t="e">
        <f t="shared" si="3652"/>
        <v>#DIV/0!</v>
      </c>
      <c r="CD190" s="41" t="e">
        <f t="shared" si="3653"/>
        <v>#DIV/0!</v>
      </c>
      <c r="CE190" s="41" t="e">
        <f t="shared" si="3654"/>
        <v>#DIV/0!</v>
      </c>
      <c r="CF190" s="41" t="e">
        <f t="shared" si="3655"/>
        <v>#DIV/0!</v>
      </c>
      <c r="CG190" s="41" t="e">
        <f t="shared" si="3656"/>
        <v>#DIV/0!</v>
      </c>
      <c r="CH190" s="41" t="e">
        <f t="shared" si="3657"/>
        <v>#DIV/0!</v>
      </c>
      <c r="CI190" s="41" t="e">
        <f t="shared" si="3658"/>
        <v>#DIV/0!</v>
      </c>
      <c r="CJ190" s="42" t="e">
        <f t="shared" si="3659"/>
        <v>#DIV/0!</v>
      </c>
      <c r="CL190" s="36"/>
      <c r="CN190" s="95"/>
      <c r="CO190" s="41"/>
      <c r="CP190" s="41"/>
      <c r="CQ190" s="41"/>
      <c r="CR190" s="41"/>
      <c r="CS190" s="41"/>
      <c r="CT190" s="41"/>
      <c r="CU190" s="42"/>
      <c r="CV190" s="95"/>
      <c r="CW190" s="41"/>
      <c r="CX190" s="41"/>
      <c r="CY190" s="42"/>
      <c r="CZ190" s="95"/>
      <c r="DA190" s="41"/>
      <c r="DB190" s="41"/>
      <c r="DC190" s="41"/>
      <c r="DD190" s="41"/>
      <c r="DE190" s="42"/>
      <c r="DF190" s="95"/>
      <c r="DG190" s="41"/>
      <c r="DH190" s="41"/>
      <c r="DI190" s="41"/>
      <c r="DJ190" s="42"/>
      <c r="DK190" s="95"/>
      <c r="DL190" s="41"/>
      <c r="DM190" s="41"/>
      <c r="DN190" s="41"/>
      <c r="DO190" s="41"/>
      <c r="DP190" s="41"/>
      <c r="DQ190" s="41"/>
      <c r="DR190" s="41"/>
      <c r="DS190" s="41"/>
      <c r="DT190" s="41"/>
      <c r="DU190" s="41"/>
      <c r="DV190" s="42"/>
      <c r="DX190" s="138" t="e">
        <f t="shared" si="3554"/>
        <v>#DIV/0!</v>
      </c>
      <c r="DY190" s="34" t="e">
        <f t="shared" si="3589"/>
        <v>#DIV/0!</v>
      </c>
      <c r="DZ190" s="34" t="e">
        <f t="shared" si="3590"/>
        <v>#DIV/0!</v>
      </c>
      <c r="EA190" s="34" t="e">
        <f t="shared" si="3591"/>
        <v>#DIV/0!</v>
      </c>
      <c r="EB190" s="34" t="e">
        <f t="shared" si="3592"/>
        <v>#DIV/0!</v>
      </c>
      <c r="EC190" s="34" t="e">
        <f t="shared" si="3593"/>
        <v>#DIV/0!</v>
      </c>
      <c r="ED190" s="34" t="e">
        <f t="shared" si="3594"/>
        <v>#DIV/0!</v>
      </c>
      <c r="EE190" s="139" t="e">
        <f t="shared" si="3595"/>
        <v>#DIV/0!</v>
      </c>
      <c r="EF190" s="138" t="e">
        <f t="shared" si="3596"/>
        <v>#DIV/0!</v>
      </c>
      <c r="EG190" s="34" t="e">
        <f t="shared" si="3597"/>
        <v>#DIV/0!</v>
      </c>
      <c r="EH190" s="34" t="e">
        <f t="shared" si="3598"/>
        <v>#DIV/0!</v>
      </c>
      <c r="EI190" s="139" t="e">
        <f t="shared" si="3599"/>
        <v>#DIV/0!</v>
      </c>
      <c r="EJ190" s="138" t="e">
        <f t="shared" si="3600"/>
        <v>#DIV/0!</v>
      </c>
      <c r="EK190" s="34" t="e">
        <f t="shared" si="3601"/>
        <v>#DIV/0!</v>
      </c>
      <c r="EL190" s="34" t="e">
        <f t="shared" si="3602"/>
        <v>#DIV/0!</v>
      </c>
      <c r="EM190" s="34" t="e">
        <f t="shared" si="3603"/>
        <v>#DIV/0!</v>
      </c>
      <c r="EN190" s="34" t="e">
        <f t="shared" si="3604"/>
        <v>#DIV/0!</v>
      </c>
      <c r="EO190" s="139" t="e">
        <f t="shared" si="3605"/>
        <v>#DIV/0!</v>
      </c>
      <c r="EP190" s="138" t="e">
        <f t="shared" si="3606"/>
        <v>#DIV/0!</v>
      </c>
      <c r="EQ190" s="34" t="e">
        <f t="shared" si="3607"/>
        <v>#DIV/0!</v>
      </c>
      <c r="ER190" s="34" t="e">
        <f t="shared" si="3608"/>
        <v>#DIV/0!</v>
      </c>
      <c r="ES190" s="34" t="e">
        <f t="shared" si="3609"/>
        <v>#DIV/0!</v>
      </c>
      <c r="ET190" s="139" t="e">
        <f t="shared" si="3610"/>
        <v>#DIV/0!</v>
      </c>
      <c r="EU190" s="138" t="e">
        <f t="shared" si="3611"/>
        <v>#DIV/0!</v>
      </c>
      <c r="EV190" s="34" t="e">
        <f t="shared" si="3612"/>
        <v>#DIV/0!</v>
      </c>
      <c r="EW190" s="34" t="e">
        <f t="shared" si="3613"/>
        <v>#DIV/0!</v>
      </c>
      <c r="EX190" s="34" t="e">
        <f t="shared" si="3614"/>
        <v>#DIV/0!</v>
      </c>
      <c r="EY190" s="34" t="e">
        <f t="shared" si="3615"/>
        <v>#DIV/0!</v>
      </c>
      <c r="EZ190" s="34" t="e">
        <f t="shared" si="3616"/>
        <v>#DIV/0!</v>
      </c>
      <c r="FA190" s="34" t="e">
        <f t="shared" si="3617"/>
        <v>#DIV/0!</v>
      </c>
      <c r="FB190" s="34" t="e">
        <f t="shared" si="3618"/>
        <v>#DIV/0!</v>
      </c>
      <c r="FC190" s="34" t="e">
        <f t="shared" si="3619"/>
        <v>#DIV/0!</v>
      </c>
      <c r="FD190" s="34" t="e">
        <f t="shared" si="3620"/>
        <v>#DIV/0!</v>
      </c>
      <c r="FE190" s="34" t="e">
        <f t="shared" si="3621"/>
        <v>#DIV/0!</v>
      </c>
      <c r="FF190" s="139" t="e">
        <f t="shared" si="3622"/>
        <v>#DIV/0!</v>
      </c>
    </row>
    <row r="191" spans="1:162" x14ac:dyDescent="0.25">
      <c r="B191" s="177">
        <v>43126</v>
      </c>
      <c r="C191" s="271"/>
      <c r="D191" s="53"/>
      <c r="E191" s="129"/>
      <c r="F191" s="25"/>
      <c r="G191" s="25"/>
      <c r="H191" s="150"/>
      <c r="I191" s="24"/>
      <c r="J191" s="151"/>
      <c r="K191" s="151"/>
      <c r="L191" s="152">
        <v>9.1999999999999993</v>
      </c>
      <c r="M191" s="152" t="e">
        <f t="shared" si="3623"/>
        <v>#DIV/0!</v>
      </c>
      <c r="N191" s="153" t="e">
        <f t="shared" si="3624"/>
        <v>#DIV/0!</v>
      </c>
      <c r="O191" s="25"/>
      <c r="P191" s="95"/>
      <c r="Q191" s="41"/>
      <c r="R191" s="41"/>
      <c r="S191" s="41"/>
      <c r="T191" s="41"/>
      <c r="U191" s="41"/>
      <c r="V191" s="41"/>
      <c r="W191" s="42"/>
      <c r="X191" s="95"/>
      <c r="Y191" s="41"/>
      <c r="Z191" s="41"/>
      <c r="AA191" s="42"/>
      <c r="AB191" s="95"/>
      <c r="AC191" s="41"/>
      <c r="AD191" s="41"/>
      <c r="AE191" s="41"/>
      <c r="AF191" s="41"/>
      <c r="AG191" s="42"/>
      <c r="AH191" s="95"/>
      <c r="AI191" s="41"/>
      <c r="AJ191" s="41"/>
      <c r="AK191" s="41"/>
      <c r="AL191" s="42"/>
      <c r="AM191" s="95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2"/>
      <c r="BB191" s="288">
        <v>0</v>
      </c>
      <c r="BC191" s="284">
        <v>0</v>
      </c>
      <c r="BD191" s="284">
        <v>0</v>
      </c>
      <c r="BE191" s="284">
        <v>0</v>
      </c>
      <c r="BF191" s="284">
        <v>0</v>
      </c>
      <c r="BG191" s="284">
        <v>0</v>
      </c>
      <c r="BH191" s="284">
        <v>0</v>
      </c>
      <c r="BI191" s="289">
        <v>0</v>
      </c>
      <c r="BJ191" s="288">
        <v>0</v>
      </c>
      <c r="BK191" s="284">
        <v>0</v>
      </c>
      <c r="BL191" s="284">
        <v>0</v>
      </c>
      <c r="BM191" s="289">
        <v>0</v>
      </c>
      <c r="BN191" s="288">
        <v>0</v>
      </c>
      <c r="BO191" s="284">
        <v>0</v>
      </c>
      <c r="BP191" s="284">
        <v>0</v>
      </c>
      <c r="BQ191" s="284">
        <v>0</v>
      </c>
      <c r="BR191" s="284">
        <v>0</v>
      </c>
      <c r="BS191" s="289">
        <v>0</v>
      </c>
      <c r="BT191" s="288">
        <v>0</v>
      </c>
      <c r="BU191" s="284">
        <v>0</v>
      </c>
      <c r="BV191" s="284">
        <v>0</v>
      </c>
      <c r="BW191" s="284">
        <v>0</v>
      </c>
      <c r="BX191" s="289">
        <v>0</v>
      </c>
      <c r="BY191" s="288">
        <v>0</v>
      </c>
      <c r="BZ191" s="284">
        <v>0</v>
      </c>
      <c r="CA191" s="284">
        <v>0</v>
      </c>
      <c r="CB191" s="284">
        <v>0</v>
      </c>
      <c r="CC191" s="284">
        <v>0</v>
      </c>
      <c r="CD191" s="284">
        <v>0</v>
      </c>
      <c r="CE191" s="284">
        <v>0</v>
      </c>
      <c r="CF191" s="284">
        <v>0</v>
      </c>
      <c r="CG191" s="284">
        <v>0</v>
      </c>
      <c r="CH191" s="284">
        <v>0</v>
      </c>
      <c r="CI191" s="284">
        <v>0</v>
      </c>
      <c r="CJ191" s="289">
        <v>0</v>
      </c>
      <c r="CL191" s="36"/>
      <c r="CN191" s="95"/>
      <c r="CO191" s="41"/>
      <c r="CP191" s="41"/>
      <c r="CQ191" s="41"/>
      <c r="CR191" s="41"/>
      <c r="CS191" s="41"/>
      <c r="CT191" s="41"/>
      <c r="CU191" s="42"/>
      <c r="CV191" s="95"/>
      <c r="CW191" s="41"/>
      <c r="CX191" s="41"/>
      <c r="CY191" s="42"/>
      <c r="CZ191" s="95"/>
      <c r="DA191" s="41"/>
      <c r="DB191" s="41"/>
      <c r="DC191" s="41"/>
      <c r="DD191" s="41"/>
      <c r="DE191" s="42"/>
      <c r="DF191" s="95"/>
      <c r="DG191" s="41"/>
      <c r="DH191" s="41"/>
      <c r="DI191" s="41"/>
      <c r="DJ191" s="42"/>
      <c r="DK191" s="95"/>
      <c r="DL191" s="41"/>
      <c r="DM191" s="41"/>
      <c r="DN191" s="41"/>
      <c r="DO191" s="41"/>
      <c r="DP191" s="41"/>
      <c r="DQ191" s="41"/>
      <c r="DR191" s="41"/>
      <c r="DS191" s="41"/>
      <c r="DT191" s="41"/>
      <c r="DU191" s="41"/>
      <c r="DV191" s="42"/>
      <c r="DX191" s="241"/>
      <c r="DY191" s="242"/>
      <c r="DZ191" s="242"/>
      <c r="EA191" s="242"/>
      <c r="EB191" s="242"/>
      <c r="EC191" s="242"/>
      <c r="ED191" s="242"/>
      <c r="EE191" s="243"/>
      <c r="EF191" s="241"/>
      <c r="EG191" s="242"/>
      <c r="EH191" s="242"/>
      <c r="EI191" s="243"/>
      <c r="EJ191" s="241"/>
      <c r="EK191" s="242"/>
      <c r="EL191" s="242"/>
      <c r="EM191" s="242"/>
      <c r="EN191" s="242"/>
      <c r="EO191" s="243"/>
      <c r="EP191" s="241"/>
      <c r="EQ191" s="242"/>
      <c r="ER191" s="242"/>
      <c r="ES191" s="242"/>
      <c r="ET191" s="243"/>
      <c r="EU191" s="241"/>
      <c r="EV191" s="242"/>
      <c r="EW191" s="242"/>
      <c r="EX191" s="242"/>
      <c r="EY191" s="242"/>
      <c r="EZ191" s="242"/>
      <c r="FA191" s="242"/>
      <c r="FB191" s="242"/>
      <c r="FC191" s="242"/>
      <c r="FD191" s="242"/>
      <c r="FE191" s="242"/>
      <c r="FF191" s="243"/>
    </row>
    <row r="192" spans="1:162" x14ac:dyDescent="0.25">
      <c r="B192" s="177">
        <v>43128</v>
      </c>
      <c r="C192" s="271"/>
      <c r="D192" s="53"/>
      <c r="E192" s="129"/>
      <c r="F192" s="25"/>
      <c r="G192" s="25"/>
      <c r="H192" s="150"/>
      <c r="I192" s="24"/>
      <c r="J192" s="151"/>
      <c r="K192" s="151"/>
      <c r="L192" s="152">
        <v>9.3000000000000007</v>
      </c>
      <c r="M192" s="152" t="e">
        <f t="shared" si="3623"/>
        <v>#DIV/0!</v>
      </c>
      <c r="N192" s="153" t="e">
        <f t="shared" si="3624"/>
        <v>#DIV/0!</v>
      </c>
      <c r="O192" s="25"/>
      <c r="P192" s="95"/>
      <c r="Q192" s="41"/>
      <c r="R192" s="41"/>
      <c r="S192" s="41"/>
      <c r="T192" s="41"/>
      <c r="U192" s="41"/>
      <c r="V192" s="41"/>
      <c r="W192" s="42"/>
      <c r="X192" s="95"/>
      <c r="Y192" s="41"/>
      <c r="Z192" s="41"/>
      <c r="AA192" s="42"/>
      <c r="AB192" s="95"/>
      <c r="AC192" s="41"/>
      <c r="AD192" s="41"/>
      <c r="AE192" s="41"/>
      <c r="AF192" s="41"/>
      <c r="AG192" s="42"/>
      <c r="AH192" s="95"/>
      <c r="AI192" s="41"/>
      <c r="AJ192" s="41"/>
      <c r="AK192" s="41"/>
      <c r="AL192" s="42"/>
      <c r="AM192" s="95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2"/>
      <c r="BB192" s="95" t="e">
        <f t="shared" si="3625"/>
        <v>#DIV/0!</v>
      </c>
      <c r="BC192" s="41" t="e">
        <f t="shared" si="3626"/>
        <v>#DIV/0!</v>
      </c>
      <c r="BD192" s="41" t="e">
        <f t="shared" si="3627"/>
        <v>#DIV/0!</v>
      </c>
      <c r="BE192" s="41" t="e">
        <f t="shared" si="3628"/>
        <v>#DIV/0!</v>
      </c>
      <c r="BF192" s="41" t="e">
        <f t="shared" si="3629"/>
        <v>#DIV/0!</v>
      </c>
      <c r="BG192" s="41" t="e">
        <f t="shared" si="3630"/>
        <v>#DIV/0!</v>
      </c>
      <c r="BH192" s="41" t="e">
        <f t="shared" si="3631"/>
        <v>#DIV/0!</v>
      </c>
      <c r="BI192" s="42" t="e">
        <f t="shared" si="3632"/>
        <v>#DIV/0!</v>
      </c>
      <c r="BJ192" s="95" t="e">
        <f t="shared" si="3633"/>
        <v>#DIV/0!</v>
      </c>
      <c r="BK192" s="41" t="e">
        <f t="shared" si="3634"/>
        <v>#DIV/0!</v>
      </c>
      <c r="BL192" s="41" t="e">
        <f t="shared" si="3635"/>
        <v>#DIV/0!</v>
      </c>
      <c r="BM192" s="42" t="e">
        <f t="shared" si="3636"/>
        <v>#DIV/0!</v>
      </c>
      <c r="BN192" s="95" t="e">
        <f t="shared" si="3637"/>
        <v>#DIV/0!</v>
      </c>
      <c r="BO192" s="41" t="e">
        <f t="shared" si="3638"/>
        <v>#DIV/0!</v>
      </c>
      <c r="BP192" s="41" t="e">
        <f t="shared" si="3639"/>
        <v>#DIV/0!</v>
      </c>
      <c r="BQ192" s="41" t="e">
        <f t="shared" si="3640"/>
        <v>#DIV/0!</v>
      </c>
      <c r="BR192" s="41" t="e">
        <f t="shared" si="3641"/>
        <v>#DIV/0!</v>
      </c>
      <c r="BS192" s="42" t="e">
        <f t="shared" si="3642"/>
        <v>#DIV/0!</v>
      </c>
      <c r="BT192" s="95" t="e">
        <f t="shared" si="3643"/>
        <v>#DIV/0!</v>
      </c>
      <c r="BU192" s="41" t="e">
        <f t="shared" si="3644"/>
        <v>#DIV/0!</v>
      </c>
      <c r="BV192" s="41" t="e">
        <f t="shared" si="3645"/>
        <v>#DIV/0!</v>
      </c>
      <c r="BW192" s="41" t="e">
        <f t="shared" si="3646"/>
        <v>#DIV/0!</v>
      </c>
      <c r="BX192" s="42" t="e">
        <f t="shared" si="3647"/>
        <v>#DIV/0!</v>
      </c>
      <c r="BY192" s="95" t="e">
        <f t="shared" si="3648"/>
        <v>#DIV/0!</v>
      </c>
      <c r="BZ192" s="41" t="e">
        <f t="shared" si="3649"/>
        <v>#DIV/0!</v>
      </c>
      <c r="CA192" s="41" t="e">
        <f t="shared" si="3650"/>
        <v>#DIV/0!</v>
      </c>
      <c r="CB192" s="41" t="e">
        <f t="shared" si="3651"/>
        <v>#DIV/0!</v>
      </c>
      <c r="CC192" s="41" t="e">
        <f t="shared" si="3652"/>
        <v>#DIV/0!</v>
      </c>
      <c r="CD192" s="41" t="e">
        <f t="shared" si="3653"/>
        <v>#DIV/0!</v>
      </c>
      <c r="CE192" s="41" t="e">
        <f t="shared" si="3654"/>
        <v>#DIV/0!</v>
      </c>
      <c r="CF192" s="41" t="e">
        <f t="shared" si="3655"/>
        <v>#DIV/0!</v>
      </c>
      <c r="CG192" s="41" t="e">
        <f t="shared" si="3656"/>
        <v>#DIV/0!</v>
      </c>
      <c r="CH192" s="41" t="e">
        <f t="shared" si="3657"/>
        <v>#DIV/0!</v>
      </c>
      <c r="CI192" s="41" t="e">
        <f t="shared" si="3658"/>
        <v>#DIV/0!</v>
      </c>
      <c r="CJ192" s="42" t="e">
        <f t="shared" si="3659"/>
        <v>#DIV/0!</v>
      </c>
      <c r="CL192" s="36"/>
      <c r="CN192" s="95"/>
      <c r="CO192" s="41"/>
      <c r="CP192" s="41"/>
      <c r="CQ192" s="41"/>
      <c r="CR192" s="41"/>
      <c r="CS192" s="41"/>
      <c r="CT192" s="41"/>
      <c r="CU192" s="42"/>
      <c r="CV192" s="95"/>
      <c r="CW192" s="41"/>
      <c r="CX192" s="41"/>
      <c r="CY192" s="42"/>
      <c r="CZ192" s="95"/>
      <c r="DA192" s="41"/>
      <c r="DB192" s="41"/>
      <c r="DC192" s="41"/>
      <c r="DD192" s="41"/>
      <c r="DE192" s="42"/>
      <c r="DF192" s="95"/>
      <c r="DG192" s="41"/>
      <c r="DH192" s="41"/>
      <c r="DI192" s="41"/>
      <c r="DJ192" s="42"/>
      <c r="DK192" s="95"/>
      <c r="DL192" s="41"/>
      <c r="DM192" s="41"/>
      <c r="DN192" s="41"/>
      <c r="DO192" s="41"/>
      <c r="DP192" s="41"/>
      <c r="DQ192" s="41"/>
      <c r="DR192" s="41"/>
      <c r="DS192" s="41"/>
      <c r="DT192" s="41"/>
      <c r="DU192" s="41"/>
      <c r="DV192" s="42"/>
      <c r="DX192" s="138" t="e">
        <f t="shared" si="3554"/>
        <v>#DIV/0!</v>
      </c>
      <c r="DY192" s="34" t="e">
        <f t="shared" si="3589"/>
        <v>#DIV/0!</v>
      </c>
      <c r="DZ192" s="34" t="e">
        <f t="shared" si="3590"/>
        <v>#DIV/0!</v>
      </c>
      <c r="EA192" s="34" t="e">
        <f t="shared" si="3591"/>
        <v>#DIV/0!</v>
      </c>
      <c r="EB192" s="34" t="e">
        <f t="shared" si="3592"/>
        <v>#DIV/0!</v>
      </c>
      <c r="EC192" s="34" t="e">
        <f t="shared" si="3593"/>
        <v>#DIV/0!</v>
      </c>
      <c r="ED192" s="34" t="e">
        <f t="shared" si="3594"/>
        <v>#DIV/0!</v>
      </c>
      <c r="EE192" s="139" t="e">
        <f t="shared" si="3595"/>
        <v>#DIV/0!</v>
      </c>
      <c r="EF192" s="138" t="e">
        <f t="shared" si="3596"/>
        <v>#DIV/0!</v>
      </c>
      <c r="EG192" s="34" t="e">
        <f t="shared" si="3597"/>
        <v>#DIV/0!</v>
      </c>
      <c r="EH192" s="34" t="e">
        <f t="shared" si="3598"/>
        <v>#DIV/0!</v>
      </c>
      <c r="EI192" s="139" t="e">
        <f t="shared" si="3599"/>
        <v>#DIV/0!</v>
      </c>
      <c r="EJ192" s="138" t="e">
        <f t="shared" si="3600"/>
        <v>#DIV/0!</v>
      </c>
      <c r="EK192" s="34" t="e">
        <f t="shared" si="3601"/>
        <v>#DIV/0!</v>
      </c>
      <c r="EL192" s="34" t="e">
        <f t="shared" si="3602"/>
        <v>#DIV/0!</v>
      </c>
      <c r="EM192" s="34" t="e">
        <f t="shared" si="3603"/>
        <v>#DIV/0!</v>
      </c>
      <c r="EN192" s="34" t="e">
        <f t="shared" si="3604"/>
        <v>#DIV/0!</v>
      </c>
      <c r="EO192" s="139" t="e">
        <f t="shared" si="3605"/>
        <v>#DIV/0!</v>
      </c>
      <c r="EP192" s="138" t="e">
        <f t="shared" si="3606"/>
        <v>#DIV/0!</v>
      </c>
      <c r="EQ192" s="34" t="e">
        <f t="shared" si="3607"/>
        <v>#DIV/0!</v>
      </c>
      <c r="ER192" s="34" t="e">
        <f t="shared" si="3608"/>
        <v>#DIV/0!</v>
      </c>
      <c r="ES192" s="34" t="e">
        <f t="shared" si="3609"/>
        <v>#DIV/0!</v>
      </c>
      <c r="ET192" s="139" t="e">
        <f t="shared" si="3610"/>
        <v>#DIV/0!</v>
      </c>
      <c r="EU192" s="138" t="e">
        <f t="shared" si="3611"/>
        <v>#DIV/0!</v>
      </c>
      <c r="EV192" s="34" t="e">
        <f t="shared" si="3612"/>
        <v>#DIV/0!</v>
      </c>
      <c r="EW192" s="34" t="e">
        <f t="shared" si="3613"/>
        <v>#DIV/0!</v>
      </c>
      <c r="EX192" s="34" t="e">
        <f t="shared" si="3614"/>
        <v>#DIV/0!</v>
      </c>
      <c r="EY192" s="34" t="e">
        <f t="shared" si="3615"/>
        <v>#DIV/0!</v>
      </c>
      <c r="EZ192" s="34" t="e">
        <f t="shared" si="3616"/>
        <v>#DIV/0!</v>
      </c>
      <c r="FA192" s="34" t="e">
        <f t="shared" si="3617"/>
        <v>#DIV/0!</v>
      </c>
      <c r="FB192" s="34" t="e">
        <f t="shared" si="3618"/>
        <v>#DIV/0!</v>
      </c>
      <c r="FC192" s="34" t="e">
        <f t="shared" si="3619"/>
        <v>#DIV/0!</v>
      </c>
      <c r="FD192" s="34" t="e">
        <f t="shared" si="3620"/>
        <v>#DIV/0!</v>
      </c>
      <c r="FE192" s="34" t="e">
        <f t="shared" si="3621"/>
        <v>#DIV/0!</v>
      </c>
      <c r="FF192" s="139" t="e">
        <f t="shared" si="3622"/>
        <v>#DIV/0!</v>
      </c>
    </row>
    <row r="193" spans="1:163" ht="16.5" thickBot="1" x14ac:dyDescent="0.3">
      <c r="B193" s="177">
        <v>43130</v>
      </c>
      <c r="C193" s="287"/>
      <c r="D193" s="100"/>
      <c r="E193" s="131"/>
      <c r="F193" s="25"/>
      <c r="G193" s="25"/>
      <c r="H193" s="171"/>
      <c r="I193" s="172"/>
      <c r="J193" s="173"/>
      <c r="K193" s="173"/>
      <c r="L193" s="174">
        <v>9.4</v>
      </c>
      <c r="M193" s="174" t="e">
        <f t="shared" si="3516"/>
        <v>#DIV/0!</v>
      </c>
      <c r="N193" s="175" t="e">
        <f t="shared" si="3517"/>
        <v>#DIV/0!</v>
      </c>
      <c r="O193" s="25"/>
      <c r="P193" s="96"/>
      <c r="Q193" s="76"/>
      <c r="R193" s="76"/>
      <c r="S193" s="76"/>
      <c r="T193" s="76"/>
      <c r="U193" s="76"/>
      <c r="V193" s="76"/>
      <c r="W193" s="77"/>
      <c r="X193" s="96"/>
      <c r="Y193" s="76"/>
      <c r="Z193" s="76"/>
      <c r="AA193" s="77"/>
      <c r="AB193" s="96"/>
      <c r="AC193" s="76"/>
      <c r="AD193" s="76"/>
      <c r="AE193" s="76"/>
      <c r="AF193" s="76"/>
      <c r="AG193" s="77"/>
      <c r="AH193" s="96"/>
      <c r="AI193" s="76"/>
      <c r="AJ193" s="76"/>
      <c r="AK193" s="76"/>
      <c r="AL193" s="77"/>
      <c r="AM193" s="9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  <c r="AZ193" s="77"/>
      <c r="BB193" s="96" t="e">
        <f t="shared" si="3518"/>
        <v>#DIV/0!</v>
      </c>
      <c r="BC193" s="76" t="e">
        <f t="shared" si="3519"/>
        <v>#DIV/0!</v>
      </c>
      <c r="BD193" s="76" t="e">
        <f t="shared" si="3520"/>
        <v>#DIV/0!</v>
      </c>
      <c r="BE193" s="76" t="e">
        <f t="shared" si="3521"/>
        <v>#DIV/0!</v>
      </c>
      <c r="BF193" s="76" t="e">
        <f t="shared" si="3522"/>
        <v>#DIV/0!</v>
      </c>
      <c r="BG193" s="76" t="e">
        <f t="shared" si="3523"/>
        <v>#DIV/0!</v>
      </c>
      <c r="BH193" s="76" t="e">
        <f t="shared" si="3524"/>
        <v>#DIV/0!</v>
      </c>
      <c r="BI193" s="77" t="e">
        <f t="shared" si="3525"/>
        <v>#DIV/0!</v>
      </c>
      <c r="BJ193" s="96" t="e">
        <f t="shared" si="3526"/>
        <v>#DIV/0!</v>
      </c>
      <c r="BK193" s="76" t="e">
        <f t="shared" si="3527"/>
        <v>#DIV/0!</v>
      </c>
      <c r="BL193" s="76" t="e">
        <f t="shared" si="3528"/>
        <v>#DIV/0!</v>
      </c>
      <c r="BM193" s="77" t="e">
        <f t="shared" si="3529"/>
        <v>#DIV/0!</v>
      </c>
      <c r="BN193" s="96" t="e">
        <f t="shared" si="3530"/>
        <v>#DIV/0!</v>
      </c>
      <c r="BO193" s="76" t="e">
        <f t="shared" si="3531"/>
        <v>#DIV/0!</v>
      </c>
      <c r="BP193" s="76" t="e">
        <f t="shared" si="3532"/>
        <v>#DIV/0!</v>
      </c>
      <c r="BQ193" s="76" t="e">
        <f t="shared" si="3533"/>
        <v>#DIV/0!</v>
      </c>
      <c r="BR193" s="76" t="e">
        <f t="shared" si="3534"/>
        <v>#DIV/0!</v>
      </c>
      <c r="BS193" s="77" t="e">
        <f t="shared" si="3535"/>
        <v>#DIV/0!</v>
      </c>
      <c r="BT193" s="96" t="e">
        <f t="shared" si="3536"/>
        <v>#DIV/0!</v>
      </c>
      <c r="BU193" s="76" t="e">
        <f t="shared" si="3537"/>
        <v>#DIV/0!</v>
      </c>
      <c r="BV193" s="76" t="e">
        <f t="shared" si="3538"/>
        <v>#DIV/0!</v>
      </c>
      <c r="BW193" s="76" t="e">
        <f t="shared" si="3539"/>
        <v>#DIV/0!</v>
      </c>
      <c r="BX193" s="77" t="e">
        <f t="shared" si="3540"/>
        <v>#DIV/0!</v>
      </c>
      <c r="BY193" s="96" t="e">
        <f t="shared" si="3541"/>
        <v>#DIV/0!</v>
      </c>
      <c r="BZ193" s="76" t="e">
        <f t="shared" si="3542"/>
        <v>#DIV/0!</v>
      </c>
      <c r="CA193" s="76" t="e">
        <f t="shared" si="3543"/>
        <v>#DIV/0!</v>
      </c>
      <c r="CB193" s="76" t="e">
        <f t="shared" si="3544"/>
        <v>#DIV/0!</v>
      </c>
      <c r="CC193" s="76" t="e">
        <f t="shared" si="3545"/>
        <v>#DIV/0!</v>
      </c>
      <c r="CD193" s="76" t="e">
        <f t="shared" si="3546"/>
        <v>#DIV/0!</v>
      </c>
      <c r="CE193" s="76" t="e">
        <f t="shared" si="3547"/>
        <v>#DIV/0!</v>
      </c>
      <c r="CF193" s="76" t="e">
        <f t="shared" si="3548"/>
        <v>#DIV/0!</v>
      </c>
      <c r="CG193" s="76" t="e">
        <f t="shared" si="3549"/>
        <v>#DIV/0!</v>
      </c>
      <c r="CH193" s="76" t="e">
        <f t="shared" si="3550"/>
        <v>#DIV/0!</v>
      </c>
      <c r="CI193" s="76" t="e">
        <f t="shared" si="3551"/>
        <v>#DIV/0!</v>
      </c>
      <c r="CJ193" s="77" t="e">
        <f t="shared" si="3552"/>
        <v>#DIV/0!</v>
      </c>
      <c r="CN193" s="96"/>
      <c r="CO193" s="76"/>
      <c r="CP193" s="76"/>
      <c r="CQ193" s="76"/>
      <c r="CR193" s="76"/>
      <c r="CS193" s="76"/>
      <c r="CT193" s="76"/>
      <c r="CU193" s="77"/>
      <c r="CV193" s="96"/>
      <c r="CW193" s="76"/>
      <c r="CX193" s="76"/>
      <c r="CY193" s="77"/>
      <c r="CZ193" s="96"/>
      <c r="DA193" s="76"/>
      <c r="DB193" s="76"/>
      <c r="DC193" s="76"/>
      <c r="DD193" s="76"/>
      <c r="DE193" s="77"/>
      <c r="DF193" s="96"/>
      <c r="DG193" s="76"/>
      <c r="DH193" s="76"/>
      <c r="DI193" s="76"/>
      <c r="DJ193" s="77"/>
      <c r="DK193" s="96"/>
      <c r="DL193" s="76"/>
      <c r="DM193" s="76"/>
      <c r="DN193" s="76"/>
      <c r="DO193" s="76"/>
      <c r="DP193" s="76"/>
      <c r="DQ193" s="76"/>
      <c r="DR193" s="76"/>
      <c r="DS193" s="76"/>
      <c r="DT193" s="76"/>
      <c r="DU193" s="76"/>
      <c r="DV193" s="77"/>
      <c r="DX193" s="140" t="e">
        <f t="shared" si="3554"/>
        <v>#DIV/0!</v>
      </c>
      <c r="DY193" s="141" t="e">
        <f t="shared" ref="DY193" si="3660">Q193/$E193</f>
        <v>#DIV/0!</v>
      </c>
      <c r="DZ193" s="141" t="e">
        <f t="shared" ref="DZ193" si="3661">R193/$E193</f>
        <v>#DIV/0!</v>
      </c>
      <c r="EA193" s="141" t="e">
        <f t="shared" ref="EA193" si="3662">S193/$E193</f>
        <v>#DIV/0!</v>
      </c>
      <c r="EB193" s="141" t="e">
        <f t="shared" ref="EB193" si="3663">T193/$E193</f>
        <v>#DIV/0!</v>
      </c>
      <c r="EC193" s="141" t="e">
        <f t="shared" ref="EC193" si="3664">U193/$E193</f>
        <v>#DIV/0!</v>
      </c>
      <c r="ED193" s="141" t="e">
        <f t="shared" ref="ED193" si="3665">V193/$E193</f>
        <v>#DIV/0!</v>
      </c>
      <c r="EE193" s="142" t="e">
        <f t="shared" ref="EE193" si="3666">W193/$E193</f>
        <v>#DIV/0!</v>
      </c>
      <c r="EF193" s="140" t="e">
        <f t="shared" ref="EF193" si="3667">X193/$E193</f>
        <v>#DIV/0!</v>
      </c>
      <c r="EG193" s="141" t="e">
        <f t="shared" ref="EG193" si="3668">Y193/$E193</f>
        <v>#DIV/0!</v>
      </c>
      <c r="EH193" s="141" t="e">
        <f t="shared" ref="EH193" si="3669">Z193/$E193</f>
        <v>#DIV/0!</v>
      </c>
      <c r="EI193" s="142" t="e">
        <f t="shared" ref="EI193" si="3670">AA193/$E193</f>
        <v>#DIV/0!</v>
      </c>
      <c r="EJ193" s="140" t="e">
        <f t="shared" ref="EJ193" si="3671">AB193/$E193</f>
        <v>#DIV/0!</v>
      </c>
      <c r="EK193" s="141" t="e">
        <f t="shared" ref="EK193" si="3672">AC193/$E193</f>
        <v>#DIV/0!</v>
      </c>
      <c r="EL193" s="141" t="e">
        <f t="shared" ref="EL193" si="3673">AD193/$E193</f>
        <v>#DIV/0!</v>
      </c>
      <c r="EM193" s="141" t="e">
        <f t="shared" ref="EM193" si="3674">AE193/$E193</f>
        <v>#DIV/0!</v>
      </c>
      <c r="EN193" s="141" t="e">
        <f t="shared" ref="EN193" si="3675">AF193/$E193</f>
        <v>#DIV/0!</v>
      </c>
      <c r="EO193" s="142" t="e">
        <f t="shared" ref="EO193" si="3676">AG193/$E193</f>
        <v>#DIV/0!</v>
      </c>
      <c r="EP193" s="140" t="e">
        <f t="shared" ref="EP193" si="3677">AH193/$E193</f>
        <v>#DIV/0!</v>
      </c>
      <c r="EQ193" s="141" t="e">
        <f t="shared" ref="EQ193" si="3678">AI193/$E193</f>
        <v>#DIV/0!</v>
      </c>
      <c r="ER193" s="141" t="e">
        <f t="shared" ref="ER193" si="3679">AJ193/$E193</f>
        <v>#DIV/0!</v>
      </c>
      <c r="ES193" s="141" t="e">
        <f t="shared" ref="ES193" si="3680">AK193/$E193</f>
        <v>#DIV/0!</v>
      </c>
      <c r="ET193" s="142" t="e">
        <f t="shared" ref="ET193" si="3681">AL193/$E193</f>
        <v>#DIV/0!</v>
      </c>
      <c r="EU193" s="140" t="e">
        <f t="shared" ref="EU193" si="3682">AM193/$E193</f>
        <v>#DIV/0!</v>
      </c>
      <c r="EV193" s="141" t="e">
        <f t="shared" ref="EV193" si="3683">AN193/$E193</f>
        <v>#DIV/0!</v>
      </c>
      <c r="EW193" s="141" t="e">
        <f t="shared" ref="EW193" si="3684">AO193/$E193</f>
        <v>#DIV/0!</v>
      </c>
      <c r="EX193" s="141" t="e">
        <f t="shared" ref="EX193" si="3685">AP193/$E193</f>
        <v>#DIV/0!</v>
      </c>
      <c r="EY193" s="141" t="e">
        <f t="shared" ref="EY193" si="3686">AQ193/$E193</f>
        <v>#DIV/0!</v>
      </c>
      <c r="EZ193" s="141" t="e">
        <f t="shared" ref="EZ193" si="3687">AR193/$E193</f>
        <v>#DIV/0!</v>
      </c>
      <c r="FA193" s="141" t="e">
        <f t="shared" ref="FA193" si="3688">AS193/$E193</f>
        <v>#DIV/0!</v>
      </c>
      <c r="FB193" s="141" t="e">
        <f t="shared" ref="FB193" si="3689">AT193/$E193</f>
        <v>#DIV/0!</v>
      </c>
      <c r="FC193" s="141" t="e">
        <f t="shared" ref="FC193" si="3690">AU193/$E193</f>
        <v>#DIV/0!</v>
      </c>
      <c r="FD193" s="141" t="e">
        <f t="shared" ref="FD193" si="3691">AV193/$E193</f>
        <v>#DIV/0!</v>
      </c>
      <c r="FE193" s="141" t="e">
        <f t="shared" ref="FE193" si="3692">AY193/$E193</f>
        <v>#DIV/0!</v>
      </c>
      <c r="FF193" s="142" t="e">
        <f t="shared" ref="FF193" si="3693">AZ193/$E193</f>
        <v>#DIV/0!</v>
      </c>
    </row>
    <row r="194" spans="1:163" ht="17.25" thickTop="1" thickBot="1" x14ac:dyDescent="0.3">
      <c r="B194" s="178"/>
      <c r="C194" s="270"/>
      <c r="D194" s="101">
        <f>SUM(D184:D193)</f>
        <v>0</v>
      </c>
      <c r="E194" s="134">
        <f>SUM(E184:E193)</f>
        <v>0</v>
      </c>
      <c r="F194" s="146"/>
      <c r="G194" s="146"/>
      <c r="H194" s="43"/>
      <c r="I194" s="39"/>
      <c r="J194" s="39"/>
      <c r="K194" s="39"/>
      <c r="L194" s="184"/>
      <c r="M194" s="185"/>
      <c r="N194" s="170" t="e">
        <f>AVERAGE(N184:N193)*31</f>
        <v>#DIV/0!</v>
      </c>
      <c r="O194" s="146"/>
      <c r="P194" s="68">
        <f t="shared" ref="P194:AV194" si="3694">SUM(P184:P193)</f>
        <v>0</v>
      </c>
      <c r="Q194" s="65">
        <f t="shared" si="3694"/>
        <v>0</v>
      </c>
      <c r="R194" s="65">
        <f t="shared" si="3694"/>
        <v>0</v>
      </c>
      <c r="S194" s="65">
        <f t="shared" si="3694"/>
        <v>0</v>
      </c>
      <c r="T194" s="65">
        <f t="shared" si="3694"/>
        <v>0</v>
      </c>
      <c r="U194" s="65">
        <f t="shared" si="3694"/>
        <v>0</v>
      </c>
      <c r="V194" s="65">
        <f t="shared" si="3694"/>
        <v>0</v>
      </c>
      <c r="W194" s="66">
        <f t="shared" si="3694"/>
        <v>0</v>
      </c>
      <c r="X194" s="68">
        <f t="shared" si="3694"/>
        <v>0</v>
      </c>
      <c r="Y194" s="65">
        <f t="shared" si="3694"/>
        <v>0</v>
      </c>
      <c r="Z194" s="65">
        <f t="shared" si="3694"/>
        <v>0</v>
      </c>
      <c r="AA194" s="66">
        <f t="shared" si="3694"/>
        <v>0</v>
      </c>
      <c r="AB194" s="68">
        <f t="shared" si="3694"/>
        <v>0</v>
      </c>
      <c r="AC194" s="65">
        <f t="shared" si="3694"/>
        <v>0</v>
      </c>
      <c r="AD194" s="65">
        <f t="shared" si="3694"/>
        <v>0</v>
      </c>
      <c r="AE194" s="65">
        <f t="shared" si="3694"/>
        <v>0</v>
      </c>
      <c r="AF194" s="65">
        <f t="shared" si="3694"/>
        <v>0</v>
      </c>
      <c r="AG194" s="66">
        <f t="shared" si="3694"/>
        <v>0</v>
      </c>
      <c r="AH194" s="68">
        <f t="shared" si="3694"/>
        <v>0</v>
      </c>
      <c r="AI194" s="65">
        <f t="shared" si="3694"/>
        <v>0</v>
      </c>
      <c r="AJ194" s="65">
        <f t="shared" si="3694"/>
        <v>0</v>
      </c>
      <c r="AK194" s="65">
        <f t="shared" si="3694"/>
        <v>0</v>
      </c>
      <c r="AL194" s="66">
        <f t="shared" si="3694"/>
        <v>0</v>
      </c>
      <c r="AM194" s="68">
        <f t="shared" si="3694"/>
        <v>0</v>
      </c>
      <c r="AN194" s="65">
        <f t="shared" si="3694"/>
        <v>0</v>
      </c>
      <c r="AO194" s="65">
        <f t="shared" si="3694"/>
        <v>0</v>
      </c>
      <c r="AP194" s="65">
        <f t="shared" si="3694"/>
        <v>0</v>
      </c>
      <c r="AQ194" s="65">
        <f t="shared" si="3694"/>
        <v>0</v>
      </c>
      <c r="AR194" s="65">
        <f t="shared" si="3694"/>
        <v>0</v>
      </c>
      <c r="AS194" s="65">
        <f t="shared" si="3694"/>
        <v>0</v>
      </c>
      <c r="AT194" s="65">
        <f t="shared" si="3694"/>
        <v>0</v>
      </c>
      <c r="AU194" s="65">
        <f t="shared" si="3694"/>
        <v>0</v>
      </c>
      <c r="AV194" s="65">
        <f t="shared" si="3694"/>
        <v>0</v>
      </c>
      <c r="AW194" s="65">
        <f>SUM(AW182:AW193)</f>
        <v>0</v>
      </c>
      <c r="AX194" s="65">
        <f>SUM(AX182:AX193)</f>
        <v>0</v>
      </c>
      <c r="AY194" s="65">
        <f>SUM(AY184:AY193)</f>
        <v>0</v>
      </c>
      <c r="AZ194" s="66">
        <f>SUM(AZ184:AZ193)</f>
        <v>0</v>
      </c>
      <c r="BB194" s="68" t="e">
        <f t="shared" ref="BB194:CJ194" si="3695">SUM(BB184:BB193)</f>
        <v>#DIV/0!</v>
      </c>
      <c r="BC194" s="65" t="e">
        <f t="shared" si="3695"/>
        <v>#DIV/0!</v>
      </c>
      <c r="BD194" s="65" t="e">
        <f t="shared" si="3695"/>
        <v>#DIV/0!</v>
      </c>
      <c r="BE194" s="65" t="e">
        <f t="shared" si="3695"/>
        <v>#DIV/0!</v>
      </c>
      <c r="BF194" s="65" t="e">
        <f t="shared" si="3695"/>
        <v>#DIV/0!</v>
      </c>
      <c r="BG194" s="65" t="e">
        <f t="shared" si="3695"/>
        <v>#DIV/0!</v>
      </c>
      <c r="BH194" s="65" t="e">
        <f t="shared" si="3695"/>
        <v>#DIV/0!</v>
      </c>
      <c r="BI194" s="66" t="e">
        <f t="shared" si="3695"/>
        <v>#DIV/0!</v>
      </c>
      <c r="BJ194" s="68" t="e">
        <f t="shared" si="3695"/>
        <v>#DIV/0!</v>
      </c>
      <c r="BK194" s="65" t="e">
        <f t="shared" si="3695"/>
        <v>#DIV/0!</v>
      </c>
      <c r="BL194" s="65" t="e">
        <f t="shared" si="3695"/>
        <v>#DIV/0!</v>
      </c>
      <c r="BM194" s="66" t="e">
        <f t="shared" si="3695"/>
        <v>#DIV/0!</v>
      </c>
      <c r="BN194" s="68" t="e">
        <f t="shared" si="3695"/>
        <v>#DIV/0!</v>
      </c>
      <c r="BO194" s="65" t="e">
        <f t="shared" si="3695"/>
        <v>#DIV/0!</v>
      </c>
      <c r="BP194" s="65" t="e">
        <f t="shared" si="3695"/>
        <v>#DIV/0!</v>
      </c>
      <c r="BQ194" s="65" t="e">
        <f t="shared" si="3695"/>
        <v>#DIV/0!</v>
      </c>
      <c r="BR194" s="65" t="e">
        <f t="shared" si="3695"/>
        <v>#DIV/0!</v>
      </c>
      <c r="BS194" s="66" t="e">
        <f t="shared" si="3695"/>
        <v>#DIV/0!</v>
      </c>
      <c r="BT194" s="68" t="e">
        <f t="shared" si="3695"/>
        <v>#DIV/0!</v>
      </c>
      <c r="BU194" s="65" t="e">
        <f t="shared" si="3695"/>
        <v>#DIV/0!</v>
      </c>
      <c r="BV194" s="65" t="e">
        <f t="shared" si="3695"/>
        <v>#DIV/0!</v>
      </c>
      <c r="BW194" s="65" t="e">
        <f t="shared" si="3695"/>
        <v>#DIV/0!</v>
      </c>
      <c r="BX194" s="66" t="e">
        <f t="shared" si="3695"/>
        <v>#DIV/0!</v>
      </c>
      <c r="BY194" s="68" t="e">
        <f t="shared" si="3695"/>
        <v>#DIV/0!</v>
      </c>
      <c r="BZ194" s="65" t="e">
        <f t="shared" si="3695"/>
        <v>#DIV/0!</v>
      </c>
      <c r="CA194" s="65" t="e">
        <f t="shared" si="3695"/>
        <v>#DIV/0!</v>
      </c>
      <c r="CB194" s="65" t="e">
        <f t="shared" si="3695"/>
        <v>#DIV/0!</v>
      </c>
      <c r="CC194" s="65" t="e">
        <f t="shared" si="3695"/>
        <v>#DIV/0!</v>
      </c>
      <c r="CD194" s="65" t="e">
        <f t="shared" si="3695"/>
        <v>#DIV/0!</v>
      </c>
      <c r="CE194" s="65" t="e">
        <f t="shared" si="3695"/>
        <v>#DIV/0!</v>
      </c>
      <c r="CF194" s="65" t="e">
        <f t="shared" si="3695"/>
        <v>#DIV/0!</v>
      </c>
      <c r="CG194" s="65" t="e">
        <f t="shared" si="3695"/>
        <v>#DIV/0!</v>
      </c>
      <c r="CH194" s="65" t="e">
        <f t="shared" si="3695"/>
        <v>#DIV/0!</v>
      </c>
      <c r="CI194" s="65" t="e">
        <f t="shared" si="3695"/>
        <v>#DIV/0!</v>
      </c>
      <c r="CJ194" s="66" t="e">
        <f t="shared" si="3695"/>
        <v>#DIV/0!</v>
      </c>
      <c r="CN194" s="68" t="e">
        <f t="shared" ref="CN194:DV194" si="3696">SUM(CN184:CN193)</f>
        <v>#DIV/0!</v>
      </c>
      <c r="CO194" s="65" t="e">
        <f t="shared" si="3696"/>
        <v>#DIV/0!</v>
      </c>
      <c r="CP194" s="65" t="e">
        <f t="shared" si="3696"/>
        <v>#DIV/0!</v>
      </c>
      <c r="CQ194" s="65" t="e">
        <f t="shared" si="3696"/>
        <v>#DIV/0!</v>
      </c>
      <c r="CR194" s="65" t="e">
        <f t="shared" si="3696"/>
        <v>#DIV/0!</v>
      </c>
      <c r="CS194" s="65" t="e">
        <f t="shared" si="3696"/>
        <v>#DIV/0!</v>
      </c>
      <c r="CT194" s="65" t="e">
        <f t="shared" si="3696"/>
        <v>#DIV/0!</v>
      </c>
      <c r="CU194" s="66" t="e">
        <f t="shared" si="3696"/>
        <v>#DIV/0!</v>
      </c>
      <c r="CV194" s="68" t="e">
        <f t="shared" si="3696"/>
        <v>#DIV/0!</v>
      </c>
      <c r="CW194" s="65" t="e">
        <f t="shared" si="3696"/>
        <v>#DIV/0!</v>
      </c>
      <c r="CX194" s="65" t="e">
        <f t="shared" si="3696"/>
        <v>#DIV/0!</v>
      </c>
      <c r="CY194" s="66" t="e">
        <f t="shared" si="3696"/>
        <v>#DIV/0!</v>
      </c>
      <c r="CZ194" s="68" t="e">
        <f t="shared" si="3696"/>
        <v>#DIV/0!</v>
      </c>
      <c r="DA194" s="65" t="e">
        <f t="shared" si="3696"/>
        <v>#DIV/0!</v>
      </c>
      <c r="DB194" s="65" t="e">
        <f t="shared" si="3696"/>
        <v>#DIV/0!</v>
      </c>
      <c r="DC194" s="65" t="e">
        <f t="shared" si="3696"/>
        <v>#DIV/0!</v>
      </c>
      <c r="DD194" s="65" t="e">
        <f t="shared" si="3696"/>
        <v>#DIV/0!</v>
      </c>
      <c r="DE194" s="66" t="e">
        <f t="shared" si="3696"/>
        <v>#DIV/0!</v>
      </c>
      <c r="DF194" s="68" t="e">
        <f t="shared" si="3696"/>
        <v>#DIV/0!</v>
      </c>
      <c r="DG194" s="65" t="e">
        <f t="shared" si="3696"/>
        <v>#DIV/0!</v>
      </c>
      <c r="DH194" s="65" t="e">
        <f t="shared" si="3696"/>
        <v>#DIV/0!</v>
      </c>
      <c r="DI194" s="65" t="e">
        <f t="shared" si="3696"/>
        <v>#DIV/0!</v>
      </c>
      <c r="DJ194" s="66" t="e">
        <f t="shared" si="3696"/>
        <v>#DIV/0!</v>
      </c>
      <c r="DK194" s="68" t="e">
        <f t="shared" si="3696"/>
        <v>#DIV/0!</v>
      </c>
      <c r="DL194" s="65" t="e">
        <f t="shared" si="3696"/>
        <v>#DIV/0!</v>
      </c>
      <c r="DM194" s="65" t="e">
        <f t="shared" si="3696"/>
        <v>#DIV/0!</v>
      </c>
      <c r="DN194" s="65" t="e">
        <f t="shared" si="3696"/>
        <v>#DIV/0!</v>
      </c>
      <c r="DO194" s="65" t="e">
        <f t="shared" si="3696"/>
        <v>#DIV/0!</v>
      </c>
      <c r="DP194" s="65" t="e">
        <f t="shared" si="3696"/>
        <v>#DIV/0!</v>
      </c>
      <c r="DQ194" s="65" t="e">
        <f t="shared" si="3696"/>
        <v>#DIV/0!</v>
      </c>
      <c r="DR194" s="65" t="e">
        <f t="shared" si="3696"/>
        <v>#DIV/0!</v>
      </c>
      <c r="DS194" s="65" t="e">
        <f t="shared" si="3696"/>
        <v>#DIV/0!</v>
      </c>
      <c r="DT194" s="65" t="e">
        <f t="shared" si="3696"/>
        <v>#DIV/0!</v>
      </c>
      <c r="DU194" s="65" t="e">
        <f t="shared" si="3696"/>
        <v>#DIV/0!</v>
      </c>
      <c r="DV194" s="66" t="e">
        <f t="shared" si="3696"/>
        <v>#DIV/0!</v>
      </c>
      <c r="DX194" s="143" t="e">
        <f t="shared" ref="DX194:FF194" si="3697">AVERAGE(DX184:DX193)</f>
        <v>#DIV/0!</v>
      </c>
      <c r="DY194" s="144" t="e">
        <f t="shared" si="3697"/>
        <v>#DIV/0!</v>
      </c>
      <c r="DZ194" s="144" t="e">
        <f t="shared" si="3697"/>
        <v>#DIV/0!</v>
      </c>
      <c r="EA194" s="144" t="e">
        <f t="shared" si="3697"/>
        <v>#DIV/0!</v>
      </c>
      <c r="EB194" s="144" t="e">
        <f t="shared" si="3697"/>
        <v>#DIV/0!</v>
      </c>
      <c r="EC194" s="144" t="e">
        <f t="shared" si="3697"/>
        <v>#DIV/0!</v>
      </c>
      <c r="ED194" s="144" t="e">
        <f t="shared" si="3697"/>
        <v>#DIV/0!</v>
      </c>
      <c r="EE194" s="145" t="e">
        <f t="shared" si="3697"/>
        <v>#DIV/0!</v>
      </c>
      <c r="EF194" s="143" t="e">
        <f t="shared" si="3697"/>
        <v>#DIV/0!</v>
      </c>
      <c r="EG194" s="144" t="e">
        <f t="shared" si="3697"/>
        <v>#DIV/0!</v>
      </c>
      <c r="EH194" s="144" t="e">
        <f t="shared" si="3697"/>
        <v>#DIV/0!</v>
      </c>
      <c r="EI194" s="145" t="e">
        <f t="shared" si="3697"/>
        <v>#DIV/0!</v>
      </c>
      <c r="EJ194" s="143" t="e">
        <f t="shared" si="3697"/>
        <v>#DIV/0!</v>
      </c>
      <c r="EK194" s="144" t="e">
        <f t="shared" si="3697"/>
        <v>#DIV/0!</v>
      </c>
      <c r="EL194" s="144" t="e">
        <f t="shared" si="3697"/>
        <v>#DIV/0!</v>
      </c>
      <c r="EM194" s="144" t="e">
        <f t="shared" si="3697"/>
        <v>#DIV/0!</v>
      </c>
      <c r="EN194" s="144" t="e">
        <f t="shared" si="3697"/>
        <v>#DIV/0!</v>
      </c>
      <c r="EO194" s="144" t="e">
        <f t="shared" si="3697"/>
        <v>#DIV/0!</v>
      </c>
      <c r="EP194" s="143" t="e">
        <f t="shared" si="3697"/>
        <v>#DIV/0!</v>
      </c>
      <c r="EQ194" s="144" t="e">
        <f t="shared" si="3697"/>
        <v>#DIV/0!</v>
      </c>
      <c r="ER194" s="144" t="e">
        <f t="shared" si="3697"/>
        <v>#DIV/0!</v>
      </c>
      <c r="ES194" s="144" t="e">
        <f t="shared" si="3697"/>
        <v>#DIV/0!</v>
      </c>
      <c r="ET194" s="145" t="e">
        <f t="shared" si="3697"/>
        <v>#DIV/0!</v>
      </c>
      <c r="EU194" s="143" t="e">
        <f t="shared" si="3697"/>
        <v>#DIV/0!</v>
      </c>
      <c r="EV194" s="144" t="e">
        <f t="shared" si="3697"/>
        <v>#DIV/0!</v>
      </c>
      <c r="EW194" s="144" t="e">
        <f t="shared" si="3697"/>
        <v>#DIV/0!</v>
      </c>
      <c r="EX194" s="144" t="e">
        <f t="shared" si="3697"/>
        <v>#DIV/0!</v>
      </c>
      <c r="EY194" s="144" t="e">
        <f t="shared" si="3697"/>
        <v>#DIV/0!</v>
      </c>
      <c r="EZ194" s="144" t="e">
        <f t="shared" si="3697"/>
        <v>#DIV/0!</v>
      </c>
      <c r="FA194" s="144" t="e">
        <f t="shared" si="3697"/>
        <v>#DIV/0!</v>
      </c>
      <c r="FB194" s="144" t="e">
        <f t="shared" si="3697"/>
        <v>#DIV/0!</v>
      </c>
      <c r="FC194" s="144" t="e">
        <f t="shared" si="3697"/>
        <v>#DIV/0!</v>
      </c>
      <c r="FD194" s="144" t="e">
        <f t="shared" si="3697"/>
        <v>#DIV/0!</v>
      </c>
      <c r="FE194" s="144" t="e">
        <f t="shared" si="3697"/>
        <v>#DIV/0!</v>
      </c>
      <c r="FF194" s="145" t="e">
        <f t="shared" si="3697"/>
        <v>#DIV/0!</v>
      </c>
    </row>
    <row r="195" spans="1:163" ht="16.5" thickBot="1" x14ac:dyDescent="0.3">
      <c r="L195" s="253" t="s">
        <v>147</v>
      </c>
    </row>
    <row r="196" spans="1:163" x14ac:dyDescent="0.25">
      <c r="A196" s="296"/>
      <c r="B196" s="176">
        <v>43133</v>
      </c>
      <c r="C196" s="269"/>
      <c r="D196" s="103"/>
      <c r="E196" s="156"/>
      <c r="F196" s="25"/>
      <c r="G196" s="25"/>
      <c r="H196" s="179"/>
      <c r="I196" s="180"/>
      <c r="J196" s="181"/>
      <c r="K196" s="181"/>
      <c r="L196" s="182">
        <v>9.6</v>
      </c>
      <c r="M196" s="182" t="e">
        <f t="shared" ref="M196:M203" si="3698">H196/I196*K196*L196*1.5</f>
        <v>#DIV/0!</v>
      </c>
      <c r="N196" s="183" t="e">
        <f t="shared" ref="N196:N203" si="3699">H196/I196*J196*L196*N$4</f>
        <v>#DIV/0!</v>
      </c>
      <c r="O196" s="25"/>
      <c r="P196" s="157"/>
      <c r="Q196" s="158"/>
      <c r="R196" s="158"/>
      <c r="S196" s="158"/>
      <c r="T196" s="158"/>
      <c r="U196" s="158"/>
      <c r="V196" s="158"/>
      <c r="W196" s="159"/>
      <c r="X196" s="157"/>
      <c r="Y196" s="158"/>
      <c r="Z196" s="158"/>
      <c r="AA196" s="159"/>
      <c r="AB196" s="157"/>
      <c r="AC196" s="158"/>
      <c r="AD196" s="158"/>
      <c r="AE196" s="158"/>
      <c r="AF196" s="158"/>
      <c r="AG196" s="159"/>
      <c r="AH196" s="157"/>
      <c r="AI196" s="158"/>
      <c r="AJ196" s="158"/>
      <c r="AK196" s="158"/>
      <c r="AL196" s="159"/>
      <c r="AM196" s="157"/>
      <c r="AN196" s="158"/>
      <c r="AO196" s="158"/>
      <c r="AP196" s="158"/>
      <c r="AQ196" s="158"/>
      <c r="AR196" s="158"/>
      <c r="AS196" s="158"/>
      <c r="AT196" s="158"/>
      <c r="AU196" s="158"/>
      <c r="AV196" s="158"/>
      <c r="AW196" s="158"/>
      <c r="AX196" s="158"/>
      <c r="AY196" s="158"/>
      <c r="AZ196" s="159"/>
      <c r="BB196" s="157" t="e">
        <f t="shared" ref="BB196:BB203" si="3700">$N196*DX196</f>
        <v>#DIV/0!</v>
      </c>
      <c r="BC196" s="158" t="e">
        <f t="shared" ref="BC196:BC203" si="3701">$N196*DY196</f>
        <v>#DIV/0!</v>
      </c>
      <c r="BD196" s="158" t="e">
        <f t="shared" ref="BD196:BD203" si="3702">$N196*DZ196</f>
        <v>#DIV/0!</v>
      </c>
      <c r="BE196" s="158" t="e">
        <f t="shared" ref="BE196:BE203" si="3703">$N196*EA196</f>
        <v>#DIV/0!</v>
      </c>
      <c r="BF196" s="158" t="e">
        <f t="shared" ref="BF196:BF203" si="3704">$N196*EB196</f>
        <v>#DIV/0!</v>
      </c>
      <c r="BG196" s="158" t="e">
        <f t="shared" ref="BG196:BG203" si="3705">$N196*EC196</f>
        <v>#DIV/0!</v>
      </c>
      <c r="BH196" s="158" t="e">
        <f t="shared" ref="BH196:BH203" si="3706">$N196*ED196</f>
        <v>#DIV/0!</v>
      </c>
      <c r="BI196" s="159" t="e">
        <f t="shared" ref="BI196:BI203" si="3707">$N196*EE196</f>
        <v>#DIV/0!</v>
      </c>
      <c r="BJ196" s="157" t="e">
        <f t="shared" ref="BJ196:BJ203" si="3708">$N196*EF196</f>
        <v>#DIV/0!</v>
      </c>
      <c r="BK196" s="158" t="e">
        <f t="shared" ref="BK196:BK203" si="3709">$N196*EG196</f>
        <v>#DIV/0!</v>
      </c>
      <c r="BL196" s="158" t="e">
        <f t="shared" ref="BL196:BL203" si="3710">$N196*EH196</f>
        <v>#DIV/0!</v>
      </c>
      <c r="BM196" s="159" t="e">
        <f t="shared" ref="BM196:BM203" si="3711">$N196*EI196</f>
        <v>#DIV/0!</v>
      </c>
      <c r="BN196" s="157" t="e">
        <f t="shared" ref="BN196:BN203" si="3712">$N196*EJ196</f>
        <v>#DIV/0!</v>
      </c>
      <c r="BO196" s="158" t="e">
        <f t="shared" ref="BO196:BO203" si="3713">$N196*EK196</f>
        <v>#DIV/0!</v>
      </c>
      <c r="BP196" s="158" t="e">
        <f t="shared" ref="BP196:BP203" si="3714">$N196*EL196</f>
        <v>#DIV/0!</v>
      </c>
      <c r="BQ196" s="158" t="e">
        <f t="shared" ref="BQ196:BQ203" si="3715">$N196*EM196</f>
        <v>#DIV/0!</v>
      </c>
      <c r="BR196" s="158" t="e">
        <f t="shared" ref="BR196:BR203" si="3716">$N196*EN196</f>
        <v>#DIV/0!</v>
      </c>
      <c r="BS196" s="159" t="e">
        <f t="shared" ref="BS196:BS203" si="3717">$N196*EO196</f>
        <v>#DIV/0!</v>
      </c>
      <c r="BT196" s="157" t="e">
        <f t="shared" ref="BT196:BT203" si="3718">$N196*EP196</f>
        <v>#DIV/0!</v>
      </c>
      <c r="BU196" s="158" t="e">
        <f t="shared" ref="BU196:BU203" si="3719">$N196*EQ196</f>
        <v>#DIV/0!</v>
      </c>
      <c r="BV196" s="158" t="e">
        <f t="shared" ref="BV196:BV203" si="3720">$N196*ER196</f>
        <v>#DIV/0!</v>
      </c>
      <c r="BW196" s="158" t="e">
        <f t="shared" ref="BW196:BW203" si="3721">$N196*ES196</f>
        <v>#DIV/0!</v>
      </c>
      <c r="BX196" s="159" t="e">
        <f t="shared" ref="BX196:BX203" si="3722">$N196*ET196</f>
        <v>#DIV/0!</v>
      </c>
      <c r="BY196" s="157" t="e">
        <f t="shared" ref="BY196:BY203" si="3723">$N196*EU196</f>
        <v>#DIV/0!</v>
      </c>
      <c r="BZ196" s="158" t="e">
        <f t="shared" ref="BZ196:BZ203" si="3724">$N196*EV196</f>
        <v>#DIV/0!</v>
      </c>
      <c r="CA196" s="158" t="e">
        <f t="shared" ref="CA196:CA203" si="3725">$N196*EW196</f>
        <v>#DIV/0!</v>
      </c>
      <c r="CB196" s="158" t="e">
        <f t="shared" ref="CB196:CB203" si="3726">$N196*EX196</f>
        <v>#DIV/0!</v>
      </c>
      <c r="CC196" s="158" t="e">
        <f t="shared" ref="CC196:CC203" si="3727">$N196*EY196</f>
        <v>#DIV/0!</v>
      </c>
      <c r="CD196" s="158" t="e">
        <f t="shared" ref="CD196:CD203" si="3728">$N196*EZ196</f>
        <v>#DIV/0!</v>
      </c>
      <c r="CE196" s="158" t="e">
        <f t="shared" ref="CE196:CE203" si="3729">$N196*FA196</f>
        <v>#DIV/0!</v>
      </c>
      <c r="CF196" s="158" t="e">
        <f t="shared" ref="CF196:CF203" si="3730">$N196*FB196</f>
        <v>#DIV/0!</v>
      </c>
      <c r="CG196" s="158" t="e">
        <f t="shared" ref="CG196:CG203" si="3731">$N196*FC196</f>
        <v>#DIV/0!</v>
      </c>
      <c r="CH196" s="158" t="e">
        <f t="shared" ref="CH196:CH203" si="3732">$N196*FD196</f>
        <v>#DIV/0!</v>
      </c>
      <c r="CI196" s="158" t="e">
        <f t="shared" ref="CI196:CI203" si="3733">$N196*FE196</f>
        <v>#DIV/0!</v>
      </c>
      <c r="CJ196" s="159" t="e">
        <f t="shared" ref="CJ196:CJ203" si="3734">$N196*FF196</f>
        <v>#DIV/0!</v>
      </c>
      <c r="CL196" s="36">
        <v>28</v>
      </c>
      <c r="CN196" s="157" t="e">
        <f t="shared" ref="CN196:DV196" si="3735">AVERAGE(BB196:BB202)*$CL196</f>
        <v>#DIV/0!</v>
      </c>
      <c r="CO196" s="158" t="e">
        <f t="shared" si="3735"/>
        <v>#DIV/0!</v>
      </c>
      <c r="CP196" s="158" t="e">
        <f t="shared" si="3735"/>
        <v>#DIV/0!</v>
      </c>
      <c r="CQ196" s="158" t="e">
        <f t="shared" si="3735"/>
        <v>#DIV/0!</v>
      </c>
      <c r="CR196" s="158" t="e">
        <f t="shared" si="3735"/>
        <v>#DIV/0!</v>
      </c>
      <c r="CS196" s="158" t="e">
        <f t="shared" si="3735"/>
        <v>#DIV/0!</v>
      </c>
      <c r="CT196" s="158" t="e">
        <f t="shared" si="3735"/>
        <v>#DIV/0!</v>
      </c>
      <c r="CU196" s="159" t="e">
        <f t="shared" si="3735"/>
        <v>#DIV/0!</v>
      </c>
      <c r="CV196" s="157" t="e">
        <f t="shared" si="3735"/>
        <v>#DIV/0!</v>
      </c>
      <c r="CW196" s="158" t="e">
        <f t="shared" si="3735"/>
        <v>#DIV/0!</v>
      </c>
      <c r="CX196" s="158" t="e">
        <f t="shared" si="3735"/>
        <v>#DIV/0!</v>
      </c>
      <c r="CY196" s="159" t="e">
        <f t="shared" si="3735"/>
        <v>#DIV/0!</v>
      </c>
      <c r="CZ196" s="157" t="e">
        <f t="shared" si="3735"/>
        <v>#DIV/0!</v>
      </c>
      <c r="DA196" s="158" t="e">
        <f t="shared" si="3735"/>
        <v>#DIV/0!</v>
      </c>
      <c r="DB196" s="158" t="e">
        <f t="shared" si="3735"/>
        <v>#DIV/0!</v>
      </c>
      <c r="DC196" s="158" t="e">
        <f t="shared" si="3735"/>
        <v>#DIV/0!</v>
      </c>
      <c r="DD196" s="158" t="e">
        <f t="shared" si="3735"/>
        <v>#DIV/0!</v>
      </c>
      <c r="DE196" s="159" t="e">
        <f t="shared" si="3735"/>
        <v>#DIV/0!</v>
      </c>
      <c r="DF196" s="157" t="e">
        <f t="shared" si="3735"/>
        <v>#DIV/0!</v>
      </c>
      <c r="DG196" s="158" t="e">
        <f t="shared" si="3735"/>
        <v>#DIV/0!</v>
      </c>
      <c r="DH196" s="158" t="e">
        <f t="shared" si="3735"/>
        <v>#DIV/0!</v>
      </c>
      <c r="DI196" s="158" t="e">
        <f t="shared" si="3735"/>
        <v>#DIV/0!</v>
      </c>
      <c r="DJ196" s="159" t="e">
        <f t="shared" si="3735"/>
        <v>#DIV/0!</v>
      </c>
      <c r="DK196" s="157" t="e">
        <f t="shared" si="3735"/>
        <v>#DIV/0!</v>
      </c>
      <c r="DL196" s="158" t="e">
        <f t="shared" si="3735"/>
        <v>#DIV/0!</v>
      </c>
      <c r="DM196" s="158" t="e">
        <f t="shared" si="3735"/>
        <v>#DIV/0!</v>
      </c>
      <c r="DN196" s="158" t="e">
        <f t="shared" si="3735"/>
        <v>#DIV/0!</v>
      </c>
      <c r="DO196" s="158" t="e">
        <f t="shared" si="3735"/>
        <v>#DIV/0!</v>
      </c>
      <c r="DP196" s="158" t="e">
        <f t="shared" si="3735"/>
        <v>#DIV/0!</v>
      </c>
      <c r="DQ196" s="158" t="e">
        <f t="shared" si="3735"/>
        <v>#DIV/0!</v>
      </c>
      <c r="DR196" s="158" t="e">
        <f t="shared" si="3735"/>
        <v>#DIV/0!</v>
      </c>
      <c r="DS196" s="158" t="e">
        <f t="shared" si="3735"/>
        <v>#DIV/0!</v>
      </c>
      <c r="DT196" s="158" t="e">
        <f t="shared" si="3735"/>
        <v>#DIV/0!</v>
      </c>
      <c r="DU196" s="158" t="e">
        <f t="shared" si="3735"/>
        <v>#DIV/0!</v>
      </c>
      <c r="DV196" s="159" t="e">
        <f t="shared" si="3735"/>
        <v>#DIV/0!</v>
      </c>
      <c r="DX196" s="186" t="e">
        <f t="shared" ref="DX196" si="3736">P196/$E196</f>
        <v>#DIV/0!</v>
      </c>
      <c r="DY196" s="187" t="e">
        <f t="shared" ref="DY196" si="3737">Q196/$E196</f>
        <v>#DIV/0!</v>
      </c>
      <c r="DZ196" s="187" t="e">
        <f t="shared" ref="DZ196" si="3738">R196/$E196</f>
        <v>#DIV/0!</v>
      </c>
      <c r="EA196" s="187" t="e">
        <f t="shared" ref="EA196" si="3739">S196/$E196</f>
        <v>#DIV/0!</v>
      </c>
      <c r="EB196" s="187" t="e">
        <f t="shared" ref="EB196" si="3740">T196/$E196</f>
        <v>#DIV/0!</v>
      </c>
      <c r="EC196" s="187" t="e">
        <f t="shared" ref="EC196" si="3741">U196/$E196</f>
        <v>#DIV/0!</v>
      </c>
      <c r="ED196" s="187" t="e">
        <f t="shared" ref="ED196" si="3742">V196/$E196</f>
        <v>#DIV/0!</v>
      </c>
      <c r="EE196" s="188" t="e">
        <f t="shared" ref="EE196" si="3743">W196/$E196</f>
        <v>#DIV/0!</v>
      </c>
      <c r="EF196" s="186" t="e">
        <f t="shared" ref="EF196" si="3744">X196/$E196</f>
        <v>#DIV/0!</v>
      </c>
      <c r="EG196" s="187" t="e">
        <f t="shared" ref="EG196" si="3745">Y196/$E196</f>
        <v>#DIV/0!</v>
      </c>
      <c r="EH196" s="187" t="e">
        <f t="shared" ref="EH196" si="3746">Z196/$E196</f>
        <v>#DIV/0!</v>
      </c>
      <c r="EI196" s="188" t="e">
        <f t="shared" ref="EI196" si="3747">AA196/$E196</f>
        <v>#DIV/0!</v>
      </c>
      <c r="EJ196" s="186" t="e">
        <f t="shared" ref="EJ196" si="3748">AB196/$E196</f>
        <v>#DIV/0!</v>
      </c>
      <c r="EK196" s="187" t="e">
        <f t="shared" ref="EK196" si="3749">AC196/$E196</f>
        <v>#DIV/0!</v>
      </c>
      <c r="EL196" s="187" t="e">
        <f t="shared" ref="EL196" si="3750">AD196/$E196</f>
        <v>#DIV/0!</v>
      </c>
      <c r="EM196" s="187" t="e">
        <f t="shared" ref="EM196" si="3751">AE196/$E196</f>
        <v>#DIV/0!</v>
      </c>
      <c r="EN196" s="187" t="e">
        <f t="shared" ref="EN196" si="3752">AF196/$E196</f>
        <v>#DIV/0!</v>
      </c>
      <c r="EO196" s="188" t="e">
        <f t="shared" ref="EO196" si="3753">AG196/$E196</f>
        <v>#DIV/0!</v>
      </c>
      <c r="EP196" s="186" t="e">
        <f t="shared" ref="EP196" si="3754">AH196/$E196</f>
        <v>#DIV/0!</v>
      </c>
      <c r="EQ196" s="187" t="e">
        <f t="shared" ref="EQ196" si="3755">AI196/$E196</f>
        <v>#DIV/0!</v>
      </c>
      <c r="ER196" s="187" t="e">
        <f t="shared" ref="ER196" si="3756">AJ196/$E196</f>
        <v>#DIV/0!</v>
      </c>
      <c r="ES196" s="187" t="e">
        <f t="shared" ref="ES196" si="3757">AK196/$E196</f>
        <v>#DIV/0!</v>
      </c>
      <c r="ET196" s="188" t="e">
        <f t="shared" ref="ET196" si="3758">AL196/$E196</f>
        <v>#DIV/0!</v>
      </c>
      <c r="EU196" s="186" t="e">
        <f t="shared" ref="EU196" si="3759">AM196/$E196</f>
        <v>#DIV/0!</v>
      </c>
      <c r="EV196" s="187" t="e">
        <f t="shared" ref="EV196" si="3760">AN196/$E196</f>
        <v>#DIV/0!</v>
      </c>
      <c r="EW196" s="187" t="e">
        <f t="shared" ref="EW196" si="3761">AO196/$E196</f>
        <v>#DIV/0!</v>
      </c>
      <c r="EX196" s="187" t="e">
        <f t="shared" ref="EX196" si="3762">AP196/$E196</f>
        <v>#DIV/0!</v>
      </c>
      <c r="EY196" s="187" t="e">
        <f t="shared" ref="EY196" si="3763">AQ196/$E196</f>
        <v>#DIV/0!</v>
      </c>
      <c r="EZ196" s="187" t="e">
        <f t="shared" ref="EZ196" si="3764">AR196/$E196</f>
        <v>#DIV/0!</v>
      </c>
      <c r="FA196" s="187" t="e">
        <f t="shared" ref="FA196" si="3765">AS196/$E196</f>
        <v>#DIV/0!</v>
      </c>
      <c r="FB196" s="187" t="e">
        <f t="shared" ref="FB196" si="3766">AT196/$E196</f>
        <v>#DIV/0!</v>
      </c>
      <c r="FC196" s="187" t="e">
        <f t="shared" ref="FC196" si="3767">AU196/$E196</f>
        <v>#DIV/0!</v>
      </c>
      <c r="FD196" s="187" t="e">
        <f t="shared" ref="FD196" si="3768">AV196/$E196</f>
        <v>#DIV/0!</v>
      </c>
      <c r="FE196" s="187" t="e">
        <f t="shared" ref="FE196" si="3769">AY196/$E196</f>
        <v>#DIV/0!</v>
      </c>
      <c r="FF196" s="188" t="e">
        <f t="shared" ref="FF196" si="3770">AZ196/$E196</f>
        <v>#DIV/0!</v>
      </c>
      <c r="FG196" s="34"/>
    </row>
    <row r="197" spans="1:163" x14ac:dyDescent="0.25">
      <c r="B197" s="177">
        <v>43134</v>
      </c>
      <c r="C197" s="271"/>
      <c r="D197" s="53"/>
      <c r="E197" s="129"/>
      <c r="F197" s="25"/>
      <c r="G197" s="25"/>
      <c r="H197" s="150"/>
      <c r="I197" s="24"/>
      <c r="J197" s="151"/>
      <c r="K197" s="151"/>
      <c r="L197" s="152">
        <v>9.6</v>
      </c>
      <c r="M197" s="152" t="e">
        <f t="shared" si="3698"/>
        <v>#DIV/0!</v>
      </c>
      <c r="N197" s="153" t="e">
        <f t="shared" si="3699"/>
        <v>#DIV/0!</v>
      </c>
      <c r="O197" s="25"/>
      <c r="P197" s="95"/>
      <c r="Q197" s="41"/>
      <c r="R197" s="41"/>
      <c r="S197" s="41"/>
      <c r="T197" s="41"/>
      <c r="U197" s="41"/>
      <c r="V197" s="41"/>
      <c r="W197" s="42"/>
      <c r="X197" s="95"/>
      <c r="Y197" s="41"/>
      <c r="Z197" s="41"/>
      <c r="AA197" s="42"/>
      <c r="AB197" s="95"/>
      <c r="AC197" s="41"/>
      <c r="AD197" s="41"/>
      <c r="AE197" s="41"/>
      <c r="AF197" s="41"/>
      <c r="AG197" s="42"/>
      <c r="AH197" s="95"/>
      <c r="AI197" s="41"/>
      <c r="AJ197" s="41"/>
      <c r="AK197" s="41"/>
      <c r="AL197" s="42"/>
      <c r="AM197" s="95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2"/>
      <c r="BB197" s="95" t="e">
        <f t="shared" si="3700"/>
        <v>#DIV/0!</v>
      </c>
      <c r="BC197" s="41" t="e">
        <f t="shared" si="3701"/>
        <v>#DIV/0!</v>
      </c>
      <c r="BD197" s="41" t="e">
        <f t="shared" si="3702"/>
        <v>#DIV/0!</v>
      </c>
      <c r="BE197" s="41" t="e">
        <f t="shared" si="3703"/>
        <v>#DIV/0!</v>
      </c>
      <c r="BF197" s="41" t="e">
        <f t="shared" si="3704"/>
        <v>#DIV/0!</v>
      </c>
      <c r="BG197" s="41" t="e">
        <f t="shared" si="3705"/>
        <v>#DIV/0!</v>
      </c>
      <c r="BH197" s="41" t="e">
        <f t="shared" si="3706"/>
        <v>#DIV/0!</v>
      </c>
      <c r="BI197" s="42" t="e">
        <f t="shared" si="3707"/>
        <v>#DIV/0!</v>
      </c>
      <c r="BJ197" s="95" t="e">
        <f t="shared" si="3708"/>
        <v>#DIV/0!</v>
      </c>
      <c r="BK197" s="41" t="e">
        <f t="shared" si="3709"/>
        <v>#DIV/0!</v>
      </c>
      <c r="BL197" s="41" t="e">
        <f t="shared" si="3710"/>
        <v>#DIV/0!</v>
      </c>
      <c r="BM197" s="42" t="e">
        <f t="shared" si="3711"/>
        <v>#DIV/0!</v>
      </c>
      <c r="BN197" s="95" t="e">
        <f t="shared" si="3712"/>
        <v>#DIV/0!</v>
      </c>
      <c r="BO197" s="41" t="e">
        <f t="shared" si="3713"/>
        <v>#DIV/0!</v>
      </c>
      <c r="BP197" s="41" t="e">
        <f t="shared" si="3714"/>
        <v>#DIV/0!</v>
      </c>
      <c r="BQ197" s="41" t="e">
        <f t="shared" si="3715"/>
        <v>#DIV/0!</v>
      </c>
      <c r="BR197" s="41" t="e">
        <f t="shared" si="3716"/>
        <v>#DIV/0!</v>
      </c>
      <c r="BS197" s="42" t="e">
        <f t="shared" si="3717"/>
        <v>#DIV/0!</v>
      </c>
      <c r="BT197" s="95" t="e">
        <f t="shared" si="3718"/>
        <v>#DIV/0!</v>
      </c>
      <c r="BU197" s="41" t="e">
        <f t="shared" si="3719"/>
        <v>#DIV/0!</v>
      </c>
      <c r="BV197" s="41" t="e">
        <f t="shared" si="3720"/>
        <v>#DIV/0!</v>
      </c>
      <c r="BW197" s="41" t="e">
        <f t="shared" si="3721"/>
        <v>#DIV/0!</v>
      </c>
      <c r="BX197" s="42" t="e">
        <f t="shared" si="3722"/>
        <v>#DIV/0!</v>
      </c>
      <c r="BY197" s="95" t="e">
        <f t="shared" si="3723"/>
        <v>#DIV/0!</v>
      </c>
      <c r="BZ197" s="41" t="e">
        <f t="shared" si="3724"/>
        <v>#DIV/0!</v>
      </c>
      <c r="CA197" s="41" t="e">
        <f t="shared" si="3725"/>
        <v>#DIV/0!</v>
      </c>
      <c r="CB197" s="41" t="e">
        <f t="shared" si="3726"/>
        <v>#DIV/0!</v>
      </c>
      <c r="CC197" s="41" t="e">
        <f t="shared" si="3727"/>
        <v>#DIV/0!</v>
      </c>
      <c r="CD197" s="41" t="e">
        <f t="shared" si="3728"/>
        <v>#DIV/0!</v>
      </c>
      <c r="CE197" s="41" t="e">
        <f t="shared" si="3729"/>
        <v>#DIV/0!</v>
      </c>
      <c r="CF197" s="41" t="e">
        <f t="shared" si="3730"/>
        <v>#DIV/0!</v>
      </c>
      <c r="CG197" s="41" t="e">
        <f t="shared" si="3731"/>
        <v>#DIV/0!</v>
      </c>
      <c r="CH197" s="41" t="e">
        <f t="shared" si="3732"/>
        <v>#DIV/0!</v>
      </c>
      <c r="CI197" s="41" t="e">
        <f t="shared" si="3733"/>
        <v>#DIV/0!</v>
      </c>
      <c r="CJ197" s="42" t="e">
        <f t="shared" si="3734"/>
        <v>#DIV/0!</v>
      </c>
      <c r="CL197" s="36"/>
      <c r="CN197" s="95"/>
      <c r="CO197" s="41"/>
      <c r="CP197" s="41"/>
      <c r="CQ197" s="41"/>
      <c r="CR197" s="41"/>
      <c r="CS197" s="41"/>
      <c r="CT197" s="41"/>
      <c r="CU197" s="42"/>
      <c r="CV197" s="95"/>
      <c r="CW197" s="41"/>
      <c r="CX197" s="41"/>
      <c r="CY197" s="42"/>
      <c r="CZ197" s="95"/>
      <c r="DA197" s="41"/>
      <c r="DB197" s="41"/>
      <c r="DC197" s="41"/>
      <c r="DD197" s="41"/>
      <c r="DE197" s="42"/>
      <c r="DF197" s="95"/>
      <c r="DG197" s="41"/>
      <c r="DH197" s="41"/>
      <c r="DI197" s="41"/>
      <c r="DJ197" s="42"/>
      <c r="DK197" s="95"/>
      <c r="DL197" s="41"/>
      <c r="DM197" s="41"/>
      <c r="DN197" s="41"/>
      <c r="DO197" s="41"/>
      <c r="DP197" s="41"/>
      <c r="DQ197" s="41"/>
      <c r="DR197" s="41"/>
      <c r="DS197" s="41"/>
      <c r="DT197" s="41"/>
      <c r="DU197" s="41"/>
      <c r="DV197" s="42"/>
      <c r="DX197" s="138" t="e">
        <f t="shared" ref="DX197:DX203" si="3771">P197/$E197</f>
        <v>#DIV/0!</v>
      </c>
      <c r="DY197" s="34" t="e">
        <f t="shared" ref="DY197" si="3772">Q197/$E197</f>
        <v>#DIV/0!</v>
      </c>
      <c r="DZ197" s="34" t="e">
        <f t="shared" ref="DZ197" si="3773">R197/$E197</f>
        <v>#DIV/0!</v>
      </c>
      <c r="EA197" s="34" t="e">
        <f t="shared" ref="EA197" si="3774">S197/$E197</f>
        <v>#DIV/0!</v>
      </c>
      <c r="EB197" s="34" t="e">
        <f t="shared" ref="EB197" si="3775">T197/$E197</f>
        <v>#DIV/0!</v>
      </c>
      <c r="EC197" s="34" t="e">
        <f t="shared" ref="EC197" si="3776">U197/$E197</f>
        <v>#DIV/0!</v>
      </c>
      <c r="ED197" s="34" t="e">
        <f t="shared" ref="ED197" si="3777">V197/$E197</f>
        <v>#DIV/0!</v>
      </c>
      <c r="EE197" s="139" t="e">
        <f t="shared" ref="EE197" si="3778">W197/$E197</f>
        <v>#DIV/0!</v>
      </c>
      <c r="EF197" s="138" t="e">
        <f t="shared" ref="EF197" si="3779">X197/$E197</f>
        <v>#DIV/0!</v>
      </c>
      <c r="EG197" s="34" t="e">
        <f t="shared" ref="EG197" si="3780">Y197/$E197</f>
        <v>#DIV/0!</v>
      </c>
      <c r="EH197" s="34" t="e">
        <f t="shared" ref="EH197" si="3781">Z197/$E197</f>
        <v>#DIV/0!</v>
      </c>
      <c r="EI197" s="139" t="e">
        <f t="shared" ref="EI197" si="3782">AA197/$E197</f>
        <v>#DIV/0!</v>
      </c>
      <c r="EJ197" s="138" t="e">
        <f t="shared" ref="EJ197" si="3783">AB197/$E197</f>
        <v>#DIV/0!</v>
      </c>
      <c r="EK197" s="34" t="e">
        <f t="shared" ref="EK197" si="3784">AC197/$E197</f>
        <v>#DIV/0!</v>
      </c>
      <c r="EL197" s="34" t="e">
        <f t="shared" ref="EL197" si="3785">AD197/$E197</f>
        <v>#DIV/0!</v>
      </c>
      <c r="EM197" s="34" t="e">
        <f t="shared" ref="EM197" si="3786">AE197/$E197</f>
        <v>#DIV/0!</v>
      </c>
      <c r="EN197" s="34" t="e">
        <f t="shared" ref="EN197" si="3787">AF197/$E197</f>
        <v>#DIV/0!</v>
      </c>
      <c r="EO197" s="139" t="e">
        <f t="shared" ref="EO197" si="3788">AG197/$E197</f>
        <v>#DIV/0!</v>
      </c>
      <c r="EP197" s="138" t="e">
        <f t="shared" ref="EP197" si="3789">AH197/$E197</f>
        <v>#DIV/0!</v>
      </c>
      <c r="EQ197" s="34" t="e">
        <f t="shared" ref="EQ197" si="3790">AI197/$E197</f>
        <v>#DIV/0!</v>
      </c>
      <c r="ER197" s="34" t="e">
        <f t="shared" ref="ER197" si="3791">AJ197/$E197</f>
        <v>#DIV/0!</v>
      </c>
      <c r="ES197" s="34" t="e">
        <f t="shared" ref="ES197" si="3792">AK197/$E197</f>
        <v>#DIV/0!</v>
      </c>
      <c r="ET197" s="139" t="e">
        <f t="shared" ref="ET197" si="3793">AL197/$E197</f>
        <v>#DIV/0!</v>
      </c>
      <c r="EU197" s="138" t="e">
        <f t="shared" ref="EU197" si="3794">AM197/$E197</f>
        <v>#DIV/0!</v>
      </c>
      <c r="EV197" s="34" t="e">
        <f t="shared" ref="EV197" si="3795">AN197/$E197</f>
        <v>#DIV/0!</v>
      </c>
      <c r="EW197" s="34" t="e">
        <f t="shared" ref="EW197" si="3796">AO197/$E197</f>
        <v>#DIV/0!</v>
      </c>
      <c r="EX197" s="34" t="e">
        <f t="shared" ref="EX197" si="3797">AP197/$E197</f>
        <v>#DIV/0!</v>
      </c>
      <c r="EY197" s="34" t="e">
        <f t="shared" ref="EY197" si="3798">AQ197/$E197</f>
        <v>#DIV/0!</v>
      </c>
      <c r="EZ197" s="34" t="e">
        <f t="shared" ref="EZ197" si="3799">AR197/$E197</f>
        <v>#DIV/0!</v>
      </c>
      <c r="FA197" s="34" t="e">
        <f t="shared" ref="FA197" si="3800">AS197/$E197</f>
        <v>#DIV/0!</v>
      </c>
      <c r="FB197" s="34" t="e">
        <f t="shared" ref="FB197" si="3801">AT197/$E197</f>
        <v>#DIV/0!</v>
      </c>
      <c r="FC197" s="34" t="e">
        <f t="shared" ref="FC197" si="3802">AU197/$E197</f>
        <v>#DIV/0!</v>
      </c>
      <c r="FD197" s="34" t="e">
        <f t="shared" ref="FD197" si="3803">AV197/$E197</f>
        <v>#DIV/0!</v>
      </c>
      <c r="FE197" s="34" t="e">
        <f t="shared" ref="FE197" si="3804">AY197/$E197</f>
        <v>#DIV/0!</v>
      </c>
      <c r="FF197" s="139" t="e">
        <f t="shared" ref="FF197" si="3805">AZ197/$E197</f>
        <v>#DIV/0!</v>
      </c>
    </row>
    <row r="198" spans="1:163" x14ac:dyDescent="0.25">
      <c r="B198" s="177">
        <v>43140</v>
      </c>
      <c r="C198" s="271"/>
      <c r="D198" s="53"/>
      <c r="E198" s="129"/>
      <c r="F198" s="25"/>
      <c r="G198" s="25"/>
      <c r="H198" s="150"/>
      <c r="I198" s="24"/>
      <c r="J198" s="151"/>
      <c r="K198" s="151"/>
      <c r="L198" s="152">
        <v>9.9</v>
      </c>
      <c r="M198" s="152" t="e">
        <f t="shared" si="3698"/>
        <v>#DIV/0!</v>
      </c>
      <c r="N198" s="153" t="e">
        <f t="shared" si="3699"/>
        <v>#DIV/0!</v>
      </c>
      <c r="O198" s="25"/>
      <c r="P198" s="95"/>
      <c r="Q198" s="41"/>
      <c r="R198" s="41"/>
      <c r="S198" s="41"/>
      <c r="T198" s="41"/>
      <c r="U198" s="41"/>
      <c r="V198" s="41"/>
      <c r="W198" s="42"/>
      <c r="X198" s="95"/>
      <c r="Y198" s="41"/>
      <c r="Z198" s="41"/>
      <c r="AA198" s="42"/>
      <c r="AB198" s="95"/>
      <c r="AC198" s="41"/>
      <c r="AD198" s="41"/>
      <c r="AE198" s="41"/>
      <c r="AF198" s="41"/>
      <c r="AG198" s="42"/>
      <c r="AH198" s="95"/>
      <c r="AI198" s="41"/>
      <c r="AJ198" s="41"/>
      <c r="AK198" s="41"/>
      <c r="AL198" s="42"/>
      <c r="AM198" s="95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2"/>
      <c r="BB198" s="95" t="e">
        <f t="shared" si="3700"/>
        <v>#DIV/0!</v>
      </c>
      <c r="BC198" s="41" t="e">
        <f t="shared" si="3701"/>
        <v>#DIV/0!</v>
      </c>
      <c r="BD198" s="41" t="e">
        <f t="shared" si="3702"/>
        <v>#DIV/0!</v>
      </c>
      <c r="BE198" s="41" t="e">
        <f t="shared" si="3703"/>
        <v>#DIV/0!</v>
      </c>
      <c r="BF198" s="41" t="e">
        <f t="shared" si="3704"/>
        <v>#DIV/0!</v>
      </c>
      <c r="BG198" s="41" t="e">
        <f t="shared" si="3705"/>
        <v>#DIV/0!</v>
      </c>
      <c r="BH198" s="41" t="e">
        <f t="shared" si="3706"/>
        <v>#DIV/0!</v>
      </c>
      <c r="BI198" s="42" t="e">
        <f t="shared" si="3707"/>
        <v>#DIV/0!</v>
      </c>
      <c r="BJ198" s="95" t="e">
        <f t="shared" si="3708"/>
        <v>#DIV/0!</v>
      </c>
      <c r="BK198" s="41" t="e">
        <f t="shared" si="3709"/>
        <v>#DIV/0!</v>
      </c>
      <c r="BL198" s="41" t="e">
        <f t="shared" si="3710"/>
        <v>#DIV/0!</v>
      </c>
      <c r="BM198" s="42" t="e">
        <f t="shared" si="3711"/>
        <v>#DIV/0!</v>
      </c>
      <c r="BN198" s="95" t="e">
        <f t="shared" si="3712"/>
        <v>#DIV/0!</v>
      </c>
      <c r="BO198" s="41" t="e">
        <f t="shared" si="3713"/>
        <v>#DIV/0!</v>
      </c>
      <c r="BP198" s="41" t="e">
        <f t="shared" si="3714"/>
        <v>#DIV/0!</v>
      </c>
      <c r="BQ198" s="41" t="e">
        <f t="shared" si="3715"/>
        <v>#DIV/0!</v>
      </c>
      <c r="BR198" s="41" t="e">
        <f t="shared" si="3716"/>
        <v>#DIV/0!</v>
      </c>
      <c r="BS198" s="42" t="e">
        <f t="shared" si="3717"/>
        <v>#DIV/0!</v>
      </c>
      <c r="BT198" s="95" t="e">
        <f t="shared" si="3718"/>
        <v>#DIV/0!</v>
      </c>
      <c r="BU198" s="41" t="e">
        <f t="shared" si="3719"/>
        <v>#DIV/0!</v>
      </c>
      <c r="BV198" s="41" t="e">
        <f t="shared" si="3720"/>
        <v>#DIV/0!</v>
      </c>
      <c r="BW198" s="41" t="e">
        <f t="shared" si="3721"/>
        <v>#DIV/0!</v>
      </c>
      <c r="BX198" s="42" t="e">
        <f t="shared" si="3722"/>
        <v>#DIV/0!</v>
      </c>
      <c r="BY198" s="95" t="e">
        <f t="shared" si="3723"/>
        <v>#DIV/0!</v>
      </c>
      <c r="BZ198" s="41" t="e">
        <f t="shared" si="3724"/>
        <v>#DIV/0!</v>
      </c>
      <c r="CA198" s="41" t="e">
        <f t="shared" si="3725"/>
        <v>#DIV/0!</v>
      </c>
      <c r="CB198" s="41" t="e">
        <f t="shared" si="3726"/>
        <v>#DIV/0!</v>
      </c>
      <c r="CC198" s="41" t="e">
        <f t="shared" si="3727"/>
        <v>#DIV/0!</v>
      </c>
      <c r="CD198" s="41" t="e">
        <f t="shared" si="3728"/>
        <v>#DIV/0!</v>
      </c>
      <c r="CE198" s="41" t="e">
        <f t="shared" si="3729"/>
        <v>#DIV/0!</v>
      </c>
      <c r="CF198" s="41" t="e">
        <f t="shared" si="3730"/>
        <v>#DIV/0!</v>
      </c>
      <c r="CG198" s="41" t="e">
        <f t="shared" si="3731"/>
        <v>#DIV/0!</v>
      </c>
      <c r="CH198" s="41" t="e">
        <f t="shared" si="3732"/>
        <v>#DIV/0!</v>
      </c>
      <c r="CI198" s="41" t="e">
        <f t="shared" si="3733"/>
        <v>#DIV/0!</v>
      </c>
      <c r="CJ198" s="42" t="e">
        <f t="shared" si="3734"/>
        <v>#DIV/0!</v>
      </c>
      <c r="CL198" s="36"/>
      <c r="CN198" s="95"/>
      <c r="CO198" s="41"/>
      <c r="CP198" s="41"/>
      <c r="CQ198" s="41"/>
      <c r="CR198" s="41"/>
      <c r="CS198" s="41"/>
      <c r="CT198" s="41"/>
      <c r="CU198" s="42"/>
      <c r="CV198" s="95"/>
      <c r="CW198" s="41"/>
      <c r="CX198" s="41"/>
      <c r="CY198" s="42"/>
      <c r="CZ198" s="95"/>
      <c r="DA198" s="41"/>
      <c r="DB198" s="41"/>
      <c r="DC198" s="41"/>
      <c r="DD198" s="41"/>
      <c r="DE198" s="42"/>
      <c r="DF198" s="95"/>
      <c r="DG198" s="41"/>
      <c r="DH198" s="41"/>
      <c r="DI198" s="41"/>
      <c r="DJ198" s="42"/>
      <c r="DK198" s="95"/>
      <c r="DL198" s="41"/>
      <c r="DM198" s="41"/>
      <c r="DN198" s="41"/>
      <c r="DO198" s="41"/>
      <c r="DP198" s="41"/>
      <c r="DQ198" s="41"/>
      <c r="DR198" s="41"/>
      <c r="DS198" s="41"/>
      <c r="DT198" s="41"/>
      <c r="DU198" s="41"/>
      <c r="DV198" s="42"/>
      <c r="DX198" s="138" t="e">
        <f t="shared" si="3771"/>
        <v>#DIV/0!</v>
      </c>
      <c r="DY198" s="34" t="e">
        <f t="shared" ref="DY198:DY203" si="3806">Q198/$E198</f>
        <v>#DIV/0!</v>
      </c>
      <c r="DZ198" s="34" t="e">
        <f t="shared" ref="DZ198:DZ203" si="3807">R198/$E198</f>
        <v>#DIV/0!</v>
      </c>
      <c r="EA198" s="34" t="e">
        <f t="shared" ref="EA198:EA203" si="3808">S198/$E198</f>
        <v>#DIV/0!</v>
      </c>
      <c r="EB198" s="34" t="e">
        <f t="shared" ref="EB198:EB203" si="3809">T198/$E198</f>
        <v>#DIV/0!</v>
      </c>
      <c r="EC198" s="34" t="e">
        <f t="shared" ref="EC198:EC203" si="3810">U198/$E198</f>
        <v>#DIV/0!</v>
      </c>
      <c r="ED198" s="34" t="e">
        <f t="shared" ref="ED198:ED203" si="3811">V198/$E198</f>
        <v>#DIV/0!</v>
      </c>
      <c r="EE198" s="139" t="e">
        <f t="shared" ref="EE198:EE203" si="3812">W198/$E198</f>
        <v>#DIV/0!</v>
      </c>
      <c r="EF198" s="138" t="e">
        <f t="shared" ref="EF198:EF203" si="3813">X198/$E198</f>
        <v>#DIV/0!</v>
      </c>
      <c r="EG198" s="34" t="e">
        <f t="shared" ref="EG198:EG203" si="3814">Y198/$E198</f>
        <v>#DIV/0!</v>
      </c>
      <c r="EH198" s="34" t="e">
        <f t="shared" ref="EH198:EH203" si="3815">Z198/$E198</f>
        <v>#DIV/0!</v>
      </c>
      <c r="EI198" s="139" t="e">
        <f t="shared" ref="EI198:EI203" si="3816">AA198/$E198</f>
        <v>#DIV/0!</v>
      </c>
      <c r="EJ198" s="138" t="e">
        <f t="shared" ref="EJ198:EJ203" si="3817">AB198/$E198</f>
        <v>#DIV/0!</v>
      </c>
      <c r="EK198" s="34" t="e">
        <f t="shared" ref="EK198:EK203" si="3818">AC198/$E198</f>
        <v>#DIV/0!</v>
      </c>
      <c r="EL198" s="34" t="e">
        <f t="shared" ref="EL198:EL203" si="3819">AD198/$E198</f>
        <v>#DIV/0!</v>
      </c>
      <c r="EM198" s="34" t="e">
        <f t="shared" ref="EM198:EM203" si="3820">AE198/$E198</f>
        <v>#DIV/0!</v>
      </c>
      <c r="EN198" s="34" t="e">
        <f t="shared" ref="EN198:EN203" si="3821">AF198/$E198</f>
        <v>#DIV/0!</v>
      </c>
      <c r="EO198" s="139" t="e">
        <f t="shared" ref="EO198:EO203" si="3822">AG198/$E198</f>
        <v>#DIV/0!</v>
      </c>
      <c r="EP198" s="138" t="e">
        <f t="shared" ref="EP198:EP203" si="3823">AH198/$E198</f>
        <v>#DIV/0!</v>
      </c>
      <c r="EQ198" s="34" t="e">
        <f t="shared" ref="EQ198:EQ203" si="3824">AI198/$E198</f>
        <v>#DIV/0!</v>
      </c>
      <c r="ER198" s="34" t="e">
        <f t="shared" ref="ER198:ER203" si="3825">AJ198/$E198</f>
        <v>#DIV/0!</v>
      </c>
      <c r="ES198" s="34" t="e">
        <f t="shared" ref="ES198:ES203" si="3826">AK198/$E198</f>
        <v>#DIV/0!</v>
      </c>
      <c r="ET198" s="139" t="e">
        <f t="shared" ref="ET198:ET203" si="3827">AL198/$E198</f>
        <v>#DIV/0!</v>
      </c>
      <c r="EU198" s="138" t="e">
        <f t="shared" ref="EU198:EU203" si="3828">AM198/$E198</f>
        <v>#DIV/0!</v>
      </c>
      <c r="EV198" s="34" t="e">
        <f t="shared" ref="EV198:EV203" si="3829">AN198/$E198</f>
        <v>#DIV/0!</v>
      </c>
      <c r="EW198" s="34" t="e">
        <f t="shared" ref="EW198:EW203" si="3830">AO198/$E198</f>
        <v>#DIV/0!</v>
      </c>
      <c r="EX198" s="34" t="e">
        <f t="shared" ref="EX198:EX203" si="3831">AP198/$E198</f>
        <v>#DIV/0!</v>
      </c>
      <c r="EY198" s="34" t="e">
        <f t="shared" ref="EY198:EY203" si="3832">AQ198/$E198</f>
        <v>#DIV/0!</v>
      </c>
      <c r="EZ198" s="34" t="e">
        <f t="shared" ref="EZ198:EZ203" si="3833">AR198/$E198</f>
        <v>#DIV/0!</v>
      </c>
      <c r="FA198" s="34" t="e">
        <f t="shared" ref="FA198:FA203" si="3834">AS198/$E198</f>
        <v>#DIV/0!</v>
      </c>
      <c r="FB198" s="34" t="e">
        <f t="shared" ref="FB198:FB203" si="3835">AT198/$E198</f>
        <v>#DIV/0!</v>
      </c>
      <c r="FC198" s="34" t="e">
        <f t="shared" ref="FC198:FC203" si="3836">AU198/$E198</f>
        <v>#DIV/0!</v>
      </c>
      <c r="FD198" s="34" t="e">
        <f t="shared" ref="FD198:FD203" si="3837">AV198/$E198</f>
        <v>#DIV/0!</v>
      </c>
      <c r="FE198" s="34" t="e">
        <f t="shared" ref="FE198:FE203" si="3838">AY198/$E198</f>
        <v>#DIV/0!</v>
      </c>
      <c r="FF198" s="139" t="e">
        <f t="shared" ref="FF198:FF203" si="3839">AZ198/$E198</f>
        <v>#DIV/0!</v>
      </c>
    </row>
    <row r="199" spans="1:163" x14ac:dyDescent="0.25">
      <c r="B199" s="177">
        <v>43142</v>
      </c>
      <c r="C199" s="271"/>
      <c r="D199" s="53"/>
      <c r="E199" s="129"/>
      <c r="F199" s="25"/>
      <c r="G199" s="25"/>
      <c r="H199" s="150"/>
      <c r="I199" s="24"/>
      <c r="J199" s="151"/>
      <c r="K199" s="151"/>
      <c r="L199" s="152">
        <v>10</v>
      </c>
      <c r="M199" s="152" t="e">
        <f t="shared" si="3698"/>
        <v>#DIV/0!</v>
      </c>
      <c r="N199" s="153" t="e">
        <f t="shared" si="3699"/>
        <v>#DIV/0!</v>
      </c>
      <c r="O199" s="25"/>
      <c r="P199" s="95"/>
      <c r="Q199" s="41"/>
      <c r="R199" s="41"/>
      <c r="S199" s="41"/>
      <c r="T199" s="41"/>
      <c r="U199" s="41"/>
      <c r="V199" s="41"/>
      <c r="W199" s="42"/>
      <c r="X199" s="95"/>
      <c r="Y199" s="41"/>
      <c r="Z199" s="41"/>
      <c r="AA199" s="42"/>
      <c r="AB199" s="95"/>
      <c r="AC199" s="41"/>
      <c r="AD199" s="41"/>
      <c r="AE199" s="41"/>
      <c r="AF199" s="41"/>
      <c r="AG199" s="42"/>
      <c r="AH199" s="95"/>
      <c r="AI199" s="41"/>
      <c r="AJ199" s="41"/>
      <c r="AK199" s="41"/>
      <c r="AL199" s="42"/>
      <c r="AM199" s="95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2"/>
      <c r="BB199" s="288">
        <v>0</v>
      </c>
      <c r="BC199" s="284">
        <v>0</v>
      </c>
      <c r="BD199" s="284">
        <v>0</v>
      </c>
      <c r="BE199" s="284">
        <v>0</v>
      </c>
      <c r="BF199" s="284">
        <v>0</v>
      </c>
      <c r="BG199" s="284">
        <v>0</v>
      </c>
      <c r="BH199" s="284">
        <v>0</v>
      </c>
      <c r="BI199" s="289">
        <v>0</v>
      </c>
      <c r="BJ199" s="288">
        <v>0</v>
      </c>
      <c r="BK199" s="284">
        <v>0</v>
      </c>
      <c r="BL199" s="284">
        <v>0</v>
      </c>
      <c r="BM199" s="289">
        <v>0</v>
      </c>
      <c r="BN199" s="288">
        <v>0</v>
      </c>
      <c r="BO199" s="284">
        <v>0</v>
      </c>
      <c r="BP199" s="284">
        <v>0</v>
      </c>
      <c r="BQ199" s="284">
        <v>0</v>
      </c>
      <c r="BR199" s="284">
        <v>0</v>
      </c>
      <c r="BS199" s="289">
        <v>0</v>
      </c>
      <c r="BT199" s="288">
        <v>0</v>
      </c>
      <c r="BU199" s="284">
        <v>0</v>
      </c>
      <c r="BV199" s="284">
        <v>0</v>
      </c>
      <c r="BW199" s="284">
        <v>0</v>
      </c>
      <c r="BX199" s="289">
        <v>0</v>
      </c>
      <c r="BY199" s="288">
        <v>0</v>
      </c>
      <c r="BZ199" s="284">
        <v>0</v>
      </c>
      <c r="CA199" s="284">
        <v>0</v>
      </c>
      <c r="CB199" s="284">
        <v>0</v>
      </c>
      <c r="CC199" s="284">
        <v>0</v>
      </c>
      <c r="CD199" s="284">
        <v>0</v>
      </c>
      <c r="CE199" s="284">
        <v>0</v>
      </c>
      <c r="CF199" s="284">
        <v>0</v>
      </c>
      <c r="CG199" s="284">
        <v>0</v>
      </c>
      <c r="CH199" s="284">
        <v>0</v>
      </c>
      <c r="CI199" s="284">
        <v>0</v>
      </c>
      <c r="CJ199" s="289">
        <v>0</v>
      </c>
      <c r="CL199" s="36"/>
      <c r="CN199" s="95"/>
      <c r="CO199" s="41"/>
      <c r="CP199" s="41"/>
      <c r="CQ199" s="41"/>
      <c r="CR199" s="41"/>
      <c r="CS199" s="41"/>
      <c r="CT199" s="41"/>
      <c r="CU199" s="42"/>
      <c r="CV199" s="95"/>
      <c r="CW199" s="41"/>
      <c r="CX199" s="41"/>
      <c r="CY199" s="42"/>
      <c r="CZ199" s="95"/>
      <c r="DA199" s="41"/>
      <c r="DB199" s="41"/>
      <c r="DC199" s="41"/>
      <c r="DD199" s="41"/>
      <c r="DE199" s="42"/>
      <c r="DF199" s="95"/>
      <c r="DG199" s="41"/>
      <c r="DH199" s="41"/>
      <c r="DI199" s="41"/>
      <c r="DJ199" s="42"/>
      <c r="DK199" s="95"/>
      <c r="DL199" s="41"/>
      <c r="DM199" s="41"/>
      <c r="DN199" s="41"/>
      <c r="DO199" s="41"/>
      <c r="DP199" s="41"/>
      <c r="DQ199" s="41"/>
      <c r="DR199" s="41"/>
      <c r="DS199" s="41"/>
      <c r="DT199" s="41"/>
      <c r="DU199" s="41"/>
      <c r="DV199" s="42"/>
      <c r="DX199" s="138" t="e">
        <f t="shared" si="3771"/>
        <v>#DIV/0!</v>
      </c>
      <c r="DY199" s="34" t="e">
        <f t="shared" si="3806"/>
        <v>#DIV/0!</v>
      </c>
      <c r="DZ199" s="34" t="e">
        <f t="shared" si="3807"/>
        <v>#DIV/0!</v>
      </c>
      <c r="EA199" s="34" t="e">
        <f t="shared" si="3808"/>
        <v>#DIV/0!</v>
      </c>
      <c r="EB199" s="34" t="e">
        <f t="shared" si="3809"/>
        <v>#DIV/0!</v>
      </c>
      <c r="EC199" s="34" t="e">
        <f t="shared" si="3810"/>
        <v>#DIV/0!</v>
      </c>
      <c r="ED199" s="34" t="e">
        <f t="shared" si="3811"/>
        <v>#DIV/0!</v>
      </c>
      <c r="EE199" s="139" t="e">
        <f t="shared" si="3812"/>
        <v>#DIV/0!</v>
      </c>
      <c r="EF199" s="138" t="e">
        <f t="shared" si="3813"/>
        <v>#DIV/0!</v>
      </c>
      <c r="EG199" s="34" t="e">
        <f t="shared" si="3814"/>
        <v>#DIV/0!</v>
      </c>
      <c r="EH199" s="34" t="e">
        <f t="shared" si="3815"/>
        <v>#DIV/0!</v>
      </c>
      <c r="EI199" s="139" t="e">
        <f t="shared" si="3816"/>
        <v>#DIV/0!</v>
      </c>
      <c r="EJ199" s="138" t="e">
        <f t="shared" si="3817"/>
        <v>#DIV/0!</v>
      </c>
      <c r="EK199" s="34" t="e">
        <f t="shared" si="3818"/>
        <v>#DIV/0!</v>
      </c>
      <c r="EL199" s="34" t="e">
        <f t="shared" si="3819"/>
        <v>#DIV/0!</v>
      </c>
      <c r="EM199" s="34" t="e">
        <f t="shared" si="3820"/>
        <v>#DIV/0!</v>
      </c>
      <c r="EN199" s="34" t="e">
        <f t="shared" si="3821"/>
        <v>#DIV/0!</v>
      </c>
      <c r="EO199" s="139" t="e">
        <f t="shared" si="3822"/>
        <v>#DIV/0!</v>
      </c>
      <c r="EP199" s="138" t="e">
        <f t="shared" si="3823"/>
        <v>#DIV/0!</v>
      </c>
      <c r="EQ199" s="34" t="e">
        <f t="shared" si="3824"/>
        <v>#DIV/0!</v>
      </c>
      <c r="ER199" s="34" t="e">
        <f t="shared" si="3825"/>
        <v>#DIV/0!</v>
      </c>
      <c r="ES199" s="34" t="e">
        <f t="shared" si="3826"/>
        <v>#DIV/0!</v>
      </c>
      <c r="ET199" s="139" t="e">
        <f t="shared" si="3827"/>
        <v>#DIV/0!</v>
      </c>
      <c r="EU199" s="138" t="e">
        <f t="shared" si="3828"/>
        <v>#DIV/0!</v>
      </c>
      <c r="EV199" s="34" t="e">
        <f t="shared" si="3829"/>
        <v>#DIV/0!</v>
      </c>
      <c r="EW199" s="34" t="e">
        <f t="shared" si="3830"/>
        <v>#DIV/0!</v>
      </c>
      <c r="EX199" s="34" t="e">
        <f t="shared" si="3831"/>
        <v>#DIV/0!</v>
      </c>
      <c r="EY199" s="34" t="e">
        <f t="shared" si="3832"/>
        <v>#DIV/0!</v>
      </c>
      <c r="EZ199" s="34" t="e">
        <f t="shared" si="3833"/>
        <v>#DIV/0!</v>
      </c>
      <c r="FA199" s="34" t="e">
        <f t="shared" si="3834"/>
        <v>#DIV/0!</v>
      </c>
      <c r="FB199" s="34" t="e">
        <f t="shared" si="3835"/>
        <v>#DIV/0!</v>
      </c>
      <c r="FC199" s="34" t="e">
        <f t="shared" si="3836"/>
        <v>#DIV/0!</v>
      </c>
      <c r="FD199" s="34" t="e">
        <f t="shared" si="3837"/>
        <v>#DIV/0!</v>
      </c>
      <c r="FE199" s="34" t="e">
        <f t="shared" si="3838"/>
        <v>#DIV/0!</v>
      </c>
      <c r="FF199" s="139" t="e">
        <f t="shared" si="3839"/>
        <v>#DIV/0!</v>
      </c>
    </row>
    <row r="200" spans="1:163" x14ac:dyDescent="0.25">
      <c r="B200" s="177">
        <v>43144</v>
      </c>
      <c r="C200" s="271"/>
      <c r="D200" s="53"/>
      <c r="E200" s="129"/>
      <c r="F200" s="25"/>
      <c r="G200" s="25"/>
      <c r="H200" s="150"/>
      <c r="I200" s="24"/>
      <c r="J200" s="151"/>
      <c r="K200" s="151"/>
      <c r="L200" s="152">
        <v>10.1</v>
      </c>
      <c r="M200" s="152" t="e">
        <f t="shared" si="3698"/>
        <v>#DIV/0!</v>
      </c>
      <c r="N200" s="153" t="e">
        <f t="shared" si="3699"/>
        <v>#DIV/0!</v>
      </c>
      <c r="O200" s="25"/>
      <c r="P200" s="95"/>
      <c r="Q200" s="41"/>
      <c r="R200" s="41"/>
      <c r="S200" s="41"/>
      <c r="T200" s="41"/>
      <c r="U200" s="41"/>
      <c r="V200" s="41"/>
      <c r="W200" s="42"/>
      <c r="X200" s="95"/>
      <c r="Y200" s="41"/>
      <c r="Z200" s="41"/>
      <c r="AA200" s="42"/>
      <c r="AB200" s="95"/>
      <c r="AC200" s="41"/>
      <c r="AD200" s="41"/>
      <c r="AE200" s="41"/>
      <c r="AF200" s="41"/>
      <c r="AG200" s="42"/>
      <c r="AH200" s="95"/>
      <c r="AI200" s="41"/>
      <c r="AJ200" s="41"/>
      <c r="AK200" s="41"/>
      <c r="AL200" s="42"/>
      <c r="AM200" s="95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2"/>
      <c r="BB200" s="95" t="e">
        <f t="shared" si="3700"/>
        <v>#DIV/0!</v>
      </c>
      <c r="BC200" s="41" t="e">
        <f t="shared" si="3701"/>
        <v>#DIV/0!</v>
      </c>
      <c r="BD200" s="41" t="e">
        <f t="shared" si="3702"/>
        <v>#DIV/0!</v>
      </c>
      <c r="BE200" s="41" t="e">
        <f t="shared" si="3703"/>
        <v>#DIV/0!</v>
      </c>
      <c r="BF200" s="41" t="e">
        <f t="shared" si="3704"/>
        <v>#DIV/0!</v>
      </c>
      <c r="BG200" s="41" t="e">
        <f t="shared" si="3705"/>
        <v>#DIV/0!</v>
      </c>
      <c r="BH200" s="41" t="e">
        <f t="shared" si="3706"/>
        <v>#DIV/0!</v>
      </c>
      <c r="BI200" s="42" t="e">
        <f t="shared" si="3707"/>
        <v>#DIV/0!</v>
      </c>
      <c r="BJ200" s="95" t="e">
        <f t="shared" si="3708"/>
        <v>#DIV/0!</v>
      </c>
      <c r="BK200" s="41" t="e">
        <f t="shared" si="3709"/>
        <v>#DIV/0!</v>
      </c>
      <c r="BL200" s="41" t="e">
        <f t="shared" si="3710"/>
        <v>#DIV/0!</v>
      </c>
      <c r="BM200" s="42" t="e">
        <f t="shared" si="3711"/>
        <v>#DIV/0!</v>
      </c>
      <c r="BN200" s="95" t="e">
        <f t="shared" si="3712"/>
        <v>#DIV/0!</v>
      </c>
      <c r="BO200" s="41" t="e">
        <f t="shared" si="3713"/>
        <v>#DIV/0!</v>
      </c>
      <c r="BP200" s="41" t="e">
        <f t="shared" si="3714"/>
        <v>#DIV/0!</v>
      </c>
      <c r="BQ200" s="41" t="e">
        <f t="shared" si="3715"/>
        <v>#DIV/0!</v>
      </c>
      <c r="BR200" s="41" t="e">
        <f t="shared" si="3716"/>
        <v>#DIV/0!</v>
      </c>
      <c r="BS200" s="42" t="e">
        <f t="shared" si="3717"/>
        <v>#DIV/0!</v>
      </c>
      <c r="BT200" s="95" t="e">
        <f t="shared" si="3718"/>
        <v>#DIV/0!</v>
      </c>
      <c r="BU200" s="41" t="e">
        <f t="shared" si="3719"/>
        <v>#DIV/0!</v>
      </c>
      <c r="BV200" s="41" t="e">
        <f t="shared" si="3720"/>
        <v>#DIV/0!</v>
      </c>
      <c r="BW200" s="41" t="e">
        <f t="shared" si="3721"/>
        <v>#DIV/0!</v>
      </c>
      <c r="BX200" s="42" t="e">
        <f t="shared" si="3722"/>
        <v>#DIV/0!</v>
      </c>
      <c r="BY200" s="95" t="e">
        <f t="shared" si="3723"/>
        <v>#DIV/0!</v>
      </c>
      <c r="BZ200" s="41" t="e">
        <f t="shared" si="3724"/>
        <v>#DIV/0!</v>
      </c>
      <c r="CA200" s="41" t="e">
        <f t="shared" si="3725"/>
        <v>#DIV/0!</v>
      </c>
      <c r="CB200" s="41" t="e">
        <f t="shared" si="3726"/>
        <v>#DIV/0!</v>
      </c>
      <c r="CC200" s="41" t="e">
        <f t="shared" si="3727"/>
        <v>#DIV/0!</v>
      </c>
      <c r="CD200" s="41" t="e">
        <f t="shared" si="3728"/>
        <v>#DIV/0!</v>
      </c>
      <c r="CE200" s="41" t="e">
        <f t="shared" si="3729"/>
        <v>#DIV/0!</v>
      </c>
      <c r="CF200" s="41" t="e">
        <f t="shared" si="3730"/>
        <v>#DIV/0!</v>
      </c>
      <c r="CG200" s="41" t="e">
        <f t="shared" si="3731"/>
        <v>#DIV/0!</v>
      </c>
      <c r="CH200" s="41" t="e">
        <f t="shared" si="3732"/>
        <v>#DIV/0!</v>
      </c>
      <c r="CI200" s="41" t="e">
        <f t="shared" si="3733"/>
        <v>#DIV/0!</v>
      </c>
      <c r="CJ200" s="42" t="e">
        <f t="shared" si="3734"/>
        <v>#DIV/0!</v>
      </c>
      <c r="CL200" s="36"/>
      <c r="CN200" s="95"/>
      <c r="CO200" s="41"/>
      <c r="CP200" s="41"/>
      <c r="CQ200" s="41"/>
      <c r="CR200" s="41"/>
      <c r="CS200" s="41"/>
      <c r="CT200" s="41"/>
      <c r="CU200" s="42"/>
      <c r="CV200" s="95"/>
      <c r="CW200" s="41"/>
      <c r="CX200" s="41"/>
      <c r="CY200" s="42"/>
      <c r="CZ200" s="95"/>
      <c r="DA200" s="41"/>
      <c r="DB200" s="41"/>
      <c r="DC200" s="41"/>
      <c r="DD200" s="41"/>
      <c r="DE200" s="42"/>
      <c r="DF200" s="95"/>
      <c r="DG200" s="41"/>
      <c r="DH200" s="41"/>
      <c r="DI200" s="41"/>
      <c r="DJ200" s="42"/>
      <c r="DK200" s="95"/>
      <c r="DL200" s="41"/>
      <c r="DM200" s="41"/>
      <c r="DN200" s="41"/>
      <c r="DO200" s="41"/>
      <c r="DP200" s="41"/>
      <c r="DQ200" s="41"/>
      <c r="DR200" s="41"/>
      <c r="DS200" s="41"/>
      <c r="DT200" s="41"/>
      <c r="DU200" s="41"/>
      <c r="DV200" s="42"/>
      <c r="DX200" s="138" t="e">
        <f t="shared" si="3771"/>
        <v>#DIV/0!</v>
      </c>
      <c r="DY200" s="34" t="e">
        <f t="shared" si="3806"/>
        <v>#DIV/0!</v>
      </c>
      <c r="DZ200" s="34" t="e">
        <f t="shared" si="3807"/>
        <v>#DIV/0!</v>
      </c>
      <c r="EA200" s="34" t="e">
        <f t="shared" si="3808"/>
        <v>#DIV/0!</v>
      </c>
      <c r="EB200" s="34" t="e">
        <f t="shared" si="3809"/>
        <v>#DIV/0!</v>
      </c>
      <c r="EC200" s="34" t="e">
        <f t="shared" si="3810"/>
        <v>#DIV/0!</v>
      </c>
      <c r="ED200" s="34" t="e">
        <f t="shared" si="3811"/>
        <v>#DIV/0!</v>
      </c>
      <c r="EE200" s="139" t="e">
        <f t="shared" si="3812"/>
        <v>#DIV/0!</v>
      </c>
      <c r="EF200" s="138" t="e">
        <f t="shared" si="3813"/>
        <v>#DIV/0!</v>
      </c>
      <c r="EG200" s="34" t="e">
        <f t="shared" si="3814"/>
        <v>#DIV/0!</v>
      </c>
      <c r="EH200" s="34" t="e">
        <f t="shared" si="3815"/>
        <v>#DIV/0!</v>
      </c>
      <c r="EI200" s="139" t="e">
        <f t="shared" si="3816"/>
        <v>#DIV/0!</v>
      </c>
      <c r="EJ200" s="138" t="e">
        <f t="shared" si="3817"/>
        <v>#DIV/0!</v>
      </c>
      <c r="EK200" s="34" t="e">
        <f t="shared" si="3818"/>
        <v>#DIV/0!</v>
      </c>
      <c r="EL200" s="34" t="e">
        <f t="shared" si="3819"/>
        <v>#DIV/0!</v>
      </c>
      <c r="EM200" s="34" t="e">
        <f t="shared" si="3820"/>
        <v>#DIV/0!</v>
      </c>
      <c r="EN200" s="34" t="e">
        <f t="shared" si="3821"/>
        <v>#DIV/0!</v>
      </c>
      <c r="EO200" s="139" t="e">
        <f t="shared" si="3822"/>
        <v>#DIV/0!</v>
      </c>
      <c r="EP200" s="138" t="e">
        <f t="shared" si="3823"/>
        <v>#DIV/0!</v>
      </c>
      <c r="EQ200" s="34" t="e">
        <f t="shared" si="3824"/>
        <v>#DIV/0!</v>
      </c>
      <c r="ER200" s="34" t="e">
        <f t="shared" si="3825"/>
        <v>#DIV/0!</v>
      </c>
      <c r="ES200" s="34" t="e">
        <f t="shared" si="3826"/>
        <v>#DIV/0!</v>
      </c>
      <c r="ET200" s="139" t="e">
        <f t="shared" si="3827"/>
        <v>#DIV/0!</v>
      </c>
      <c r="EU200" s="138" t="e">
        <f t="shared" si="3828"/>
        <v>#DIV/0!</v>
      </c>
      <c r="EV200" s="34" t="e">
        <f t="shared" si="3829"/>
        <v>#DIV/0!</v>
      </c>
      <c r="EW200" s="34" t="e">
        <f t="shared" si="3830"/>
        <v>#DIV/0!</v>
      </c>
      <c r="EX200" s="34" t="e">
        <f t="shared" si="3831"/>
        <v>#DIV/0!</v>
      </c>
      <c r="EY200" s="34" t="e">
        <f t="shared" si="3832"/>
        <v>#DIV/0!</v>
      </c>
      <c r="EZ200" s="34" t="e">
        <f t="shared" si="3833"/>
        <v>#DIV/0!</v>
      </c>
      <c r="FA200" s="34" t="e">
        <f t="shared" si="3834"/>
        <v>#DIV/0!</v>
      </c>
      <c r="FB200" s="34" t="e">
        <f t="shared" si="3835"/>
        <v>#DIV/0!</v>
      </c>
      <c r="FC200" s="34" t="e">
        <f t="shared" si="3836"/>
        <v>#DIV/0!</v>
      </c>
      <c r="FD200" s="34" t="e">
        <f t="shared" si="3837"/>
        <v>#DIV/0!</v>
      </c>
      <c r="FE200" s="34" t="e">
        <f t="shared" si="3838"/>
        <v>#DIV/0!</v>
      </c>
      <c r="FF200" s="139" t="e">
        <f t="shared" si="3839"/>
        <v>#DIV/0!</v>
      </c>
    </row>
    <row r="201" spans="1:163" x14ac:dyDescent="0.25">
      <c r="B201" s="177">
        <v>43145</v>
      </c>
      <c r="C201" s="271"/>
      <c r="D201" s="53"/>
      <c r="E201" s="129"/>
      <c r="F201" s="25"/>
      <c r="G201" s="25"/>
      <c r="H201" s="150"/>
      <c r="I201" s="24"/>
      <c r="J201" s="151"/>
      <c r="K201" s="151"/>
      <c r="L201" s="152">
        <v>10.199999999999999</v>
      </c>
      <c r="M201" s="152" t="e">
        <f t="shared" si="3698"/>
        <v>#DIV/0!</v>
      </c>
      <c r="N201" s="153" t="e">
        <f t="shared" si="3699"/>
        <v>#DIV/0!</v>
      </c>
      <c r="O201" s="25"/>
      <c r="P201" s="95"/>
      <c r="Q201" s="41"/>
      <c r="R201" s="41"/>
      <c r="S201" s="41"/>
      <c r="T201" s="41"/>
      <c r="U201" s="41"/>
      <c r="V201" s="41"/>
      <c r="W201" s="42"/>
      <c r="X201" s="95"/>
      <c r="Y201" s="41"/>
      <c r="Z201" s="41"/>
      <c r="AA201" s="42"/>
      <c r="AB201" s="95"/>
      <c r="AC201" s="41"/>
      <c r="AD201" s="41"/>
      <c r="AE201" s="41"/>
      <c r="AF201" s="41"/>
      <c r="AG201" s="42"/>
      <c r="AH201" s="95"/>
      <c r="AI201" s="41"/>
      <c r="AJ201" s="41"/>
      <c r="AK201" s="41"/>
      <c r="AL201" s="42"/>
      <c r="AM201" s="95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2"/>
      <c r="BB201" s="95" t="e">
        <f t="shared" si="3700"/>
        <v>#DIV/0!</v>
      </c>
      <c r="BC201" s="41" t="e">
        <f t="shared" si="3701"/>
        <v>#DIV/0!</v>
      </c>
      <c r="BD201" s="41" t="e">
        <f t="shared" si="3702"/>
        <v>#DIV/0!</v>
      </c>
      <c r="BE201" s="41" t="e">
        <f t="shared" si="3703"/>
        <v>#DIV/0!</v>
      </c>
      <c r="BF201" s="41" t="e">
        <f t="shared" si="3704"/>
        <v>#DIV/0!</v>
      </c>
      <c r="BG201" s="41" t="e">
        <f t="shared" si="3705"/>
        <v>#DIV/0!</v>
      </c>
      <c r="BH201" s="41" t="e">
        <f t="shared" si="3706"/>
        <v>#DIV/0!</v>
      </c>
      <c r="BI201" s="42" t="e">
        <f t="shared" si="3707"/>
        <v>#DIV/0!</v>
      </c>
      <c r="BJ201" s="95" t="e">
        <f t="shared" si="3708"/>
        <v>#DIV/0!</v>
      </c>
      <c r="BK201" s="41" t="e">
        <f t="shared" si="3709"/>
        <v>#DIV/0!</v>
      </c>
      <c r="BL201" s="41" t="e">
        <f t="shared" si="3710"/>
        <v>#DIV/0!</v>
      </c>
      <c r="BM201" s="42" t="e">
        <f t="shared" si="3711"/>
        <v>#DIV/0!</v>
      </c>
      <c r="BN201" s="95" t="e">
        <f t="shared" si="3712"/>
        <v>#DIV/0!</v>
      </c>
      <c r="BO201" s="41" t="e">
        <f t="shared" si="3713"/>
        <v>#DIV/0!</v>
      </c>
      <c r="BP201" s="41" t="e">
        <f t="shared" si="3714"/>
        <v>#DIV/0!</v>
      </c>
      <c r="BQ201" s="41" t="e">
        <f t="shared" si="3715"/>
        <v>#DIV/0!</v>
      </c>
      <c r="BR201" s="41" t="e">
        <f t="shared" si="3716"/>
        <v>#DIV/0!</v>
      </c>
      <c r="BS201" s="42" t="e">
        <f t="shared" si="3717"/>
        <v>#DIV/0!</v>
      </c>
      <c r="BT201" s="95" t="e">
        <f t="shared" si="3718"/>
        <v>#DIV/0!</v>
      </c>
      <c r="BU201" s="41" t="e">
        <f t="shared" si="3719"/>
        <v>#DIV/0!</v>
      </c>
      <c r="BV201" s="41" t="e">
        <f t="shared" si="3720"/>
        <v>#DIV/0!</v>
      </c>
      <c r="BW201" s="41" t="e">
        <f t="shared" si="3721"/>
        <v>#DIV/0!</v>
      </c>
      <c r="BX201" s="42" t="e">
        <f t="shared" si="3722"/>
        <v>#DIV/0!</v>
      </c>
      <c r="BY201" s="95" t="e">
        <f t="shared" si="3723"/>
        <v>#DIV/0!</v>
      </c>
      <c r="BZ201" s="41" t="e">
        <f t="shared" si="3724"/>
        <v>#DIV/0!</v>
      </c>
      <c r="CA201" s="41" t="e">
        <f t="shared" si="3725"/>
        <v>#DIV/0!</v>
      </c>
      <c r="CB201" s="41" t="e">
        <f t="shared" si="3726"/>
        <v>#DIV/0!</v>
      </c>
      <c r="CC201" s="41" t="e">
        <f t="shared" si="3727"/>
        <v>#DIV/0!</v>
      </c>
      <c r="CD201" s="41" t="e">
        <f t="shared" si="3728"/>
        <v>#DIV/0!</v>
      </c>
      <c r="CE201" s="41" t="e">
        <f t="shared" si="3729"/>
        <v>#DIV/0!</v>
      </c>
      <c r="CF201" s="41" t="e">
        <f t="shared" si="3730"/>
        <v>#DIV/0!</v>
      </c>
      <c r="CG201" s="41" t="e">
        <f t="shared" si="3731"/>
        <v>#DIV/0!</v>
      </c>
      <c r="CH201" s="41" t="e">
        <f t="shared" si="3732"/>
        <v>#DIV/0!</v>
      </c>
      <c r="CI201" s="41" t="e">
        <f t="shared" si="3733"/>
        <v>#DIV/0!</v>
      </c>
      <c r="CJ201" s="42" t="e">
        <f t="shared" si="3734"/>
        <v>#DIV/0!</v>
      </c>
      <c r="CL201" s="36"/>
      <c r="CN201" s="95"/>
      <c r="CO201" s="41"/>
      <c r="CP201" s="41"/>
      <c r="CQ201" s="41"/>
      <c r="CR201" s="41"/>
      <c r="CS201" s="41"/>
      <c r="CT201" s="41"/>
      <c r="CU201" s="42"/>
      <c r="CV201" s="95"/>
      <c r="CW201" s="41"/>
      <c r="CX201" s="41"/>
      <c r="CY201" s="42"/>
      <c r="CZ201" s="95"/>
      <c r="DA201" s="41"/>
      <c r="DB201" s="41"/>
      <c r="DC201" s="41"/>
      <c r="DD201" s="41"/>
      <c r="DE201" s="42"/>
      <c r="DF201" s="95"/>
      <c r="DG201" s="41"/>
      <c r="DH201" s="41"/>
      <c r="DI201" s="41"/>
      <c r="DJ201" s="42"/>
      <c r="DK201" s="95"/>
      <c r="DL201" s="41"/>
      <c r="DM201" s="41"/>
      <c r="DN201" s="41"/>
      <c r="DO201" s="41"/>
      <c r="DP201" s="41"/>
      <c r="DQ201" s="41"/>
      <c r="DR201" s="41"/>
      <c r="DS201" s="41"/>
      <c r="DT201" s="41"/>
      <c r="DU201" s="41"/>
      <c r="DV201" s="42"/>
      <c r="DX201" s="138" t="e">
        <f t="shared" si="3771"/>
        <v>#DIV/0!</v>
      </c>
      <c r="DY201" s="34" t="e">
        <f t="shared" si="3806"/>
        <v>#DIV/0!</v>
      </c>
      <c r="DZ201" s="34" t="e">
        <f t="shared" si="3807"/>
        <v>#DIV/0!</v>
      </c>
      <c r="EA201" s="34" t="e">
        <f t="shared" si="3808"/>
        <v>#DIV/0!</v>
      </c>
      <c r="EB201" s="34" t="e">
        <f t="shared" si="3809"/>
        <v>#DIV/0!</v>
      </c>
      <c r="EC201" s="34" t="e">
        <f t="shared" si="3810"/>
        <v>#DIV/0!</v>
      </c>
      <c r="ED201" s="34" t="e">
        <f t="shared" si="3811"/>
        <v>#DIV/0!</v>
      </c>
      <c r="EE201" s="139" t="e">
        <f t="shared" si="3812"/>
        <v>#DIV/0!</v>
      </c>
      <c r="EF201" s="138" t="e">
        <f t="shared" si="3813"/>
        <v>#DIV/0!</v>
      </c>
      <c r="EG201" s="34" t="e">
        <f t="shared" si="3814"/>
        <v>#DIV/0!</v>
      </c>
      <c r="EH201" s="34" t="e">
        <f t="shared" si="3815"/>
        <v>#DIV/0!</v>
      </c>
      <c r="EI201" s="139" t="e">
        <f t="shared" si="3816"/>
        <v>#DIV/0!</v>
      </c>
      <c r="EJ201" s="138" t="e">
        <f t="shared" si="3817"/>
        <v>#DIV/0!</v>
      </c>
      <c r="EK201" s="34" t="e">
        <f t="shared" si="3818"/>
        <v>#DIV/0!</v>
      </c>
      <c r="EL201" s="34" t="e">
        <f t="shared" si="3819"/>
        <v>#DIV/0!</v>
      </c>
      <c r="EM201" s="34" t="e">
        <f t="shared" si="3820"/>
        <v>#DIV/0!</v>
      </c>
      <c r="EN201" s="34" t="e">
        <f t="shared" si="3821"/>
        <v>#DIV/0!</v>
      </c>
      <c r="EO201" s="139" t="e">
        <f t="shared" si="3822"/>
        <v>#DIV/0!</v>
      </c>
      <c r="EP201" s="138" t="e">
        <f t="shared" si="3823"/>
        <v>#DIV/0!</v>
      </c>
      <c r="EQ201" s="34" t="e">
        <f t="shared" si="3824"/>
        <v>#DIV/0!</v>
      </c>
      <c r="ER201" s="34" t="e">
        <f t="shared" si="3825"/>
        <v>#DIV/0!</v>
      </c>
      <c r="ES201" s="34" t="e">
        <f t="shared" si="3826"/>
        <v>#DIV/0!</v>
      </c>
      <c r="ET201" s="139" t="e">
        <f t="shared" si="3827"/>
        <v>#DIV/0!</v>
      </c>
      <c r="EU201" s="138" t="e">
        <f t="shared" si="3828"/>
        <v>#DIV/0!</v>
      </c>
      <c r="EV201" s="34" t="e">
        <f t="shared" si="3829"/>
        <v>#DIV/0!</v>
      </c>
      <c r="EW201" s="34" t="e">
        <f t="shared" si="3830"/>
        <v>#DIV/0!</v>
      </c>
      <c r="EX201" s="34" t="e">
        <f t="shared" si="3831"/>
        <v>#DIV/0!</v>
      </c>
      <c r="EY201" s="34" t="e">
        <f t="shared" si="3832"/>
        <v>#DIV/0!</v>
      </c>
      <c r="EZ201" s="34" t="e">
        <f t="shared" si="3833"/>
        <v>#DIV/0!</v>
      </c>
      <c r="FA201" s="34" t="e">
        <f t="shared" si="3834"/>
        <v>#DIV/0!</v>
      </c>
      <c r="FB201" s="34" t="e">
        <f t="shared" si="3835"/>
        <v>#DIV/0!</v>
      </c>
      <c r="FC201" s="34" t="e">
        <f t="shared" si="3836"/>
        <v>#DIV/0!</v>
      </c>
      <c r="FD201" s="34" t="e">
        <f t="shared" si="3837"/>
        <v>#DIV/0!</v>
      </c>
      <c r="FE201" s="34" t="e">
        <f t="shared" si="3838"/>
        <v>#DIV/0!</v>
      </c>
      <c r="FF201" s="139" t="e">
        <f t="shared" si="3839"/>
        <v>#DIV/0!</v>
      </c>
    </row>
    <row r="202" spans="1:163" x14ac:dyDescent="0.25">
      <c r="B202" s="177">
        <v>43148</v>
      </c>
      <c r="C202" s="271"/>
      <c r="D202" s="53"/>
      <c r="E202" s="129"/>
      <c r="F202" s="25"/>
      <c r="G202" s="25"/>
      <c r="H202" s="150"/>
      <c r="I202" s="24"/>
      <c r="J202" s="151"/>
      <c r="K202" s="151"/>
      <c r="L202" s="152">
        <v>10.4</v>
      </c>
      <c r="M202" s="152" t="e">
        <f t="shared" si="3698"/>
        <v>#DIV/0!</v>
      </c>
      <c r="N202" s="153" t="e">
        <f t="shared" si="3699"/>
        <v>#DIV/0!</v>
      </c>
      <c r="O202" s="25"/>
      <c r="P202" s="95"/>
      <c r="Q202" s="41"/>
      <c r="R202" s="41"/>
      <c r="S202" s="41"/>
      <c r="T202" s="41"/>
      <c r="U202" s="41"/>
      <c r="V202" s="41"/>
      <c r="W202" s="42"/>
      <c r="X202" s="95"/>
      <c r="Y202" s="41"/>
      <c r="Z202" s="41"/>
      <c r="AA202" s="42"/>
      <c r="AB202" s="95"/>
      <c r="AC202" s="41"/>
      <c r="AD202" s="41"/>
      <c r="AE202" s="41"/>
      <c r="AF202" s="41"/>
      <c r="AG202" s="42"/>
      <c r="AH202" s="95"/>
      <c r="AI202" s="41"/>
      <c r="AJ202" s="41"/>
      <c r="AK202" s="41"/>
      <c r="AL202" s="42"/>
      <c r="AM202" s="95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2"/>
      <c r="BB202" s="95" t="e">
        <f t="shared" si="3700"/>
        <v>#DIV/0!</v>
      </c>
      <c r="BC202" s="41" t="e">
        <f t="shared" si="3701"/>
        <v>#DIV/0!</v>
      </c>
      <c r="BD202" s="41" t="e">
        <f t="shared" si="3702"/>
        <v>#DIV/0!</v>
      </c>
      <c r="BE202" s="41" t="e">
        <f t="shared" si="3703"/>
        <v>#DIV/0!</v>
      </c>
      <c r="BF202" s="41" t="e">
        <f t="shared" si="3704"/>
        <v>#DIV/0!</v>
      </c>
      <c r="BG202" s="41" t="e">
        <f t="shared" si="3705"/>
        <v>#DIV/0!</v>
      </c>
      <c r="BH202" s="41" t="e">
        <f t="shared" si="3706"/>
        <v>#DIV/0!</v>
      </c>
      <c r="BI202" s="42" t="e">
        <f t="shared" si="3707"/>
        <v>#DIV/0!</v>
      </c>
      <c r="BJ202" s="95" t="e">
        <f t="shared" si="3708"/>
        <v>#DIV/0!</v>
      </c>
      <c r="BK202" s="41" t="e">
        <f t="shared" si="3709"/>
        <v>#DIV/0!</v>
      </c>
      <c r="BL202" s="41" t="e">
        <f t="shared" si="3710"/>
        <v>#DIV/0!</v>
      </c>
      <c r="BM202" s="42" t="e">
        <f t="shared" si="3711"/>
        <v>#DIV/0!</v>
      </c>
      <c r="BN202" s="95" t="e">
        <f t="shared" si="3712"/>
        <v>#DIV/0!</v>
      </c>
      <c r="BO202" s="41" t="e">
        <f t="shared" si="3713"/>
        <v>#DIV/0!</v>
      </c>
      <c r="BP202" s="41" t="e">
        <f t="shared" si="3714"/>
        <v>#DIV/0!</v>
      </c>
      <c r="BQ202" s="41" t="e">
        <f t="shared" si="3715"/>
        <v>#DIV/0!</v>
      </c>
      <c r="BR202" s="41" t="e">
        <f t="shared" si="3716"/>
        <v>#DIV/0!</v>
      </c>
      <c r="BS202" s="42" t="e">
        <f t="shared" si="3717"/>
        <v>#DIV/0!</v>
      </c>
      <c r="BT202" s="95" t="e">
        <f t="shared" si="3718"/>
        <v>#DIV/0!</v>
      </c>
      <c r="BU202" s="41" t="e">
        <f t="shared" si="3719"/>
        <v>#DIV/0!</v>
      </c>
      <c r="BV202" s="41" t="e">
        <f t="shared" si="3720"/>
        <v>#DIV/0!</v>
      </c>
      <c r="BW202" s="41" t="e">
        <f t="shared" si="3721"/>
        <v>#DIV/0!</v>
      </c>
      <c r="BX202" s="42" t="e">
        <f t="shared" si="3722"/>
        <v>#DIV/0!</v>
      </c>
      <c r="BY202" s="95" t="e">
        <f t="shared" si="3723"/>
        <v>#DIV/0!</v>
      </c>
      <c r="BZ202" s="41" t="e">
        <f t="shared" si="3724"/>
        <v>#DIV/0!</v>
      </c>
      <c r="CA202" s="41" t="e">
        <f t="shared" si="3725"/>
        <v>#DIV/0!</v>
      </c>
      <c r="CB202" s="41" t="e">
        <f t="shared" si="3726"/>
        <v>#DIV/0!</v>
      </c>
      <c r="CC202" s="41" t="e">
        <f t="shared" si="3727"/>
        <v>#DIV/0!</v>
      </c>
      <c r="CD202" s="41" t="e">
        <f t="shared" si="3728"/>
        <v>#DIV/0!</v>
      </c>
      <c r="CE202" s="41" t="e">
        <f t="shared" si="3729"/>
        <v>#DIV/0!</v>
      </c>
      <c r="CF202" s="41" t="e">
        <f t="shared" si="3730"/>
        <v>#DIV/0!</v>
      </c>
      <c r="CG202" s="41" t="e">
        <f t="shared" si="3731"/>
        <v>#DIV/0!</v>
      </c>
      <c r="CH202" s="41" t="e">
        <f t="shared" si="3732"/>
        <v>#DIV/0!</v>
      </c>
      <c r="CI202" s="41" t="e">
        <f t="shared" si="3733"/>
        <v>#DIV/0!</v>
      </c>
      <c r="CJ202" s="42" t="e">
        <f t="shared" si="3734"/>
        <v>#DIV/0!</v>
      </c>
      <c r="CL202" s="36"/>
      <c r="CN202" s="95"/>
      <c r="CO202" s="41"/>
      <c r="CP202" s="41"/>
      <c r="CQ202" s="41"/>
      <c r="CR202" s="41"/>
      <c r="CS202" s="41"/>
      <c r="CT202" s="41"/>
      <c r="CU202" s="42"/>
      <c r="CV202" s="95"/>
      <c r="CW202" s="41"/>
      <c r="CX202" s="41"/>
      <c r="CY202" s="42"/>
      <c r="CZ202" s="95"/>
      <c r="DA202" s="41"/>
      <c r="DB202" s="41"/>
      <c r="DC202" s="41"/>
      <c r="DD202" s="41"/>
      <c r="DE202" s="42"/>
      <c r="DF202" s="95"/>
      <c r="DG202" s="41"/>
      <c r="DH202" s="41"/>
      <c r="DI202" s="41"/>
      <c r="DJ202" s="42"/>
      <c r="DK202" s="95"/>
      <c r="DL202" s="41"/>
      <c r="DM202" s="41"/>
      <c r="DN202" s="41"/>
      <c r="DO202" s="41"/>
      <c r="DP202" s="41"/>
      <c r="DQ202" s="41"/>
      <c r="DR202" s="41"/>
      <c r="DS202" s="41"/>
      <c r="DT202" s="41"/>
      <c r="DU202" s="41"/>
      <c r="DV202" s="42"/>
      <c r="DX202" s="138" t="e">
        <f t="shared" si="3771"/>
        <v>#DIV/0!</v>
      </c>
      <c r="DY202" s="34" t="e">
        <f t="shared" si="3806"/>
        <v>#DIV/0!</v>
      </c>
      <c r="DZ202" s="34" t="e">
        <f t="shared" si="3807"/>
        <v>#DIV/0!</v>
      </c>
      <c r="EA202" s="34" t="e">
        <f t="shared" si="3808"/>
        <v>#DIV/0!</v>
      </c>
      <c r="EB202" s="34" t="e">
        <f t="shared" si="3809"/>
        <v>#DIV/0!</v>
      </c>
      <c r="EC202" s="34" t="e">
        <f t="shared" si="3810"/>
        <v>#DIV/0!</v>
      </c>
      <c r="ED202" s="34" t="e">
        <f t="shared" si="3811"/>
        <v>#DIV/0!</v>
      </c>
      <c r="EE202" s="139" t="e">
        <f t="shared" si="3812"/>
        <v>#DIV/0!</v>
      </c>
      <c r="EF202" s="138" t="e">
        <f t="shared" si="3813"/>
        <v>#DIV/0!</v>
      </c>
      <c r="EG202" s="34" t="e">
        <f t="shared" si="3814"/>
        <v>#DIV/0!</v>
      </c>
      <c r="EH202" s="34" t="e">
        <f t="shared" si="3815"/>
        <v>#DIV/0!</v>
      </c>
      <c r="EI202" s="139" t="e">
        <f t="shared" si="3816"/>
        <v>#DIV/0!</v>
      </c>
      <c r="EJ202" s="138" t="e">
        <f t="shared" si="3817"/>
        <v>#DIV/0!</v>
      </c>
      <c r="EK202" s="34" t="e">
        <f t="shared" si="3818"/>
        <v>#DIV/0!</v>
      </c>
      <c r="EL202" s="34" t="e">
        <f t="shared" si="3819"/>
        <v>#DIV/0!</v>
      </c>
      <c r="EM202" s="34" t="e">
        <f t="shared" si="3820"/>
        <v>#DIV/0!</v>
      </c>
      <c r="EN202" s="34" t="e">
        <f t="shared" si="3821"/>
        <v>#DIV/0!</v>
      </c>
      <c r="EO202" s="139" t="e">
        <f t="shared" si="3822"/>
        <v>#DIV/0!</v>
      </c>
      <c r="EP202" s="138" t="e">
        <f t="shared" si="3823"/>
        <v>#DIV/0!</v>
      </c>
      <c r="EQ202" s="34" t="e">
        <f t="shared" si="3824"/>
        <v>#DIV/0!</v>
      </c>
      <c r="ER202" s="34" t="e">
        <f t="shared" si="3825"/>
        <v>#DIV/0!</v>
      </c>
      <c r="ES202" s="34" t="e">
        <f t="shared" si="3826"/>
        <v>#DIV/0!</v>
      </c>
      <c r="ET202" s="139" t="e">
        <f t="shared" si="3827"/>
        <v>#DIV/0!</v>
      </c>
      <c r="EU202" s="138" t="e">
        <f t="shared" si="3828"/>
        <v>#DIV/0!</v>
      </c>
      <c r="EV202" s="34" t="e">
        <f t="shared" si="3829"/>
        <v>#DIV/0!</v>
      </c>
      <c r="EW202" s="34" t="e">
        <f t="shared" si="3830"/>
        <v>#DIV/0!</v>
      </c>
      <c r="EX202" s="34" t="e">
        <f t="shared" si="3831"/>
        <v>#DIV/0!</v>
      </c>
      <c r="EY202" s="34" t="e">
        <f t="shared" si="3832"/>
        <v>#DIV/0!</v>
      </c>
      <c r="EZ202" s="34" t="e">
        <f t="shared" si="3833"/>
        <v>#DIV/0!</v>
      </c>
      <c r="FA202" s="34" t="e">
        <f t="shared" si="3834"/>
        <v>#DIV/0!</v>
      </c>
      <c r="FB202" s="34" t="e">
        <f t="shared" si="3835"/>
        <v>#DIV/0!</v>
      </c>
      <c r="FC202" s="34" t="e">
        <f t="shared" si="3836"/>
        <v>#DIV/0!</v>
      </c>
      <c r="FD202" s="34" t="e">
        <f t="shared" si="3837"/>
        <v>#DIV/0!</v>
      </c>
      <c r="FE202" s="34" t="e">
        <f t="shared" si="3838"/>
        <v>#DIV/0!</v>
      </c>
      <c r="FF202" s="139" t="e">
        <f t="shared" si="3839"/>
        <v>#DIV/0!</v>
      </c>
    </row>
    <row r="203" spans="1:163" ht="16.5" thickBot="1" x14ac:dyDescent="0.3">
      <c r="B203" s="177">
        <v>43156</v>
      </c>
      <c r="C203" s="287"/>
      <c r="D203" s="100"/>
      <c r="E203" s="131"/>
      <c r="F203" s="25"/>
      <c r="G203" s="25"/>
      <c r="H203" s="171"/>
      <c r="I203" s="172"/>
      <c r="J203" s="173"/>
      <c r="K203" s="173"/>
      <c r="L203" s="174">
        <v>10.8</v>
      </c>
      <c r="M203" s="174" t="e">
        <f t="shared" si="3698"/>
        <v>#DIV/0!</v>
      </c>
      <c r="N203" s="175" t="e">
        <f t="shared" si="3699"/>
        <v>#DIV/0!</v>
      </c>
      <c r="O203" s="25"/>
      <c r="P203" s="96"/>
      <c r="Q203" s="76"/>
      <c r="R203" s="76"/>
      <c r="S203" s="76"/>
      <c r="T203" s="76"/>
      <c r="U203" s="76"/>
      <c r="V203" s="76"/>
      <c r="W203" s="77"/>
      <c r="X203" s="96"/>
      <c r="Y203" s="76"/>
      <c r="Z203" s="76"/>
      <c r="AA203" s="77"/>
      <c r="AB203" s="96"/>
      <c r="AC203" s="76"/>
      <c r="AD203" s="76"/>
      <c r="AE203" s="76"/>
      <c r="AF203" s="76"/>
      <c r="AG203" s="77"/>
      <c r="AH203" s="96"/>
      <c r="AI203" s="76"/>
      <c r="AJ203" s="76"/>
      <c r="AK203" s="76"/>
      <c r="AL203" s="77"/>
      <c r="AM203" s="96"/>
      <c r="AN203" s="76"/>
      <c r="AO203" s="76"/>
      <c r="AP203" s="76"/>
      <c r="AQ203" s="76"/>
      <c r="AR203" s="76"/>
      <c r="AS203" s="76"/>
      <c r="AT203" s="76"/>
      <c r="AU203" s="76"/>
      <c r="AV203" s="76"/>
      <c r="AW203" s="76"/>
      <c r="AX203" s="76"/>
      <c r="AY203" s="76"/>
      <c r="AZ203" s="77"/>
      <c r="BB203" s="96" t="e">
        <f t="shared" si="3700"/>
        <v>#DIV/0!</v>
      </c>
      <c r="BC203" s="76" t="e">
        <f t="shared" si="3701"/>
        <v>#DIV/0!</v>
      </c>
      <c r="BD203" s="76" t="e">
        <f t="shared" si="3702"/>
        <v>#DIV/0!</v>
      </c>
      <c r="BE203" s="76" t="e">
        <f t="shared" si="3703"/>
        <v>#DIV/0!</v>
      </c>
      <c r="BF203" s="76" t="e">
        <f t="shared" si="3704"/>
        <v>#DIV/0!</v>
      </c>
      <c r="BG203" s="76" t="e">
        <f t="shared" si="3705"/>
        <v>#DIV/0!</v>
      </c>
      <c r="BH203" s="76" t="e">
        <f t="shared" si="3706"/>
        <v>#DIV/0!</v>
      </c>
      <c r="BI203" s="77" t="e">
        <f t="shared" si="3707"/>
        <v>#DIV/0!</v>
      </c>
      <c r="BJ203" s="96" t="e">
        <f t="shared" si="3708"/>
        <v>#DIV/0!</v>
      </c>
      <c r="BK203" s="76" t="e">
        <f t="shared" si="3709"/>
        <v>#DIV/0!</v>
      </c>
      <c r="BL203" s="76" t="e">
        <f t="shared" si="3710"/>
        <v>#DIV/0!</v>
      </c>
      <c r="BM203" s="77" t="e">
        <f t="shared" si="3711"/>
        <v>#DIV/0!</v>
      </c>
      <c r="BN203" s="96" t="e">
        <f t="shared" si="3712"/>
        <v>#DIV/0!</v>
      </c>
      <c r="BO203" s="76" t="e">
        <f t="shared" si="3713"/>
        <v>#DIV/0!</v>
      </c>
      <c r="BP203" s="76" t="e">
        <f t="shared" si="3714"/>
        <v>#DIV/0!</v>
      </c>
      <c r="BQ203" s="76" t="e">
        <f t="shared" si="3715"/>
        <v>#DIV/0!</v>
      </c>
      <c r="BR203" s="76" t="e">
        <f t="shared" si="3716"/>
        <v>#DIV/0!</v>
      </c>
      <c r="BS203" s="77" t="e">
        <f t="shared" si="3717"/>
        <v>#DIV/0!</v>
      </c>
      <c r="BT203" s="96" t="e">
        <f t="shared" si="3718"/>
        <v>#DIV/0!</v>
      </c>
      <c r="BU203" s="76" t="e">
        <f t="shared" si="3719"/>
        <v>#DIV/0!</v>
      </c>
      <c r="BV203" s="76" t="e">
        <f t="shared" si="3720"/>
        <v>#DIV/0!</v>
      </c>
      <c r="BW203" s="76" t="e">
        <f t="shared" si="3721"/>
        <v>#DIV/0!</v>
      </c>
      <c r="BX203" s="77" t="e">
        <f t="shared" si="3722"/>
        <v>#DIV/0!</v>
      </c>
      <c r="BY203" s="96" t="e">
        <f t="shared" si="3723"/>
        <v>#DIV/0!</v>
      </c>
      <c r="BZ203" s="76" t="e">
        <f t="shared" si="3724"/>
        <v>#DIV/0!</v>
      </c>
      <c r="CA203" s="76" t="e">
        <f t="shared" si="3725"/>
        <v>#DIV/0!</v>
      </c>
      <c r="CB203" s="76" t="e">
        <f t="shared" si="3726"/>
        <v>#DIV/0!</v>
      </c>
      <c r="CC203" s="76" t="e">
        <f t="shared" si="3727"/>
        <v>#DIV/0!</v>
      </c>
      <c r="CD203" s="76" t="e">
        <f t="shared" si="3728"/>
        <v>#DIV/0!</v>
      </c>
      <c r="CE203" s="76" t="e">
        <f t="shared" si="3729"/>
        <v>#DIV/0!</v>
      </c>
      <c r="CF203" s="76" t="e">
        <f t="shared" si="3730"/>
        <v>#DIV/0!</v>
      </c>
      <c r="CG203" s="76" t="e">
        <f t="shared" si="3731"/>
        <v>#DIV/0!</v>
      </c>
      <c r="CH203" s="76" t="e">
        <f t="shared" si="3732"/>
        <v>#DIV/0!</v>
      </c>
      <c r="CI203" s="76" t="e">
        <f t="shared" si="3733"/>
        <v>#DIV/0!</v>
      </c>
      <c r="CJ203" s="77" t="e">
        <f t="shared" si="3734"/>
        <v>#DIV/0!</v>
      </c>
      <c r="CN203" s="96"/>
      <c r="CO203" s="76"/>
      <c r="CP203" s="76"/>
      <c r="CQ203" s="76"/>
      <c r="CR203" s="76"/>
      <c r="CS203" s="76"/>
      <c r="CT203" s="76"/>
      <c r="CU203" s="77"/>
      <c r="CV203" s="96"/>
      <c r="CW203" s="76"/>
      <c r="CX203" s="76"/>
      <c r="CY203" s="77"/>
      <c r="CZ203" s="96"/>
      <c r="DA203" s="76"/>
      <c r="DB203" s="76"/>
      <c r="DC203" s="76"/>
      <c r="DD203" s="76"/>
      <c r="DE203" s="77"/>
      <c r="DF203" s="96"/>
      <c r="DG203" s="76"/>
      <c r="DH203" s="76"/>
      <c r="DI203" s="76"/>
      <c r="DJ203" s="77"/>
      <c r="DK203" s="96"/>
      <c r="DL203" s="76"/>
      <c r="DM203" s="76"/>
      <c r="DN203" s="76"/>
      <c r="DO203" s="76"/>
      <c r="DP203" s="76"/>
      <c r="DQ203" s="76"/>
      <c r="DR203" s="76"/>
      <c r="DS203" s="76"/>
      <c r="DT203" s="76"/>
      <c r="DU203" s="76"/>
      <c r="DV203" s="77"/>
      <c r="DX203" s="140" t="e">
        <f t="shared" si="3771"/>
        <v>#DIV/0!</v>
      </c>
      <c r="DY203" s="141" t="e">
        <f t="shared" si="3806"/>
        <v>#DIV/0!</v>
      </c>
      <c r="DZ203" s="141" t="e">
        <f t="shared" si="3807"/>
        <v>#DIV/0!</v>
      </c>
      <c r="EA203" s="141" t="e">
        <f t="shared" si="3808"/>
        <v>#DIV/0!</v>
      </c>
      <c r="EB203" s="141" t="e">
        <f t="shared" si="3809"/>
        <v>#DIV/0!</v>
      </c>
      <c r="EC203" s="141" t="e">
        <f t="shared" si="3810"/>
        <v>#DIV/0!</v>
      </c>
      <c r="ED203" s="141" t="e">
        <f t="shared" si="3811"/>
        <v>#DIV/0!</v>
      </c>
      <c r="EE203" s="142" t="e">
        <f t="shared" si="3812"/>
        <v>#DIV/0!</v>
      </c>
      <c r="EF203" s="140" t="e">
        <f t="shared" si="3813"/>
        <v>#DIV/0!</v>
      </c>
      <c r="EG203" s="141" t="e">
        <f t="shared" si="3814"/>
        <v>#DIV/0!</v>
      </c>
      <c r="EH203" s="141" t="e">
        <f t="shared" si="3815"/>
        <v>#DIV/0!</v>
      </c>
      <c r="EI203" s="142" t="e">
        <f t="shared" si="3816"/>
        <v>#DIV/0!</v>
      </c>
      <c r="EJ203" s="140" t="e">
        <f t="shared" si="3817"/>
        <v>#DIV/0!</v>
      </c>
      <c r="EK203" s="141" t="e">
        <f t="shared" si="3818"/>
        <v>#DIV/0!</v>
      </c>
      <c r="EL203" s="141" t="e">
        <f t="shared" si="3819"/>
        <v>#DIV/0!</v>
      </c>
      <c r="EM203" s="141" t="e">
        <f t="shared" si="3820"/>
        <v>#DIV/0!</v>
      </c>
      <c r="EN203" s="141" t="e">
        <f t="shared" si="3821"/>
        <v>#DIV/0!</v>
      </c>
      <c r="EO203" s="142" t="e">
        <f t="shared" si="3822"/>
        <v>#DIV/0!</v>
      </c>
      <c r="EP203" s="140" t="e">
        <f t="shared" si="3823"/>
        <v>#DIV/0!</v>
      </c>
      <c r="EQ203" s="141" t="e">
        <f t="shared" si="3824"/>
        <v>#DIV/0!</v>
      </c>
      <c r="ER203" s="141" t="e">
        <f t="shared" si="3825"/>
        <v>#DIV/0!</v>
      </c>
      <c r="ES203" s="141" t="e">
        <f t="shared" si="3826"/>
        <v>#DIV/0!</v>
      </c>
      <c r="ET203" s="142" t="e">
        <f t="shared" si="3827"/>
        <v>#DIV/0!</v>
      </c>
      <c r="EU203" s="140" t="e">
        <f t="shared" si="3828"/>
        <v>#DIV/0!</v>
      </c>
      <c r="EV203" s="141" t="e">
        <f t="shared" si="3829"/>
        <v>#DIV/0!</v>
      </c>
      <c r="EW203" s="141" t="e">
        <f t="shared" si="3830"/>
        <v>#DIV/0!</v>
      </c>
      <c r="EX203" s="141" t="e">
        <f t="shared" si="3831"/>
        <v>#DIV/0!</v>
      </c>
      <c r="EY203" s="141" t="e">
        <f t="shared" si="3832"/>
        <v>#DIV/0!</v>
      </c>
      <c r="EZ203" s="141" t="e">
        <f t="shared" si="3833"/>
        <v>#DIV/0!</v>
      </c>
      <c r="FA203" s="141" t="e">
        <f t="shared" si="3834"/>
        <v>#DIV/0!</v>
      </c>
      <c r="FB203" s="141" t="e">
        <f t="shared" si="3835"/>
        <v>#DIV/0!</v>
      </c>
      <c r="FC203" s="141" t="e">
        <f t="shared" si="3836"/>
        <v>#DIV/0!</v>
      </c>
      <c r="FD203" s="141" t="e">
        <f t="shared" si="3837"/>
        <v>#DIV/0!</v>
      </c>
      <c r="FE203" s="141" t="e">
        <f t="shared" si="3838"/>
        <v>#DIV/0!</v>
      </c>
      <c r="FF203" s="142" t="e">
        <f t="shared" si="3839"/>
        <v>#DIV/0!</v>
      </c>
    </row>
    <row r="204" spans="1:163" ht="17.25" thickTop="1" thickBot="1" x14ac:dyDescent="0.3">
      <c r="B204" s="178"/>
      <c r="C204" s="270"/>
      <c r="D204" s="101">
        <f>SUM(D196:D203)</f>
        <v>0</v>
      </c>
      <c r="E204" s="134">
        <f>SUM(E196:E203)</f>
        <v>0</v>
      </c>
      <c r="F204" s="146"/>
      <c r="G204" s="146"/>
      <c r="H204" s="43"/>
      <c r="I204" s="39"/>
      <c r="J204" s="39"/>
      <c r="K204" s="39"/>
      <c r="L204" s="184"/>
      <c r="M204" s="185"/>
      <c r="N204" s="170" t="e">
        <f>AVERAGE(N196:N203)*28</f>
        <v>#DIV/0!</v>
      </c>
      <c r="O204" s="146"/>
      <c r="P204" s="68">
        <f t="shared" ref="P204:AZ204" si="3840">SUM(P196:P203)</f>
        <v>0</v>
      </c>
      <c r="Q204" s="65">
        <f t="shared" si="3840"/>
        <v>0</v>
      </c>
      <c r="R204" s="65">
        <f t="shared" si="3840"/>
        <v>0</v>
      </c>
      <c r="S204" s="65">
        <f t="shared" si="3840"/>
        <v>0</v>
      </c>
      <c r="T204" s="65">
        <f t="shared" si="3840"/>
        <v>0</v>
      </c>
      <c r="U204" s="65">
        <f t="shared" si="3840"/>
        <v>0</v>
      </c>
      <c r="V204" s="65">
        <f t="shared" si="3840"/>
        <v>0</v>
      </c>
      <c r="W204" s="66">
        <f t="shared" si="3840"/>
        <v>0</v>
      </c>
      <c r="X204" s="68">
        <f t="shared" si="3840"/>
        <v>0</v>
      </c>
      <c r="Y204" s="65">
        <f t="shared" si="3840"/>
        <v>0</v>
      </c>
      <c r="Z204" s="65">
        <f t="shared" si="3840"/>
        <v>0</v>
      </c>
      <c r="AA204" s="66">
        <f t="shared" si="3840"/>
        <v>0</v>
      </c>
      <c r="AB204" s="68">
        <f t="shared" si="3840"/>
        <v>0</v>
      </c>
      <c r="AC204" s="65">
        <f t="shared" si="3840"/>
        <v>0</v>
      </c>
      <c r="AD204" s="65">
        <f t="shared" si="3840"/>
        <v>0</v>
      </c>
      <c r="AE204" s="65">
        <f t="shared" si="3840"/>
        <v>0</v>
      </c>
      <c r="AF204" s="65">
        <f t="shared" si="3840"/>
        <v>0</v>
      </c>
      <c r="AG204" s="66">
        <f t="shared" si="3840"/>
        <v>0</v>
      </c>
      <c r="AH204" s="68">
        <f t="shared" si="3840"/>
        <v>0</v>
      </c>
      <c r="AI204" s="65">
        <f t="shared" si="3840"/>
        <v>0</v>
      </c>
      <c r="AJ204" s="65">
        <f t="shared" si="3840"/>
        <v>0</v>
      </c>
      <c r="AK204" s="65">
        <f t="shared" si="3840"/>
        <v>0</v>
      </c>
      <c r="AL204" s="66">
        <f t="shared" si="3840"/>
        <v>0</v>
      </c>
      <c r="AM204" s="68">
        <f t="shared" si="3840"/>
        <v>0</v>
      </c>
      <c r="AN204" s="65">
        <f t="shared" si="3840"/>
        <v>0</v>
      </c>
      <c r="AO204" s="65">
        <f t="shared" si="3840"/>
        <v>0</v>
      </c>
      <c r="AP204" s="65">
        <f t="shared" si="3840"/>
        <v>0</v>
      </c>
      <c r="AQ204" s="65">
        <f t="shared" si="3840"/>
        <v>0</v>
      </c>
      <c r="AR204" s="65">
        <f t="shared" si="3840"/>
        <v>0</v>
      </c>
      <c r="AS204" s="65">
        <f t="shared" si="3840"/>
        <v>0</v>
      </c>
      <c r="AT204" s="65">
        <f t="shared" si="3840"/>
        <v>0</v>
      </c>
      <c r="AU204" s="65">
        <f t="shared" si="3840"/>
        <v>0</v>
      </c>
      <c r="AV204" s="65">
        <f t="shared" si="3840"/>
        <v>0</v>
      </c>
      <c r="AW204" s="65">
        <f t="shared" si="3840"/>
        <v>0</v>
      </c>
      <c r="AX204" s="65">
        <f t="shared" si="3840"/>
        <v>0</v>
      </c>
      <c r="AY204" s="65">
        <f t="shared" si="3840"/>
        <v>0</v>
      </c>
      <c r="AZ204" s="66">
        <f t="shared" si="3840"/>
        <v>0</v>
      </c>
      <c r="BB204" s="68" t="e">
        <f t="shared" ref="BB204:CJ204" si="3841">SUM(BB196:BB203)</f>
        <v>#DIV/0!</v>
      </c>
      <c r="BC204" s="65" t="e">
        <f t="shared" si="3841"/>
        <v>#DIV/0!</v>
      </c>
      <c r="BD204" s="65" t="e">
        <f t="shared" si="3841"/>
        <v>#DIV/0!</v>
      </c>
      <c r="BE204" s="65" t="e">
        <f t="shared" si="3841"/>
        <v>#DIV/0!</v>
      </c>
      <c r="BF204" s="65" t="e">
        <f t="shared" si="3841"/>
        <v>#DIV/0!</v>
      </c>
      <c r="BG204" s="65" t="e">
        <f t="shared" si="3841"/>
        <v>#DIV/0!</v>
      </c>
      <c r="BH204" s="65" t="e">
        <f t="shared" si="3841"/>
        <v>#DIV/0!</v>
      </c>
      <c r="BI204" s="66" t="e">
        <f t="shared" si="3841"/>
        <v>#DIV/0!</v>
      </c>
      <c r="BJ204" s="68" t="e">
        <f t="shared" si="3841"/>
        <v>#DIV/0!</v>
      </c>
      <c r="BK204" s="65" t="e">
        <f t="shared" si="3841"/>
        <v>#DIV/0!</v>
      </c>
      <c r="BL204" s="65" t="e">
        <f t="shared" si="3841"/>
        <v>#DIV/0!</v>
      </c>
      <c r="BM204" s="66" t="e">
        <f t="shared" si="3841"/>
        <v>#DIV/0!</v>
      </c>
      <c r="BN204" s="68" t="e">
        <f t="shared" si="3841"/>
        <v>#DIV/0!</v>
      </c>
      <c r="BO204" s="65" t="e">
        <f t="shared" si="3841"/>
        <v>#DIV/0!</v>
      </c>
      <c r="BP204" s="65" t="e">
        <f t="shared" si="3841"/>
        <v>#DIV/0!</v>
      </c>
      <c r="BQ204" s="65" t="e">
        <f t="shared" si="3841"/>
        <v>#DIV/0!</v>
      </c>
      <c r="BR204" s="65" t="e">
        <f t="shared" si="3841"/>
        <v>#DIV/0!</v>
      </c>
      <c r="BS204" s="66" t="e">
        <f t="shared" si="3841"/>
        <v>#DIV/0!</v>
      </c>
      <c r="BT204" s="68" t="e">
        <f t="shared" si="3841"/>
        <v>#DIV/0!</v>
      </c>
      <c r="BU204" s="65" t="e">
        <f t="shared" si="3841"/>
        <v>#DIV/0!</v>
      </c>
      <c r="BV204" s="65" t="e">
        <f t="shared" si="3841"/>
        <v>#DIV/0!</v>
      </c>
      <c r="BW204" s="65" t="e">
        <f t="shared" si="3841"/>
        <v>#DIV/0!</v>
      </c>
      <c r="BX204" s="66" t="e">
        <f t="shared" si="3841"/>
        <v>#DIV/0!</v>
      </c>
      <c r="BY204" s="68" t="e">
        <f t="shared" si="3841"/>
        <v>#DIV/0!</v>
      </c>
      <c r="BZ204" s="65" t="e">
        <f t="shared" si="3841"/>
        <v>#DIV/0!</v>
      </c>
      <c r="CA204" s="65" t="e">
        <f t="shared" si="3841"/>
        <v>#DIV/0!</v>
      </c>
      <c r="CB204" s="65" t="e">
        <f t="shared" si="3841"/>
        <v>#DIV/0!</v>
      </c>
      <c r="CC204" s="65" t="e">
        <f t="shared" si="3841"/>
        <v>#DIV/0!</v>
      </c>
      <c r="CD204" s="65" t="e">
        <f t="shared" si="3841"/>
        <v>#DIV/0!</v>
      </c>
      <c r="CE204" s="65" t="e">
        <f t="shared" si="3841"/>
        <v>#DIV/0!</v>
      </c>
      <c r="CF204" s="65" t="e">
        <f t="shared" si="3841"/>
        <v>#DIV/0!</v>
      </c>
      <c r="CG204" s="65" t="e">
        <f t="shared" si="3841"/>
        <v>#DIV/0!</v>
      </c>
      <c r="CH204" s="65" t="e">
        <f t="shared" si="3841"/>
        <v>#DIV/0!</v>
      </c>
      <c r="CI204" s="65" t="e">
        <f t="shared" si="3841"/>
        <v>#DIV/0!</v>
      </c>
      <c r="CJ204" s="66" t="e">
        <f t="shared" si="3841"/>
        <v>#DIV/0!</v>
      </c>
      <c r="CN204" s="68" t="e">
        <f t="shared" ref="CN204:DV204" si="3842">SUM(CN196:CN203)</f>
        <v>#DIV/0!</v>
      </c>
      <c r="CO204" s="65" t="e">
        <f t="shared" si="3842"/>
        <v>#DIV/0!</v>
      </c>
      <c r="CP204" s="65" t="e">
        <f t="shared" si="3842"/>
        <v>#DIV/0!</v>
      </c>
      <c r="CQ204" s="65" t="e">
        <f t="shared" si="3842"/>
        <v>#DIV/0!</v>
      </c>
      <c r="CR204" s="65" t="e">
        <f t="shared" si="3842"/>
        <v>#DIV/0!</v>
      </c>
      <c r="CS204" s="65" t="e">
        <f t="shared" si="3842"/>
        <v>#DIV/0!</v>
      </c>
      <c r="CT204" s="65" t="e">
        <f t="shared" si="3842"/>
        <v>#DIV/0!</v>
      </c>
      <c r="CU204" s="66" t="e">
        <f t="shared" si="3842"/>
        <v>#DIV/0!</v>
      </c>
      <c r="CV204" s="68" t="e">
        <f t="shared" si="3842"/>
        <v>#DIV/0!</v>
      </c>
      <c r="CW204" s="65" t="e">
        <f t="shared" si="3842"/>
        <v>#DIV/0!</v>
      </c>
      <c r="CX204" s="65" t="e">
        <f t="shared" si="3842"/>
        <v>#DIV/0!</v>
      </c>
      <c r="CY204" s="66" t="e">
        <f t="shared" si="3842"/>
        <v>#DIV/0!</v>
      </c>
      <c r="CZ204" s="68" t="e">
        <f t="shared" si="3842"/>
        <v>#DIV/0!</v>
      </c>
      <c r="DA204" s="65" t="e">
        <f t="shared" si="3842"/>
        <v>#DIV/0!</v>
      </c>
      <c r="DB204" s="65" t="e">
        <f t="shared" si="3842"/>
        <v>#DIV/0!</v>
      </c>
      <c r="DC204" s="65" t="e">
        <f t="shared" si="3842"/>
        <v>#DIV/0!</v>
      </c>
      <c r="DD204" s="65" t="e">
        <f t="shared" si="3842"/>
        <v>#DIV/0!</v>
      </c>
      <c r="DE204" s="66" t="e">
        <f t="shared" si="3842"/>
        <v>#DIV/0!</v>
      </c>
      <c r="DF204" s="68" t="e">
        <f t="shared" si="3842"/>
        <v>#DIV/0!</v>
      </c>
      <c r="DG204" s="65" t="e">
        <f t="shared" si="3842"/>
        <v>#DIV/0!</v>
      </c>
      <c r="DH204" s="65" t="e">
        <f t="shared" si="3842"/>
        <v>#DIV/0!</v>
      </c>
      <c r="DI204" s="65" t="e">
        <f t="shared" si="3842"/>
        <v>#DIV/0!</v>
      </c>
      <c r="DJ204" s="66" t="e">
        <f t="shared" si="3842"/>
        <v>#DIV/0!</v>
      </c>
      <c r="DK204" s="68" t="e">
        <f t="shared" si="3842"/>
        <v>#DIV/0!</v>
      </c>
      <c r="DL204" s="65" t="e">
        <f t="shared" si="3842"/>
        <v>#DIV/0!</v>
      </c>
      <c r="DM204" s="65" t="e">
        <f t="shared" si="3842"/>
        <v>#DIV/0!</v>
      </c>
      <c r="DN204" s="65" t="e">
        <f t="shared" si="3842"/>
        <v>#DIV/0!</v>
      </c>
      <c r="DO204" s="65" t="e">
        <f t="shared" si="3842"/>
        <v>#DIV/0!</v>
      </c>
      <c r="DP204" s="65" t="e">
        <f t="shared" si="3842"/>
        <v>#DIV/0!</v>
      </c>
      <c r="DQ204" s="65" t="e">
        <f t="shared" si="3842"/>
        <v>#DIV/0!</v>
      </c>
      <c r="DR204" s="65" t="e">
        <f t="shared" si="3842"/>
        <v>#DIV/0!</v>
      </c>
      <c r="DS204" s="65" t="e">
        <f t="shared" si="3842"/>
        <v>#DIV/0!</v>
      </c>
      <c r="DT204" s="65" t="e">
        <f t="shared" si="3842"/>
        <v>#DIV/0!</v>
      </c>
      <c r="DU204" s="65" t="e">
        <f t="shared" si="3842"/>
        <v>#DIV/0!</v>
      </c>
      <c r="DV204" s="66" t="e">
        <f t="shared" si="3842"/>
        <v>#DIV/0!</v>
      </c>
      <c r="DX204" s="143" t="e">
        <f t="shared" ref="DX204:FF204" si="3843">AVERAGE(DX196:DX203)</f>
        <v>#DIV/0!</v>
      </c>
      <c r="DY204" s="144" t="e">
        <f t="shared" si="3843"/>
        <v>#DIV/0!</v>
      </c>
      <c r="DZ204" s="144" t="e">
        <f t="shared" si="3843"/>
        <v>#DIV/0!</v>
      </c>
      <c r="EA204" s="144" t="e">
        <f t="shared" si="3843"/>
        <v>#DIV/0!</v>
      </c>
      <c r="EB204" s="144" t="e">
        <f t="shared" si="3843"/>
        <v>#DIV/0!</v>
      </c>
      <c r="EC204" s="144" t="e">
        <f t="shared" si="3843"/>
        <v>#DIV/0!</v>
      </c>
      <c r="ED204" s="144" t="e">
        <f t="shared" si="3843"/>
        <v>#DIV/0!</v>
      </c>
      <c r="EE204" s="145" t="e">
        <f t="shared" si="3843"/>
        <v>#DIV/0!</v>
      </c>
      <c r="EF204" s="143" t="e">
        <f t="shared" si="3843"/>
        <v>#DIV/0!</v>
      </c>
      <c r="EG204" s="144" t="e">
        <f t="shared" si="3843"/>
        <v>#DIV/0!</v>
      </c>
      <c r="EH204" s="144" t="e">
        <f t="shared" si="3843"/>
        <v>#DIV/0!</v>
      </c>
      <c r="EI204" s="145" t="e">
        <f t="shared" si="3843"/>
        <v>#DIV/0!</v>
      </c>
      <c r="EJ204" s="143" t="e">
        <f t="shared" si="3843"/>
        <v>#DIV/0!</v>
      </c>
      <c r="EK204" s="144" t="e">
        <f t="shared" si="3843"/>
        <v>#DIV/0!</v>
      </c>
      <c r="EL204" s="144" t="e">
        <f t="shared" si="3843"/>
        <v>#DIV/0!</v>
      </c>
      <c r="EM204" s="144" t="e">
        <f t="shared" si="3843"/>
        <v>#DIV/0!</v>
      </c>
      <c r="EN204" s="144" t="e">
        <f t="shared" si="3843"/>
        <v>#DIV/0!</v>
      </c>
      <c r="EO204" s="144" t="e">
        <f t="shared" si="3843"/>
        <v>#DIV/0!</v>
      </c>
      <c r="EP204" s="143" t="e">
        <f t="shared" si="3843"/>
        <v>#DIV/0!</v>
      </c>
      <c r="EQ204" s="144" t="e">
        <f t="shared" si="3843"/>
        <v>#DIV/0!</v>
      </c>
      <c r="ER204" s="144" t="e">
        <f t="shared" si="3843"/>
        <v>#DIV/0!</v>
      </c>
      <c r="ES204" s="144" t="e">
        <f t="shared" si="3843"/>
        <v>#DIV/0!</v>
      </c>
      <c r="ET204" s="145" t="e">
        <f t="shared" si="3843"/>
        <v>#DIV/0!</v>
      </c>
      <c r="EU204" s="143" t="e">
        <f t="shared" si="3843"/>
        <v>#DIV/0!</v>
      </c>
      <c r="EV204" s="144" t="e">
        <f t="shared" si="3843"/>
        <v>#DIV/0!</v>
      </c>
      <c r="EW204" s="144" t="e">
        <f t="shared" si="3843"/>
        <v>#DIV/0!</v>
      </c>
      <c r="EX204" s="144" t="e">
        <f t="shared" si="3843"/>
        <v>#DIV/0!</v>
      </c>
      <c r="EY204" s="144" t="e">
        <f t="shared" si="3843"/>
        <v>#DIV/0!</v>
      </c>
      <c r="EZ204" s="144" t="e">
        <f t="shared" si="3843"/>
        <v>#DIV/0!</v>
      </c>
      <c r="FA204" s="144" t="e">
        <f t="shared" si="3843"/>
        <v>#DIV/0!</v>
      </c>
      <c r="FB204" s="144" t="e">
        <f t="shared" si="3843"/>
        <v>#DIV/0!</v>
      </c>
      <c r="FC204" s="144" t="e">
        <f t="shared" si="3843"/>
        <v>#DIV/0!</v>
      </c>
      <c r="FD204" s="144" t="e">
        <f t="shared" si="3843"/>
        <v>#DIV/0!</v>
      </c>
      <c r="FE204" s="144" t="e">
        <f t="shared" si="3843"/>
        <v>#DIV/0!</v>
      </c>
      <c r="FF204" s="145" t="e">
        <f t="shared" si="3843"/>
        <v>#DIV/0!</v>
      </c>
    </row>
    <row r="205" spans="1:163" ht="16.5" thickBot="1" x14ac:dyDescent="0.3">
      <c r="L205" s="253" t="s">
        <v>147</v>
      </c>
    </row>
    <row r="206" spans="1:163" x14ac:dyDescent="0.25">
      <c r="A206" s="296"/>
      <c r="B206" s="176">
        <v>43160</v>
      </c>
      <c r="C206" s="269"/>
      <c r="D206" s="103"/>
      <c r="E206" s="156"/>
      <c r="F206" s="25"/>
      <c r="G206" s="25"/>
      <c r="H206" s="179"/>
      <c r="I206" s="180"/>
      <c r="J206" s="181"/>
      <c r="K206" s="181"/>
      <c r="L206" s="182">
        <v>11.1</v>
      </c>
      <c r="M206" s="182" t="e">
        <f t="shared" ref="M206:M214" si="3844">H206/I206*K206*L206*1.5</f>
        <v>#DIV/0!</v>
      </c>
      <c r="N206" s="183" t="e">
        <f t="shared" ref="N206:N214" si="3845">H206/I206*J206*L206*N$4</f>
        <v>#DIV/0!</v>
      </c>
      <c r="O206" s="25"/>
      <c r="P206" s="157"/>
      <c r="Q206" s="158"/>
      <c r="R206" s="158"/>
      <c r="S206" s="158"/>
      <c r="T206" s="158"/>
      <c r="U206" s="158"/>
      <c r="V206" s="158"/>
      <c r="W206" s="159"/>
      <c r="X206" s="157"/>
      <c r="Y206" s="158"/>
      <c r="Z206" s="158"/>
      <c r="AA206" s="159"/>
      <c r="AB206" s="157"/>
      <c r="AC206" s="158"/>
      <c r="AD206" s="158"/>
      <c r="AE206" s="158"/>
      <c r="AF206" s="158"/>
      <c r="AG206" s="159"/>
      <c r="AH206" s="157"/>
      <c r="AI206" s="158"/>
      <c r="AJ206" s="158"/>
      <c r="AK206" s="158"/>
      <c r="AL206" s="159"/>
      <c r="AM206" s="157"/>
      <c r="AN206" s="158"/>
      <c r="AO206" s="158"/>
      <c r="AP206" s="158"/>
      <c r="AQ206" s="158"/>
      <c r="AR206" s="158"/>
      <c r="AS206" s="158"/>
      <c r="AT206" s="158"/>
      <c r="AU206" s="158"/>
      <c r="AV206" s="158"/>
      <c r="AW206" s="158"/>
      <c r="AX206" s="158"/>
      <c r="AY206" s="158"/>
      <c r="AZ206" s="159"/>
      <c r="BB206" s="290">
        <v>0</v>
      </c>
      <c r="BC206" s="291">
        <v>0</v>
      </c>
      <c r="BD206" s="291">
        <v>0</v>
      </c>
      <c r="BE206" s="291">
        <v>0</v>
      </c>
      <c r="BF206" s="291">
        <v>0</v>
      </c>
      <c r="BG206" s="291">
        <v>0</v>
      </c>
      <c r="BH206" s="291">
        <v>0</v>
      </c>
      <c r="BI206" s="292">
        <v>0</v>
      </c>
      <c r="BJ206" s="290">
        <v>0</v>
      </c>
      <c r="BK206" s="291">
        <v>0</v>
      </c>
      <c r="BL206" s="291">
        <v>0</v>
      </c>
      <c r="BM206" s="292">
        <v>0</v>
      </c>
      <c r="BN206" s="290">
        <v>0</v>
      </c>
      <c r="BO206" s="291">
        <v>0</v>
      </c>
      <c r="BP206" s="291">
        <v>0</v>
      </c>
      <c r="BQ206" s="291">
        <v>0</v>
      </c>
      <c r="BR206" s="291">
        <v>0</v>
      </c>
      <c r="BS206" s="292">
        <v>0</v>
      </c>
      <c r="BT206" s="290">
        <v>0</v>
      </c>
      <c r="BU206" s="291">
        <v>0</v>
      </c>
      <c r="BV206" s="291">
        <v>0</v>
      </c>
      <c r="BW206" s="291">
        <v>0</v>
      </c>
      <c r="BX206" s="292">
        <v>0</v>
      </c>
      <c r="BY206" s="290">
        <v>0</v>
      </c>
      <c r="BZ206" s="291">
        <v>0</v>
      </c>
      <c r="CA206" s="291">
        <v>0</v>
      </c>
      <c r="CB206" s="291">
        <v>0</v>
      </c>
      <c r="CC206" s="291">
        <v>0</v>
      </c>
      <c r="CD206" s="291">
        <v>0</v>
      </c>
      <c r="CE206" s="291">
        <v>0</v>
      </c>
      <c r="CF206" s="291">
        <v>0</v>
      </c>
      <c r="CG206" s="291">
        <v>0</v>
      </c>
      <c r="CH206" s="291">
        <v>0</v>
      </c>
      <c r="CI206" s="291">
        <v>0</v>
      </c>
      <c r="CJ206" s="292">
        <v>0</v>
      </c>
      <c r="CK206" s="41"/>
      <c r="CL206" s="36">
        <v>31</v>
      </c>
      <c r="CN206" s="157" t="e">
        <f t="shared" ref="CN206:DV206" si="3846">AVERAGE(BB206:BB214)*$CL206</f>
        <v>#DIV/0!</v>
      </c>
      <c r="CO206" s="158" t="e">
        <f t="shared" si="3846"/>
        <v>#DIV/0!</v>
      </c>
      <c r="CP206" s="158" t="e">
        <f t="shared" si="3846"/>
        <v>#DIV/0!</v>
      </c>
      <c r="CQ206" s="158" t="e">
        <f t="shared" si="3846"/>
        <v>#DIV/0!</v>
      </c>
      <c r="CR206" s="158" t="e">
        <f t="shared" si="3846"/>
        <v>#DIV/0!</v>
      </c>
      <c r="CS206" s="158" t="e">
        <f t="shared" si="3846"/>
        <v>#DIV/0!</v>
      </c>
      <c r="CT206" s="158" t="e">
        <f t="shared" si="3846"/>
        <v>#DIV/0!</v>
      </c>
      <c r="CU206" s="159" t="e">
        <f t="shared" si="3846"/>
        <v>#DIV/0!</v>
      </c>
      <c r="CV206" s="157" t="e">
        <f t="shared" si="3846"/>
        <v>#DIV/0!</v>
      </c>
      <c r="CW206" s="158" t="e">
        <f t="shared" si="3846"/>
        <v>#DIV/0!</v>
      </c>
      <c r="CX206" s="158" t="e">
        <f t="shared" si="3846"/>
        <v>#DIV/0!</v>
      </c>
      <c r="CY206" s="159" t="e">
        <f t="shared" si="3846"/>
        <v>#DIV/0!</v>
      </c>
      <c r="CZ206" s="157" t="e">
        <f t="shared" si="3846"/>
        <v>#DIV/0!</v>
      </c>
      <c r="DA206" s="158" t="e">
        <f t="shared" si="3846"/>
        <v>#DIV/0!</v>
      </c>
      <c r="DB206" s="158" t="e">
        <f t="shared" si="3846"/>
        <v>#DIV/0!</v>
      </c>
      <c r="DC206" s="158" t="e">
        <f t="shared" si="3846"/>
        <v>#DIV/0!</v>
      </c>
      <c r="DD206" s="158" t="e">
        <f t="shared" si="3846"/>
        <v>#DIV/0!</v>
      </c>
      <c r="DE206" s="159" t="e">
        <f t="shared" si="3846"/>
        <v>#DIV/0!</v>
      </c>
      <c r="DF206" s="157" t="e">
        <f t="shared" si="3846"/>
        <v>#DIV/0!</v>
      </c>
      <c r="DG206" s="158" t="e">
        <f t="shared" si="3846"/>
        <v>#DIV/0!</v>
      </c>
      <c r="DH206" s="158" t="e">
        <f t="shared" si="3846"/>
        <v>#DIV/0!</v>
      </c>
      <c r="DI206" s="158" t="e">
        <f t="shared" si="3846"/>
        <v>#DIV/0!</v>
      </c>
      <c r="DJ206" s="159" t="e">
        <f t="shared" si="3846"/>
        <v>#DIV/0!</v>
      </c>
      <c r="DK206" s="157" t="e">
        <f t="shared" si="3846"/>
        <v>#DIV/0!</v>
      </c>
      <c r="DL206" s="158" t="e">
        <f t="shared" si="3846"/>
        <v>#DIV/0!</v>
      </c>
      <c r="DM206" s="158" t="e">
        <f t="shared" si="3846"/>
        <v>#DIV/0!</v>
      </c>
      <c r="DN206" s="158" t="e">
        <f t="shared" si="3846"/>
        <v>#DIV/0!</v>
      </c>
      <c r="DO206" s="158" t="e">
        <f t="shared" si="3846"/>
        <v>#DIV/0!</v>
      </c>
      <c r="DP206" s="158" t="e">
        <f t="shared" si="3846"/>
        <v>#DIV/0!</v>
      </c>
      <c r="DQ206" s="158" t="e">
        <f t="shared" si="3846"/>
        <v>#DIV/0!</v>
      </c>
      <c r="DR206" s="158" t="e">
        <f t="shared" si="3846"/>
        <v>#DIV/0!</v>
      </c>
      <c r="DS206" s="158" t="e">
        <f t="shared" si="3846"/>
        <v>#DIV/0!</v>
      </c>
      <c r="DT206" s="158" t="e">
        <f t="shared" si="3846"/>
        <v>#DIV/0!</v>
      </c>
      <c r="DU206" s="158" t="e">
        <f t="shared" si="3846"/>
        <v>#DIV/0!</v>
      </c>
      <c r="DV206" s="159" t="e">
        <f t="shared" si="3846"/>
        <v>#DIV/0!</v>
      </c>
      <c r="DX206" s="186" t="e">
        <f t="shared" ref="DX206:DX214" si="3847">P206/$E206</f>
        <v>#DIV/0!</v>
      </c>
      <c r="DY206" s="187" t="e">
        <f t="shared" ref="DY206:DY214" si="3848">Q206/$E206</f>
        <v>#DIV/0!</v>
      </c>
      <c r="DZ206" s="187" t="e">
        <f t="shared" ref="DZ206:DZ214" si="3849">R206/$E206</f>
        <v>#DIV/0!</v>
      </c>
      <c r="EA206" s="187" t="e">
        <f t="shared" ref="EA206:EA214" si="3850">S206/$E206</f>
        <v>#DIV/0!</v>
      </c>
      <c r="EB206" s="187" t="e">
        <f t="shared" ref="EB206:EB214" si="3851">T206/$E206</f>
        <v>#DIV/0!</v>
      </c>
      <c r="EC206" s="187" t="e">
        <f t="shared" ref="EC206:EC214" si="3852">U206/$E206</f>
        <v>#DIV/0!</v>
      </c>
      <c r="ED206" s="187" t="e">
        <f t="shared" ref="ED206:ED214" si="3853">V206/$E206</f>
        <v>#DIV/0!</v>
      </c>
      <c r="EE206" s="188" t="e">
        <f t="shared" ref="EE206:EE214" si="3854">W206/$E206</f>
        <v>#DIV/0!</v>
      </c>
      <c r="EF206" s="186" t="e">
        <f t="shared" ref="EF206:EF214" si="3855">X206/$E206</f>
        <v>#DIV/0!</v>
      </c>
      <c r="EG206" s="187" t="e">
        <f t="shared" ref="EG206:EG214" si="3856">Y206/$E206</f>
        <v>#DIV/0!</v>
      </c>
      <c r="EH206" s="187" t="e">
        <f t="shared" ref="EH206:EH214" si="3857">Z206/$E206</f>
        <v>#DIV/0!</v>
      </c>
      <c r="EI206" s="188" t="e">
        <f t="shared" ref="EI206:EI214" si="3858">AA206/$E206</f>
        <v>#DIV/0!</v>
      </c>
      <c r="EJ206" s="186" t="e">
        <f t="shared" ref="EJ206:EJ214" si="3859">AB206/$E206</f>
        <v>#DIV/0!</v>
      </c>
      <c r="EK206" s="187" t="e">
        <f t="shared" ref="EK206:EK214" si="3860">AC206/$E206</f>
        <v>#DIV/0!</v>
      </c>
      <c r="EL206" s="187" t="e">
        <f t="shared" ref="EL206:EL214" si="3861">AD206/$E206</f>
        <v>#DIV/0!</v>
      </c>
      <c r="EM206" s="187" t="e">
        <f t="shared" ref="EM206:EM214" si="3862">AE206/$E206</f>
        <v>#DIV/0!</v>
      </c>
      <c r="EN206" s="187" t="e">
        <f t="shared" ref="EN206:EN214" si="3863">AF206/$E206</f>
        <v>#DIV/0!</v>
      </c>
      <c r="EO206" s="188" t="e">
        <f t="shared" ref="EO206:EO214" si="3864">AG206/$E206</f>
        <v>#DIV/0!</v>
      </c>
      <c r="EP206" s="186" t="e">
        <f t="shared" ref="EP206:EP214" si="3865">AH206/$E206</f>
        <v>#DIV/0!</v>
      </c>
      <c r="EQ206" s="187" t="e">
        <f t="shared" ref="EQ206:EQ214" si="3866">AI206/$E206</f>
        <v>#DIV/0!</v>
      </c>
      <c r="ER206" s="187" t="e">
        <f t="shared" ref="ER206:ER214" si="3867">AJ206/$E206</f>
        <v>#DIV/0!</v>
      </c>
      <c r="ES206" s="187" t="e">
        <f t="shared" ref="ES206:ES214" si="3868">AK206/$E206</f>
        <v>#DIV/0!</v>
      </c>
      <c r="ET206" s="188" t="e">
        <f t="shared" ref="ET206:ET214" si="3869">AL206/$E206</f>
        <v>#DIV/0!</v>
      </c>
      <c r="EU206" s="186" t="e">
        <f t="shared" ref="EU206:EU214" si="3870">AM206/$E206</f>
        <v>#DIV/0!</v>
      </c>
      <c r="EV206" s="187" t="e">
        <f t="shared" ref="EV206:EV214" si="3871">AN206/$E206</f>
        <v>#DIV/0!</v>
      </c>
      <c r="EW206" s="187" t="e">
        <f t="shared" ref="EW206:EW214" si="3872">AO206/$E206</f>
        <v>#DIV/0!</v>
      </c>
      <c r="EX206" s="187" t="e">
        <f t="shared" ref="EX206:EX214" si="3873">AP206/$E206</f>
        <v>#DIV/0!</v>
      </c>
      <c r="EY206" s="187" t="e">
        <f t="shared" ref="EY206:EY214" si="3874">AQ206/$E206</f>
        <v>#DIV/0!</v>
      </c>
      <c r="EZ206" s="187" t="e">
        <f t="shared" ref="EZ206:EZ214" si="3875">AR206/$E206</f>
        <v>#DIV/0!</v>
      </c>
      <c r="FA206" s="187" t="e">
        <f t="shared" ref="FA206:FA214" si="3876">AS206/$E206</f>
        <v>#DIV/0!</v>
      </c>
      <c r="FB206" s="187" t="e">
        <f t="shared" ref="FB206:FB214" si="3877">AT206/$E206</f>
        <v>#DIV/0!</v>
      </c>
      <c r="FC206" s="187" t="e">
        <f t="shared" ref="FC206:FC214" si="3878">AU206/$E206</f>
        <v>#DIV/0!</v>
      </c>
      <c r="FD206" s="187" t="e">
        <f t="shared" ref="FD206:FD214" si="3879">AV206/$E206</f>
        <v>#DIV/0!</v>
      </c>
      <c r="FE206" s="187" t="e">
        <f t="shared" ref="FE206:FE214" si="3880">AY206/$E206</f>
        <v>#DIV/0!</v>
      </c>
      <c r="FF206" s="188" t="e">
        <f t="shared" ref="FF206:FF214" si="3881">AZ206/$E206</f>
        <v>#DIV/0!</v>
      </c>
    </row>
    <row r="207" spans="1:163" x14ac:dyDescent="0.25">
      <c r="B207" s="177">
        <v>43161</v>
      </c>
      <c r="C207" s="271"/>
      <c r="D207" s="53"/>
      <c r="E207" s="129"/>
      <c r="F207" s="25"/>
      <c r="G207" s="25"/>
      <c r="H207" s="150"/>
      <c r="I207" s="24"/>
      <c r="J207" s="151"/>
      <c r="K207" s="151"/>
      <c r="L207" s="152">
        <v>11.1</v>
      </c>
      <c r="M207" s="152" t="e">
        <f t="shared" si="3844"/>
        <v>#DIV/0!</v>
      </c>
      <c r="N207" s="153" t="e">
        <f t="shared" si="3845"/>
        <v>#DIV/0!</v>
      </c>
      <c r="O207" s="25"/>
      <c r="P207" s="95"/>
      <c r="Q207" s="41"/>
      <c r="R207" s="41"/>
      <c r="S207" s="41"/>
      <c r="T207" s="41"/>
      <c r="U207" s="41"/>
      <c r="V207" s="41"/>
      <c r="W207" s="42"/>
      <c r="X207" s="95"/>
      <c r="Y207" s="41"/>
      <c r="Z207" s="41"/>
      <c r="AA207" s="42"/>
      <c r="AB207" s="95"/>
      <c r="AC207" s="41"/>
      <c r="AD207" s="41"/>
      <c r="AE207" s="41"/>
      <c r="AF207" s="41"/>
      <c r="AG207" s="42"/>
      <c r="AH207" s="95"/>
      <c r="AI207" s="41"/>
      <c r="AJ207" s="41"/>
      <c r="AK207" s="41"/>
      <c r="AL207" s="42"/>
      <c r="AM207" s="95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2"/>
      <c r="BB207" s="95" t="e">
        <f t="shared" ref="BB207:BB213" si="3882">$N207*DX207</f>
        <v>#DIV/0!</v>
      </c>
      <c r="BC207" s="41" t="e">
        <f t="shared" ref="BC207:BC213" si="3883">$N207*DY207</f>
        <v>#DIV/0!</v>
      </c>
      <c r="BD207" s="41" t="e">
        <f t="shared" ref="BD207:BD213" si="3884">$N207*DZ207</f>
        <v>#DIV/0!</v>
      </c>
      <c r="BE207" s="41" t="e">
        <f t="shared" ref="BE207:BE213" si="3885">$N207*EA207</f>
        <v>#DIV/0!</v>
      </c>
      <c r="BF207" s="41" t="e">
        <f t="shared" ref="BF207:BF213" si="3886">$N207*EB207</f>
        <v>#DIV/0!</v>
      </c>
      <c r="BG207" s="41" t="e">
        <f t="shared" ref="BG207:BG213" si="3887">$N207*EC207</f>
        <v>#DIV/0!</v>
      </c>
      <c r="BH207" s="41" t="e">
        <f t="shared" ref="BH207:BH213" si="3888">$N207*ED207</f>
        <v>#DIV/0!</v>
      </c>
      <c r="BI207" s="42" t="e">
        <f t="shared" ref="BI207:BI213" si="3889">$N207*EE207</f>
        <v>#DIV/0!</v>
      </c>
      <c r="BJ207" s="95" t="e">
        <f t="shared" ref="BJ207:BJ213" si="3890">$N207*EF207</f>
        <v>#DIV/0!</v>
      </c>
      <c r="BK207" s="41" t="e">
        <f t="shared" ref="BK207:BK213" si="3891">$N207*EG207</f>
        <v>#DIV/0!</v>
      </c>
      <c r="BL207" s="41" t="e">
        <f t="shared" ref="BL207:BL213" si="3892">$N207*EH207</f>
        <v>#DIV/0!</v>
      </c>
      <c r="BM207" s="42" t="e">
        <f t="shared" ref="BM207:BM213" si="3893">$N207*EI207</f>
        <v>#DIV/0!</v>
      </c>
      <c r="BN207" s="95" t="e">
        <f t="shared" ref="BN207:BN213" si="3894">$N207*EJ207</f>
        <v>#DIV/0!</v>
      </c>
      <c r="BO207" s="41" t="e">
        <f t="shared" ref="BO207:BO213" si="3895">$N207*EK207</f>
        <v>#DIV/0!</v>
      </c>
      <c r="BP207" s="41" t="e">
        <f t="shared" ref="BP207:BP213" si="3896">$N207*EL207</f>
        <v>#DIV/0!</v>
      </c>
      <c r="BQ207" s="41" t="e">
        <f t="shared" ref="BQ207:BQ213" si="3897">$N207*EM207</f>
        <v>#DIV/0!</v>
      </c>
      <c r="BR207" s="41" t="e">
        <f t="shared" ref="BR207:BR213" si="3898">$N207*EN207</f>
        <v>#DIV/0!</v>
      </c>
      <c r="BS207" s="42" t="e">
        <f t="shared" ref="BS207:BS213" si="3899">$N207*EO207</f>
        <v>#DIV/0!</v>
      </c>
      <c r="BT207" s="95" t="e">
        <f t="shared" ref="BT207:BT213" si="3900">$N207*EP207</f>
        <v>#DIV/0!</v>
      </c>
      <c r="BU207" s="41" t="e">
        <f t="shared" ref="BU207:BU213" si="3901">$N207*EQ207</f>
        <v>#DIV/0!</v>
      </c>
      <c r="BV207" s="41" t="e">
        <f t="shared" ref="BV207:BV213" si="3902">$N207*ER207</f>
        <v>#DIV/0!</v>
      </c>
      <c r="BW207" s="41" t="e">
        <f t="shared" ref="BW207:BW213" si="3903">$N207*ES207</f>
        <v>#DIV/0!</v>
      </c>
      <c r="BX207" s="42" t="e">
        <f t="shared" ref="BX207:BX213" si="3904">$N207*ET207</f>
        <v>#DIV/0!</v>
      </c>
      <c r="BY207" s="95" t="e">
        <f t="shared" ref="BY207:BY213" si="3905">$N207*EU207</f>
        <v>#DIV/0!</v>
      </c>
      <c r="BZ207" s="41" t="e">
        <f t="shared" ref="BZ207:BZ213" si="3906">$N207*EV207</f>
        <v>#DIV/0!</v>
      </c>
      <c r="CA207" s="41" t="e">
        <f t="shared" ref="CA207:CA213" si="3907">$N207*EW207</f>
        <v>#DIV/0!</v>
      </c>
      <c r="CB207" s="41" t="e">
        <f t="shared" ref="CB207:CB213" si="3908">$N207*EX207</f>
        <v>#DIV/0!</v>
      </c>
      <c r="CC207" s="41" t="e">
        <f t="shared" ref="CC207:CC213" si="3909">$N207*EY207</f>
        <v>#DIV/0!</v>
      </c>
      <c r="CD207" s="41" t="e">
        <f t="shared" ref="CD207:CD213" si="3910">$N207*EZ207</f>
        <v>#DIV/0!</v>
      </c>
      <c r="CE207" s="41" t="e">
        <f t="shared" ref="CE207:CE213" si="3911">$N207*FA207</f>
        <v>#DIV/0!</v>
      </c>
      <c r="CF207" s="41" t="e">
        <f t="shared" ref="CF207:CF213" si="3912">$N207*FB207</f>
        <v>#DIV/0!</v>
      </c>
      <c r="CG207" s="41" t="e">
        <f t="shared" ref="CG207:CG213" si="3913">$N207*FC207</f>
        <v>#DIV/0!</v>
      </c>
      <c r="CH207" s="41" t="e">
        <f t="shared" ref="CH207:CH213" si="3914">$N207*FD207</f>
        <v>#DIV/0!</v>
      </c>
      <c r="CI207" s="41" t="e">
        <f t="shared" ref="CI207:CI213" si="3915">$N207*FE207</f>
        <v>#DIV/0!</v>
      </c>
      <c r="CJ207" s="42" t="e">
        <f t="shared" ref="CJ207:CJ213" si="3916">$N207*FF207</f>
        <v>#DIV/0!</v>
      </c>
      <c r="CL207" s="36"/>
      <c r="CN207" s="95"/>
      <c r="CO207" s="41"/>
      <c r="CP207" s="41"/>
      <c r="CQ207" s="41"/>
      <c r="CR207" s="41"/>
      <c r="CS207" s="41"/>
      <c r="CT207" s="41"/>
      <c r="CU207" s="42"/>
      <c r="CV207" s="95"/>
      <c r="CW207" s="41"/>
      <c r="CX207" s="41"/>
      <c r="CY207" s="42"/>
      <c r="CZ207" s="95"/>
      <c r="DA207" s="41"/>
      <c r="DB207" s="41"/>
      <c r="DC207" s="41"/>
      <c r="DD207" s="41"/>
      <c r="DE207" s="42"/>
      <c r="DF207" s="95"/>
      <c r="DG207" s="41"/>
      <c r="DH207" s="41"/>
      <c r="DI207" s="41"/>
      <c r="DJ207" s="42"/>
      <c r="DK207" s="95"/>
      <c r="DL207" s="41"/>
      <c r="DM207" s="41"/>
      <c r="DN207" s="41"/>
      <c r="DO207" s="41"/>
      <c r="DP207" s="41"/>
      <c r="DQ207" s="41"/>
      <c r="DR207" s="41"/>
      <c r="DS207" s="41"/>
      <c r="DT207" s="41"/>
      <c r="DU207" s="41"/>
      <c r="DV207" s="42"/>
      <c r="DX207" s="138" t="e">
        <f t="shared" si="3847"/>
        <v>#DIV/0!</v>
      </c>
      <c r="DY207" s="34" t="e">
        <f t="shared" si="3848"/>
        <v>#DIV/0!</v>
      </c>
      <c r="DZ207" s="34" t="e">
        <f t="shared" si="3849"/>
        <v>#DIV/0!</v>
      </c>
      <c r="EA207" s="34" t="e">
        <f t="shared" si="3850"/>
        <v>#DIV/0!</v>
      </c>
      <c r="EB207" s="34" t="e">
        <f t="shared" si="3851"/>
        <v>#DIV/0!</v>
      </c>
      <c r="EC207" s="34" t="e">
        <f t="shared" si="3852"/>
        <v>#DIV/0!</v>
      </c>
      <c r="ED207" s="34" t="e">
        <f t="shared" si="3853"/>
        <v>#DIV/0!</v>
      </c>
      <c r="EE207" s="139" t="e">
        <f t="shared" si="3854"/>
        <v>#DIV/0!</v>
      </c>
      <c r="EF207" s="138" t="e">
        <f t="shared" si="3855"/>
        <v>#DIV/0!</v>
      </c>
      <c r="EG207" s="34" t="e">
        <f t="shared" si="3856"/>
        <v>#DIV/0!</v>
      </c>
      <c r="EH207" s="34" t="e">
        <f t="shared" si="3857"/>
        <v>#DIV/0!</v>
      </c>
      <c r="EI207" s="139" t="e">
        <f t="shared" si="3858"/>
        <v>#DIV/0!</v>
      </c>
      <c r="EJ207" s="138" t="e">
        <f t="shared" si="3859"/>
        <v>#DIV/0!</v>
      </c>
      <c r="EK207" s="34" t="e">
        <f t="shared" si="3860"/>
        <v>#DIV/0!</v>
      </c>
      <c r="EL207" s="34" t="e">
        <f t="shared" si="3861"/>
        <v>#DIV/0!</v>
      </c>
      <c r="EM207" s="34" t="e">
        <f t="shared" si="3862"/>
        <v>#DIV/0!</v>
      </c>
      <c r="EN207" s="34" t="e">
        <f t="shared" si="3863"/>
        <v>#DIV/0!</v>
      </c>
      <c r="EO207" s="139" t="e">
        <f t="shared" si="3864"/>
        <v>#DIV/0!</v>
      </c>
      <c r="EP207" s="138" t="e">
        <f t="shared" si="3865"/>
        <v>#DIV/0!</v>
      </c>
      <c r="EQ207" s="34" t="e">
        <f t="shared" si="3866"/>
        <v>#DIV/0!</v>
      </c>
      <c r="ER207" s="34" t="e">
        <f t="shared" si="3867"/>
        <v>#DIV/0!</v>
      </c>
      <c r="ES207" s="34" t="e">
        <f t="shared" si="3868"/>
        <v>#DIV/0!</v>
      </c>
      <c r="ET207" s="139" t="e">
        <f t="shared" si="3869"/>
        <v>#DIV/0!</v>
      </c>
      <c r="EU207" s="138" t="e">
        <f t="shared" si="3870"/>
        <v>#DIV/0!</v>
      </c>
      <c r="EV207" s="34" t="e">
        <f t="shared" si="3871"/>
        <v>#DIV/0!</v>
      </c>
      <c r="EW207" s="34" t="e">
        <f t="shared" si="3872"/>
        <v>#DIV/0!</v>
      </c>
      <c r="EX207" s="34" t="e">
        <f t="shared" si="3873"/>
        <v>#DIV/0!</v>
      </c>
      <c r="EY207" s="34" t="e">
        <f t="shared" si="3874"/>
        <v>#DIV/0!</v>
      </c>
      <c r="EZ207" s="34" t="e">
        <f t="shared" si="3875"/>
        <v>#DIV/0!</v>
      </c>
      <c r="FA207" s="34" t="e">
        <f t="shared" si="3876"/>
        <v>#DIV/0!</v>
      </c>
      <c r="FB207" s="34" t="e">
        <f t="shared" si="3877"/>
        <v>#DIV/0!</v>
      </c>
      <c r="FC207" s="34" t="e">
        <f t="shared" si="3878"/>
        <v>#DIV/0!</v>
      </c>
      <c r="FD207" s="34" t="e">
        <f t="shared" si="3879"/>
        <v>#DIV/0!</v>
      </c>
      <c r="FE207" s="34" t="e">
        <f t="shared" si="3880"/>
        <v>#DIV/0!</v>
      </c>
      <c r="FF207" s="139" t="e">
        <f t="shared" si="3881"/>
        <v>#DIV/0!</v>
      </c>
    </row>
    <row r="208" spans="1:163" x14ac:dyDescent="0.25">
      <c r="B208" s="177">
        <v>43163</v>
      </c>
      <c r="C208" s="271"/>
      <c r="D208" s="53"/>
      <c r="E208" s="129"/>
      <c r="F208" s="25"/>
      <c r="G208" s="25"/>
      <c r="H208" s="150"/>
      <c r="I208" s="24"/>
      <c r="J208" s="151"/>
      <c r="K208" s="151"/>
      <c r="L208" s="152">
        <v>11.3</v>
      </c>
      <c r="M208" s="152" t="e">
        <f t="shared" si="3844"/>
        <v>#DIV/0!</v>
      </c>
      <c r="N208" s="153" t="e">
        <f t="shared" si="3845"/>
        <v>#DIV/0!</v>
      </c>
      <c r="O208" s="25"/>
      <c r="P208" s="95"/>
      <c r="Q208" s="41"/>
      <c r="R208" s="41"/>
      <c r="S208" s="41"/>
      <c r="T208" s="41"/>
      <c r="U208" s="41"/>
      <c r="V208" s="41"/>
      <c r="W208" s="42"/>
      <c r="X208" s="95"/>
      <c r="Y208" s="41"/>
      <c r="Z208" s="41"/>
      <c r="AA208" s="42"/>
      <c r="AB208" s="95"/>
      <c r="AC208" s="41"/>
      <c r="AD208" s="41"/>
      <c r="AE208" s="41"/>
      <c r="AF208" s="41"/>
      <c r="AG208" s="42"/>
      <c r="AH208" s="95"/>
      <c r="AI208" s="41"/>
      <c r="AJ208" s="41"/>
      <c r="AK208" s="41"/>
      <c r="AL208" s="42"/>
      <c r="AM208" s="95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2"/>
      <c r="BB208" s="288">
        <v>0</v>
      </c>
      <c r="BC208" s="284">
        <v>0</v>
      </c>
      <c r="BD208" s="284">
        <v>0</v>
      </c>
      <c r="BE208" s="284">
        <v>0</v>
      </c>
      <c r="BF208" s="284">
        <v>0</v>
      </c>
      <c r="BG208" s="284">
        <v>0</v>
      </c>
      <c r="BH208" s="284">
        <v>0</v>
      </c>
      <c r="BI208" s="289">
        <v>0</v>
      </c>
      <c r="BJ208" s="288">
        <v>0</v>
      </c>
      <c r="BK208" s="284">
        <v>0</v>
      </c>
      <c r="BL208" s="284">
        <v>0</v>
      </c>
      <c r="BM208" s="289">
        <v>0</v>
      </c>
      <c r="BN208" s="288">
        <v>0</v>
      </c>
      <c r="BO208" s="284">
        <v>0</v>
      </c>
      <c r="BP208" s="284">
        <v>0</v>
      </c>
      <c r="BQ208" s="284">
        <v>0</v>
      </c>
      <c r="BR208" s="284">
        <v>0</v>
      </c>
      <c r="BS208" s="289">
        <v>0</v>
      </c>
      <c r="BT208" s="288">
        <v>0</v>
      </c>
      <c r="BU208" s="284">
        <v>0</v>
      </c>
      <c r="BV208" s="284">
        <v>0</v>
      </c>
      <c r="BW208" s="284">
        <v>0</v>
      </c>
      <c r="BX208" s="289">
        <v>0</v>
      </c>
      <c r="BY208" s="288">
        <v>0</v>
      </c>
      <c r="BZ208" s="284">
        <v>0</v>
      </c>
      <c r="CA208" s="284">
        <v>0</v>
      </c>
      <c r="CB208" s="284">
        <v>0</v>
      </c>
      <c r="CC208" s="284">
        <v>0</v>
      </c>
      <c r="CD208" s="284">
        <v>0</v>
      </c>
      <c r="CE208" s="284">
        <v>0</v>
      </c>
      <c r="CF208" s="284">
        <v>0</v>
      </c>
      <c r="CG208" s="284">
        <v>0</v>
      </c>
      <c r="CH208" s="284">
        <v>0</v>
      </c>
      <c r="CI208" s="284">
        <v>0</v>
      </c>
      <c r="CJ208" s="289">
        <v>0</v>
      </c>
      <c r="CL208" s="36"/>
      <c r="CN208" s="95"/>
      <c r="CO208" s="41"/>
      <c r="CP208" s="41"/>
      <c r="CQ208" s="41"/>
      <c r="CR208" s="41"/>
      <c r="CS208" s="41"/>
      <c r="CT208" s="41"/>
      <c r="CU208" s="42"/>
      <c r="CV208" s="95"/>
      <c r="CW208" s="41"/>
      <c r="CX208" s="41"/>
      <c r="CY208" s="42"/>
      <c r="CZ208" s="95"/>
      <c r="DA208" s="41"/>
      <c r="DB208" s="41"/>
      <c r="DC208" s="41"/>
      <c r="DD208" s="41"/>
      <c r="DE208" s="42"/>
      <c r="DF208" s="95"/>
      <c r="DG208" s="41"/>
      <c r="DH208" s="41"/>
      <c r="DI208" s="41"/>
      <c r="DJ208" s="42"/>
      <c r="DK208" s="95"/>
      <c r="DL208" s="41"/>
      <c r="DM208" s="41"/>
      <c r="DN208" s="41"/>
      <c r="DO208" s="41"/>
      <c r="DP208" s="41"/>
      <c r="DQ208" s="41"/>
      <c r="DR208" s="41"/>
      <c r="DS208" s="41"/>
      <c r="DT208" s="41"/>
      <c r="DU208" s="41"/>
      <c r="DV208" s="42"/>
      <c r="DX208" s="138" t="e">
        <f t="shared" si="3847"/>
        <v>#DIV/0!</v>
      </c>
      <c r="DY208" s="34" t="e">
        <f t="shared" si="3848"/>
        <v>#DIV/0!</v>
      </c>
      <c r="DZ208" s="34" t="e">
        <f t="shared" si="3849"/>
        <v>#DIV/0!</v>
      </c>
      <c r="EA208" s="34" t="e">
        <f t="shared" si="3850"/>
        <v>#DIV/0!</v>
      </c>
      <c r="EB208" s="34" t="e">
        <f t="shared" si="3851"/>
        <v>#DIV/0!</v>
      </c>
      <c r="EC208" s="34" t="e">
        <f t="shared" si="3852"/>
        <v>#DIV/0!</v>
      </c>
      <c r="ED208" s="34" t="e">
        <f t="shared" si="3853"/>
        <v>#DIV/0!</v>
      </c>
      <c r="EE208" s="139" t="e">
        <f t="shared" si="3854"/>
        <v>#DIV/0!</v>
      </c>
      <c r="EF208" s="138" t="e">
        <f t="shared" si="3855"/>
        <v>#DIV/0!</v>
      </c>
      <c r="EG208" s="34" t="e">
        <f t="shared" si="3856"/>
        <v>#DIV/0!</v>
      </c>
      <c r="EH208" s="34" t="e">
        <f t="shared" si="3857"/>
        <v>#DIV/0!</v>
      </c>
      <c r="EI208" s="139" t="e">
        <f t="shared" si="3858"/>
        <v>#DIV/0!</v>
      </c>
      <c r="EJ208" s="138" t="e">
        <f t="shared" si="3859"/>
        <v>#DIV/0!</v>
      </c>
      <c r="EK208" s="34" t="e">
        <f t="shared" si="3860"/>
        <v>#DIV/0!</v>
      </c>
      <c r="EL208" s="34" t="e">
        <f t="shared" si="3861"/>
        <v>#DIV/0!</v>
      </c>
      <c r="EM208" s="34" t="e">
        <f t="shared" si="3862"/>
        <v>#DIV/0!</v>
      </c>
      <c r="EN208" s="34" t="e">
        <f t="shared" si="3863"/>
        <v>#DIV/0!</v>
      </c>
      <c r="EO208" s="139" t="e">
        <f t="shared" si="3864"/>
        <v>#DIV/0!</v>
      </c>
      <c r="EP208" s="138" t="e">
        <f t="shared" si="3865"/>
        <v>#DIV/0!</v>
      </c>
      <c r="EQ208" s="34" t="e">
        <f t="shared" si="3866"/>
        <v>#DIV/0!</v>
      </c>
      <c r="ER208" s="34" t="e">
        <f t="shared" si="3867"/>
        <v>#DIV/0!</v>
      </c>
      <c r="ES208" s="34" t="e">
        <f t="shared" si="3868"/>
        <v>#DIV/0!</v>
      </c>
      <c r="ET208" s="139" t="e">
        <f t="shared" si="3869"/>
        <v>#DIV/0!</v>
      </c>
      <c r="EU208" s="138" t="e">
        <f t="shared" si="3870"/>
        <v>#DIV/0!</v>
      </c>
      <c r="EV208" s="34" t="e">
        <f t="shared" si="3871"/>
        <v>#DIV/0!</v>
      </c>
      <c r="EW208" s="34" t="e">
        <f t="shared" si="3872"/>
        <v>#DIV/0!</v>
      </c>
      <c r="EX208" s="34" t="e">
        <f t="shared" si="3873"/>
        <v>#DIV/0!</v>
      </c>
      <c r="EY208" s="34" t="e">
        <f t="shared" si="3874"/>
        <v>#DIV/0!</v>
      </c>
      <c r="EZ208" s="34" t="e">
        <f t="shared" si="3875"/>
        <v>#DIV/0!</v>
      </c>
      <c r="FA208" s="34" t="e">
        <f t="shared" si="3876"/>
        <v>#DIV/0!</v>
      </c>
      <c r="FB208" s="34" t="e">
        <f t="shared" si="3877"/>
        <v>#DIV/0!</v>
      </c>
      <c r="FC208" s="34" t="e">
        <f t="shared" si="3878"/>
        <v>#DIV/0!</v>
      </c>
      <c r="FD208" s="34" t="e">
        <f t="shared" si="3879"/>
        <v>#DIV/0!</v>
      </c>
      <c r="FE208" s="34" t="e">
        <f t="shared" si="3880"/>
        <v>#DIV/0!</v>
      </c>
      <c r="FF208" s="139" t="e">
        <f t="shared" si="3881"/>
        <v>#DIV/0!</v>
      </c>
    </row>
    <row r="209" spans="2:162" x14ac:dyDescent="0.25">
      <c r="B209" s="177">
        <v>43166</v>
      </c>
      <c r="C209" s="271"/>
      <c r="D209" s="53"/>
      <c r="E209" s="129"/>
      <c r="F209" s="25"/>
      <c r="G209" s="25"/>
      <c r="H209" s="150"/>
      <c r="I209" s="24"/>
      <c r="J209" s="151"/>
      <c r="K209" s="151"/>
      <c r="L209" s="152">
        <v>11.4</v>
      </c>
      <c r="M209" s="152" t="e">
        <f t="shared" si="3844"/>
        <v>#DIV/0!</v>
      </c>
      <c r="N209" s="153" t="e">
        <f t="shared" si="3845"/>
        <v>#DIV/0!</v>
      </c>
      <c r="O209" s="25"/>
      <c r="P209" s="95"/>
      <c r="Q209" s="41"/>
      <c r="R209" s="41"/>
      <c r="S209" s="41"/>
      <c r="T209" s="41"/>
      <c r="U209" s="41"/>
      <c r="V209" s="41"/>
      <c r="W209" s="42"/>
      <c r="X209" s="95"/>
      <c r="Y209" s="41"/>
      <c r="Z209" s="41"/>
      <c r="AA209" s="42"/>
      <c r="AB209" s="95"/>
      <c r="AC209" s="41"/>
      <c r="AD209" s="41"/>
      <c r="AE209" s="41"/>
      <c r="AF209" s="41"/>
      <c r="AG209" s="42"/>
      <c r="AH209" s="95"/>
      <c r="AI209" s="41"/>
      <c r="AJ209" s="41"/>
      <c r="AK209" s="41"/>
      <c r="AL209" s="42"/>
      <c r="AM209" s="95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2"/>
      <c r="BB209" s="288">
        <v>0</v>
      </c>
      <c r="BC209" s="284">
        <v>0</v>
      </c>
      <c r="BD209" s="284">
        <v>0</v>
      </c>
      <c r="BE209" s="284">
        <v>0</v>
      </c>
      <c r="BF209" s="284">
        <v>0</v>
      </c>
      <c r="BG209" s="284">
        <v>0</v>
      </c>
      <c r="BH209" s="284">
        <v>0</v>
      </c>
      <c r="BI209" s="289">
        <v>0</v>
      </c>
      <c r="BJ209" s="288">
        <v>0</v>
      </c>
      <c r="BK209" s="284">
        <v>0</v>
      </c>
      <c r="BL209" s="284">
        <v>0</v>
      </c>
      <c r="BM209" s="289">
        <v>0</v>
      </c>
      <c r="BN209" s="288">
        <v>0</v>
      </c>
      <c r="BO209" s="284">
        <v>0</v>
      </c>
      <c r="BP209" s="284">
        <v>0</v>
      </c>
      <c r="BQ209" s="284">
        <v>0</v>
      </c>
      <c r="BR209" s="284">
        <v>0</v>
      </c>
      <c r="BS209" s="289">
        <v>0</v>
      </c>
      <c r="BT209" s="288">
        <v>0</v>
      </c>
      <c r="BU209" s="284">
        <v>0</v>
      </c>
      <c r="BV209" s="284">
        <v>0</v>
      </c>
      <c r="BW209" s="284">
        <v>0</v>
      </c>
      <c r="BX209" s="289">
        <v>0</v>
      </c>
      <c r="BY209" s="288">
        <v>0</v>
      </c>
      <c r="BZ209" s="284">
        <v>0</v>
      </c>
      <c r="CA209" s="284">
        <v>0</v>
      </c>
      <c r="CB209" s="284">
        <v>0</v>
      </c>
      <c r="CC209" s="284">
        <v>0</v>
      </c>
      <c r="CD209" s="284">
        <v>0</v>
      </c>
      <c r="CE209" s="284">
        <v>0</v>
      </c>
      <c r="CF209" s="284">
        <v>0</v>
      </c>
      <c r="CG209" s="284">
        <v>0</v>
      </c>
      <c r="CH209" s="284">
        <v>0</v>
      </c>
      <c r="CI209" s="284">
        <v>0</v>
      </c>
      <c r="CJ209" s="289">
        <v>0</v>
      </c>
      <c r="CL209" s="36"/>
      <c r="CN209" s="95"/>
      <c r="CO209" s="41"/>
      <c r="CP209" s="41"/>
      <c r="CQ209" s="41"/>
      <c r="CR209" s="41"/>
      <c r="CS209" s="41"/>
      <c r="CT209" s="41"/>
      <c r="CU209" s="42"/>
      <c r="CV209" s="95"/>
      <c r="CW209" s="41"/>
      <c r="CX209" s="41"/>
      <c r="CY209" s="42"/>
      <c r="CZ209" s="95"/>
      <c r="DA209" s="41"/>
      <c r="DB209" s="41"/>
      <c r="DC209" s="41"/>
      <c r="DD209" s="41"/>
      <c r="DE209" s="42"/>
      <c r="DF209" s="95"/>
      <c r="DG209" s="41"/>
      <c r="DH209" s="41"/>
      <c r="DI209" s="41"/>
      <c r="DJ209" s="42"/>
      <c r="DK209" s="95"/>
      <c r="DL209" s="41"/>
      <c r="DM209" s="41"/>
      <c r="DN209" s="41"/>
      <c r="DO209" s="41"/>
      <c r="DP209" s="41"/>
      <c r="DQ209" s="41"/>
      <c r="DR209" s="41"/>
      <c r="DS209" s="41"/>
      <c r="DT209" s="41"/>
      <c r="DU209" s="41"/>
      <c r="DV209" s="42"/>
      <c r="DX209" s="138" t="e">
        <f t="shared" si="3847"/>
        <v>#DIV/0!</v>
      </c>
      <c r="DY209" s="34" t="e">
        <f t="shared" si="3848"/>
        <v>#DIV/0!</v>
      </c>
      <c r="DZ209" s="34" t="e">
        <f t="shared" si="3849"/>
        <v>#DIV/0!</v>
      </c>
      <c r="EA209" s="34" t="e">
        <f t="shared" si="3850"/>
        <v>#DIV/0!</v>
      </c>
      <c r="EB209" s="34" t="e">
        <f t="shared" si="3851"/>
        <v>#DIV/0!</v>
      </c>
      <c r="EC209" s="34" t="e">
        <f t="shared" si="3852"/>
        <v>#DIV/0!</v>
      </c>
      <c r="ED209" s="34" t="e">
        <f t="shared" si="3853"/>
        <v>#DIV/0!</v>
      </c>
      <c r="EE209" s="139" t="e">
        <f t="shared" si="3854"/>
        <v>#DIV/0!</v>
      </c>
      <c r="EF209" s="138" t="e">
        <f t="shared" si="3855"/>
        <v>#DIV/0!</v>
      </c>
      <c r="EG209" s="34" t="e">
        <f t="shared" si="3856"/>
        <v>#DIV/0!</v>
      </c>
      <c r="EH209" s="34" t="e">
        <f t="shared" si="3857"/>
        <v>#DIV/0!</v>
      </c>
      <c r="EI209" s="139" t="e">
        <f t="shared" si="3858"/>
        <v>#DIV/0!</v>
      </c>
      <c r="EJ209" s="138" t="e">
        <f t="shared" si="3859"/>
        <v>#DIV/0!</v>
      </c>
      <c r="EK209" s="34" t="e">
        <f t="shared" si="3860"/>
        <v>#DIV/0!</v>
      </c>
      <c r="EL209" s="34" t="e">
        <f t="shared" si="3861"/>
        <v>#DIV/0!</v>
      </c>
      <c r="EM209" s="34" t="e">
        <f t="shared" si="3862"/>
        <v>#DIV/0!</v>
      </c>
      <c r="EN209" s="34" t="e">
        <f t="shared" si="3863"/>
        <v>#DIV/0!</v>
      </c>
      <c r="EO209" s="139" t="e">
        <f t="shared" si="3864"/>
        <v>#DIV/0!</v>
      </c>
      <c r="EP209" s="138" t="e">
        <f t="shared" si="3865"/>
        <v>#DIV/0!</v>
      </c>
      <c r="EQ209" s="34" t="e">
        <f t="shared" si="3866"/>
        <v>#DIV/0!</v>
      </c>
      <c r="ER209" s="34" t="e">
        <f t="shared" si="3867"/>
        <v>#DIV/0!</v>
      </c>
      <c r="ES209" s="34" t="e">
        <f t="shared" si="3868"/>
        <v>#DIV/0!</v>
      </c>
      <c r="ET209" s="139" t="e">
        <f t="shared" si="3869"/>
        <v>#DIV/0!</v>
      </c>
      <c r="EU209" s="138" t="e">
        <f t="shared" si="3870"/>
        <v>#DIV/0!</v>
      </c>
      <c r="EV209" s="34" t="e">
        <f t="shared" si="3871"/>
        <v>#DIV/0!</v>
      </c>
      <c r="EW209" s="34" t="e">
        <f t="shared" si="3872"/>
        <v>#DIV/0!</v>
      </c>
      <c r="EX209" s="34" t="e">
        <f t="shared" si="3873"/>
        <v>#DIV/0!</v>
      </c>
      <c r="EY209" s="34" t="e">
        <f t="shared" si="3874"/>
        <v>#DIV/0!</v>
      </c>
      <c r="EZ209" s="34" t="e">
        <f t="shared" si="3875"/>
        <v>#DIV/0!</v>
      </c>
      <c r="FA209" s="34" t="e">
        <f t="shared" si="3876"/>
        <v>#DIV/0!</v>
      </c>
      <c r="FB209" s="34" t="e">
        <f t="shared" si="3877"/>
        <v>#DIV/0!</v>
      </c>
      <c r="FC209" s="34" t="e">
        <f t="shared" si="3878"/>
        <v>#DIV/0!</v>
      </c>
      <c r="FD209" s="34" t="e">
        <f t="shared" si="3879"/>
        <v>#DIV/0!</v>
      </c>
      <c r="FE209" s="34" t="e">
        <f t="shared" si="3880"/>
        <v>#DIV/0!</v>
      </c>
      <c r="FF209" s="139" t="e">
        <f t="shared" si="3881"/>
        <v>#DIV/0!</v>
      </c>
    </row>
    <row r="210" spans="2:162" x14ac:dyDescent="0.25">
      <c r="B210" s="177">
        <v>43169</v>
      </c>
      <c r="C210" s="271"/>
      <c r="D210" s="53"/>
      <c r="E210" s="129"/>
      <c r="F210" s="25"/>
      <c r="G210" s="25"/>
      <c r="H210" s="150"/>
      <c r="I210" s="24"/>
      <c r="J210" s="151"/>
      <c r="K210" s="151"/>
      <c r="L210" s="152">
        <v>11.6</v>
      </c>
      <c r="M210" s="152" t="e">
        <f t="shared" si="3844"/>
        <v>#DIV/0!</v>
      </c>
      <c r="N210" s="153" t="e">
        <f t="shared" si="3845"/>
        <v>#DIV/0!</v>
      </c>
      <c r="O210" s="25"/>
      <c r="P210" s="95"/>
      <c r="Q210" s="41"/>
      <c r="R210" s="41"/>
      <c r="S210" s="41"/>
      <c r="T210" s="41"/>
      <c r="U210" s="41"/>
      <c r="V210" s="41"/>
      <c r="W210" s="42"/>
      <c r="X210" s="95"/>
      <c r="Y210" s="41"/>
      <c r="Z210" s="41"/>
      <c r="AA210" s="42"/>
      <c r="AB210" s="95"/>
      <c r="AC210" s="41"/>
      <c r="AD210" s="41"/>
      <c r="AE210" s="41"/>
      <c r="AF210" s="41"/>
      <c r="AG210" s="42"/>
      <c r="AH210" s="95"/>
      <c r="AI210" s="41"/>
      <c r="AJ210" s="41"/>
      <c r="AK210" s="41"/>
      <c r="AL210" s="42"/>
      <c r="AM210" s="95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2"/>
      <c r="BB210" s="95" t="e">
        <f t="shared" si="3882"/>
        <v>#DIV/0!</v>
      </c>
      <c r="BC210" s="41" t="e">
        <f t="shared" si="3883"/>
        <v>#DIV/0!</v>
      </c>
      <c r="BD210" s="41" t="e">
        <f t="shared" si="3884"/>
        <v>#DIV/0!</v>
      </c>
      <c r="BE210" s="41" t="e">
        <f t="shared" si="3885"/>
        <v>#DIV/0!</v>
      </c>
      <c r="BF210" s="41" t="e">
        <f t="shared" si="3886"/>
        <v>#DIV/0!</v>
      </c>
      <c r="BG210" s="41" t="e">
        <f t="shared" si="3887"/>
        <v>#DIV/0!</v>
      </c>
      <c r="BH210" s="41" t="e">
        <f t="shared" si="3888"/>
        <v>#DIV/0!</v>
      </c>
      <c r="BI210" s="42" t="e">
        <f t="shared" si="3889"/>
        <v>#DIV/0!</v>
      </c>
      <c r="BJ210" s="95" t="e">
        <f t="shared" si="3890"/>
        <v>#DIV/0!</v>
      </c>
      <c r="BK210" s="41" t="e">
        <f t="shared" si="3891"/>
        <v>#DIV/0!</v>
      </c>
      <c r="BL210" s="41" t="e">
        <f t="shared" si="3892"/>
        <v>#DIV/0!</v>
      </c>
      <c r="BM210" s="42" t="e">
        <f t="shared" si="3893"/>
        <v>#DIV/0!</v>
      </c>
      <c r="BN210" s="95" t="e">
        <f t="shared" si="3894"/>
        <v>#DIV/0!</v>
      </c>
      <c r="BO210" s="41" t="e">
        <f t="shared" si="3895"/>
        <v>#DIV/0!</v>
      </c>
      <c r="BP210" s="41" t="e">
        <f t="shared" si="3896"/>
        <v>#DIV/0!</v>
      </c>
      <c r="BQ210" s="41" t="e">
        <f t="shared" si="3897"/>
        <v>#DIV/0!</v>
      </c>
      <c r="BR210" s="41" t="e">
        <f t="shared" si="3898"/>
        <v>#DIV/0!</v>
      </c>
      <c r="BS210" s="42" t="e">
        <f t="shared" si="3899"/>
        <v>#DIV/0!</v>
      </c>
      <c r="BT210" s="95" t="e">
        <f t="shared" si="3900"/>
        <v>#DIV/0!</v>
      </c>
      <c r="BU210" s="41" t="e">
        <f t="shared" si="3901"/>
        <v>#DIV/0!</v>
      </c>
      <c r="BV210" s="41" t="e">
        <f t="shared" si="3902"/>
        <v>#DIV/0!</v>
      </c>
      <c r="BW210" s="41" t="e">
        <f t="shared" si="3903"/>
        <v>#DIV/0!</v>
      </c>
      <c r="BX210" s="42" t="e">
        <f t="shared" si="3904"/>
        <v>#DIV/0!</v>
      </c>
      <c r="BY210" s="95" t="e">
        <f t="shared" si="3905"/>
        <v>#DIV/0!</v>
      </c>
      <c r="BZ210" s="41" t="e">
        <f t="shared" si="3906"/>
        <v>#DIV/0!</v>
      </c>
      <c r="CA210" s="41" t="e">
        <f t="shared" si="3907"/>
        <v>#DIV/0!</v>
      </c>
      <c r="CB210" s="41" t="e">
        <f t="shared" si="3908"/>
        <v>#DIV/0!</v>
      </c>
      <c r="CC210" s="41" t="e">
        <f t="shared" si="3909"/>
        <v>#DIV/0!</v>
      </c>
      <c r="CD210" s="41" t="e">
        <f t="shared" si="3910"/>
        <v>#DIV/0!</v>
      </c>
      <c r="CE210" s="41" t="e">
        <f t="shared" si="3911"/>
        <v>#DIV/0!</v>
      </c>
      <c r="CF210" s="41" t="e">
        <f t="shared" si="3912"/>
        <v>#DIV/0!</v>
      </c>
      <c r="CG210" s="41" t="e">
        <f t="shared" si="3913"/>
        <v>#DIV/0!</v>
      </c>
      <c r="CH210" s="41" t="e">
        <f t="shared" si="3914"/>
        <v>#DIV/0!</v>
      </c>
      <c r="CI210" s="41" t="e">
        <f t="shared" si="3915"/>
        <v>#DIV/0!</v>
      </c>
      <c r="CJ210" s="42" t="e">
        <f t="shared" si="3916"/>
        <v>#DIV/0!</v>
      </c>
      <c r="CL210" s="36"/>
      <c r="CN210" s="95"/>
      <c r="CO210" s="41"/>
      <c r="CP210" s="41"/>
      <c r="CQ210" s="41"/>
      <c r="CR210" s="41"/>
      <c r="CS210" s="41"/>
      <c r="CT210" s="41"/>
      <c r="CU210" s="42"/>
      <c r="CV210" s="95"/>
      <c r="CW210" s="41"/>
      <c r="CX210" s="41"/>
      <c r="CY210" s="42"/>
      <c r="CZ210" s="95"/>
      <c r="DA210" s="41"/>
      <c r="DB210" s="41"/>
      <c r="DC210" s="41"/>
      <c r="DD210" s="41"/>
      <c r="DE210" s="42"/>
      <c r="DF210" s="95"/>
      <c r="DG210" s="41"/>
      <c r="DH210" s="41"/>
      <c r="DI210" s="41"/>
      <c r="DJ210" s="42"/>
      <c r="DK210" s="95"/>
      <c r="DL210" s="41"/>
      <c r="DM210" s="41"/>
      <c r="DN210" s="41"/>
      <c r="DO210" s="41"/>
      <c r="DP210" s="41"/>
      <c r="DQ210" s="41"/>
      <c r="DR210" s="41"/>
      <c r="DS210" s="41"/>
      <c r="DT210" s="41"/>
      <c r="DU210" s="41"/>
      <c r="DV210" s="42"/>
      <c r="DX210" s="138" t="e">
        <f t="shared" si="3847"/>
        <v>#DIV/0!</v>
      </c>
      <c r="DY210" s="34" t="e">
        <f t="shared" ref="DY210" si="3917">Q210/$E210</f>
        <v>#DIV/0!</v>
      </c>
      <c r="DZ210" s="34" t="e">
        <f t="shared" ref="DZ210" si="3918">R210/$E210</f>
        <v>#DIV/0!</v>
      </c>
      <c r="EA210" s="34" t="e">
        <f t="shared" ref="EA210" si="3919">S210/$E210</f>
        <v>#DIV/0!</v>
      </c>
      <c r="EB210" s="34" t="e">
        <f t="shared" ref="EB210" si="3920">T210/$E210</f>
        <v>#DIV/0!</v>
      </c>
      <c r="EC210" s="34" t="e">
        <f t="shared" ref="EC210" si="3921">U210/$E210</f>
        <v>#DIV/0!</v>
      </c>
      <c r="ED210" s="34" t="e">
        <f t="shared" ref="ED210" si="3922">V210/$E210</f>
        <v>#DIV/0!</v>
      </c>
      <c r="EE210" s="139" t="e">
        <f t="shared" ref="EE210" si="3923">W210/$E210</f>
        <v>#DIV/0!</v>
      </c>
      <c r="EF210" s="138" t="e">
        <f t="shared" ref="EF210" si="3924">X210/$E210</f>
        <v>#DIV/0!</v>
      </c>
      <c r="EG210" s="34" t="e">
        <f t="shared" ref="EG210" si="3925">Y210/$E210</f>
        <v>#DIV/0!</v>
      </c>
      <c r="EH210" s="34" t="e">
        <f t="shared" ref="EH210" si="3926">Z210/$E210</f>
        <v>#DIV/0!</v>
      </c>
      <c r="EI210" s="139" t="e">
        <f t="shared" ref="EI210" si="3927">AA210/$E210</f>
        <v>#DIV/0!</v>
      </c>
      <c r="EJ210" s="138" t="e">
        <f t="shared" ref="EJ210" si="3928">AB210/$E210</f>
        <v>#DIV/0!</v>
      </c>
      <c r="EK210" s="34" t="e">
        <f t="shared" ref="EK210" si="3929">AC210/$E210</f>
        <v>#DIV/0!</v>
      </c>
      <c r="EL210" s="34" t="e">
        <f t="shared" ref="EL210" si="3930">AD210/$E210</f>
        <v>#DIV/0!</v>
      </c>
      <c r="EM210" s="34" t="e">
        <f t="shared" ref="EM210" si="3931">AE210/$E210</f>
        <v>#DIV/0!</v>
      </c>
      <c r="EN210" s="34" t="e">
        <f t="shared" ref="EN210" si="3932">AF210/$E210</f>
        <v>#DIV/0!</v>
      </c>
      <c r="EO210" s="139" t="e">
        <f t="shared" ref="EO210" si="3933">AG210/$E210</f>
        <v>#DIV/0!</v>
      </c>
      <c r="EP210" s="138" t="e">
        <f t="shared" ref="EP210" si="3934">AH210/$E210</f>
        <v>#DIV/0!</v>
      </c>
      <c r="EQ210" s="34" t="e">
        <f t="shared" ref="EQ210" si="3935">AI210/$E210</f>
        <v>#DIV/0!</v>
      </c>
      <c r="ER210" s="34" t="e">
        <f t="shared" ref="ER210" si="3936">AJ210/$E210</f>
        <v>#DIV/0!</v>
      </c>
      <c r="ES210" s="34" t="e">
        <f t="shared" ref="ES210" si="3937">AK210/$E210</f>
        <v>#DIV/0!</v>
      </c>
      <c r="ET210" s="139" t="e">
        <f t="shared" ref="ET210" si="3938">AL210/$E210</f>
        <v>#DIV/0!</v>
      </c>
      <c r="EU210" s="138" t="e">
        <f t="shared" ref="EU210" si="3939">AM210/$E210</f>
        <v>#DIV/0!</v>
      </c>
      <c r="EV210" s="34" t="e">
        <f t="shared" ref="EV210" si="3940">AN210/$E210</f>
        <v>#DIV/0!</v>
      </c>
      <c r="EW210" s="34" t="e">
        <f t="shared" ref="EW210" si="3941">AO210/$E210</f>
        <v>#DIV/0!</v>
      </c>
      <c r="EX210" s="34" t="e">
        <f t="shared" ref="EX210" si="3942">AP210/$E210</f>
        <v>#DIV/0!</v>
      </c>
      <c r="EY210" s="34" t="e">
        <f t="shared" ref="EY210" si="3943">AQ210/$E210</f>
        <v>#DIV/0!</v>
      </c>
      <c r="EZ210" s="34" t="e">
        <f t="shared" ref="EZ210" si="3944">AR210/$E210</f>
        <v>#DIV/0!</v>
      </c>
      <c r="FA210" s="34" t="e">
        <f t="shared" ref="FA210" si="3945">AS210/$E210</f>
        <v>#DIV/0!</v>
      </c>
      <c r="FB210" s="34" t="e">
        <f t="shared" ref="FB210" si="3946">AT210/$E210</f>
        <v>#DIV/0!</v>
      </c>
      <c r="FC210" s="34" t="e">
        <f t="shared" ref="FC210" si="3947">AU210/$E210</f>
        <v>#DIV/0!</v>
      </c>
      <c r="FD210" s="34" t="e">
        <f t="shared" ref="FD210" si="3948">AV210/$E210</f>
        <v>#DIV/0!</v>
      </c>
      <c r="FE210" s="34" t="e">
        <f t="shared" ref="FE210" si="3949">AY210/$E210</f>
        <v>#DIV/0!</v>
      </c>
      <c r="FF210" s="139" t="e">
        <f t="shared" ref="FF210" si="3950">AZ210/$E210</f>
        <v>#DIV/0!</v>
      </c>
    </row>
    <row r="211" spans="2:162" x14ac:dyDescent="0.25">
      <c r="B211" s="177">
        <v>43178</v>
      </c>
      <c r="C211" s="271"/>
      <c r="D211" s="53"/>
      <c r="E211" s="129"/>
      <c r="F211" s="25"/>
      <c r="G211" s="25"/>
      <c r="H211" s="150"/>
      <c r="I211" s="24"/>
      <c r="J211" s="151"/>
      <c r="K211" s="151"/>
      <c r="L211" s="152">
        <v>12.1</v>
      </c>
      <c r="M211" s="152" t="e">
        <f t="shared" si="3844"/>
        <v>#DIV/0!</v>
      </c>
      <c r="N211" s="153" t="e">
        <f t="shared" si="3845"/>
        <v>#DIV/0!</v>
      </c>
      <c r="O211" s="25"/>
      <c r="P211" s="95"/>
      <c r="Q211" s="41"/>
      <c r="R211" s="41"/>
      <c r="S211" s="41"/>
      <c r="T211" s="41"/>
      <c r="U211" s="41"/>
      <c r="V211" s="41"/>
      <c r="W211" s="42"/>
      <c r="X211" s="95"/>
      <c r="Y211" s="41"/>
      <c r="Z211" s="41"/>
      <c r="AA211" s="42"/>
      <c r="AB211" s="95"/>
      <c r="AC211" s="41"/>
      <c r="AD211" s="41"/>
      <c r="AE211" s="41"/>
      <c r="AF211" s="41"/>
      <c r="AG211" s="42"/>
      <c r="AH211" s="95"/>
      <c r="AI211" s="41"/>
      <c r="AJ211" s="41"/>
      <c r="AK211" s="41"/>
      <c r="AL211" s="42"/>
      <c r="AM211" s="95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2"/>
      <c r="BB211" s="95" t="e">
        <f t="shared" si="3882"/>
        <v>#DIV/0!</v>
      </c>
      <c r="BC211" s="41" t="e">
        <f t="shared" si="3883"/>
        <v>#DIV/0!</v>
      </c>
      <c r="BD211" s="41" t="e">
        <f t="shared" si="3884"/>
        <v>#DIV/0!</v>
      </c>
      <c r="BE211" s="41" t="e">
        <f t="shared" si="3885"/>
        <v>#DIV/0!</v>
      </c>
      <c r="BF211" s="41" t="e">
        <f t="shared" si="3886"/>
        <v>#DIV/0!</v>
      </c>
      <c r="BG211" s="41" t="e">
        <f t="shared" si="3887"/>
        <v>#DIV/0!</v>
      </c>
      <c r="BH211" s="41" t="e">
        <f t="shared" si="3888"/>
        <v>#DIV/0!</v>
      </c>
      <c r="BI211" s="42" t="e">
        <f t="shared" si="3889"/>
        <v>#DIV/0!</v>
      </c>
      <c r="BJ211" s="95" t="e">
        <f t="shared" si="3890"/>
        <v>#DIV/0!</v>
      </c>
      <c r="BK211" s="41" t="e">
        <f t="shared" si="3891"/>
        <v>#DIV/0!</v>
      </c>
      <c r="BL211" s="41" t="e">
        <f t="shared" si="3892"/>
        <v>#DIV/0!</v>
      </c>
      <c r="BM211" s="42" t="e">
        <f t="shared" si="3893"/>
        <v>#DIV/0!</v>
      </c>
      <c r="BN211" s="95" t="e">
        <f t="shared" si="3894"/>
        <v>#DIV/0!</v>
      </c>
      <c r="BO211" s="41" t="e">
        <f t="shared" si="3895"/>
        <v>#DIV/0!</v>
      </c>
      <c r="BP211" s="41" t="e">
        <f t="shared" si="3896"/>
        <v>#DIV/0!</v>
      </c>
      <c r="BQ211" s="41" t="e">
        <f t="shared" si="3897"/>
        <v>#DIV/0!</v>
      </c>
      <c r="BR211" s="41" t="e">
        <f t="shared" si="3898"/>
        <v>#DIV/0!</v>
      </c>
      <c r="BS211" s="42" t="e">
        <f t="shared" si="3899"/>
        <v>#DIV/0!</v>
      </c>
      <c r="BT211" s="95" t="e">
        <f t="shared" si="3900"/>
        <v>#DIV/0!</v>
      </c>
      <c r="BU211" s="41" t="e">
        <f t="shared" si="3901"/>
        <v>#DIV/0!</v>
      </c>
      <c r="BV211" s="41" t="e">
        <f t="shared" si="3902"/>
        <v>#DIV/0!</v>
      </c>
      <c r="BW211" s="41" t="e">
        <f t="shared" si="3903"/>
        <v>#DIV/0!</v>
      </c>
      <c r="BX211" s="42" t="e">
        <f t="shared" si="3904"/>
        <v>#DIV/0!</v>
      </c>
      <c r="BY211" s="95" t="e">
        <f t="shared" si="3905"/>
        <v>#DIV/0!</v>
      </c>
      <c r="BZ211" s="41" t="e">
        <f t="shared" si="3906"/>
        <v>#DIV/0!</v>
      </c>
      <c r="CA211" s="41" t="e">
        <f t="shared" si="3907"/>
        <v>#DIV/0!</v>
      </c>
      <c r="CB211" s="41" t="e">
        <f t="shared" si="3908"/>
        <v>#DIV/0!</v>
      </c>
      <c r="CC211" s="41" t="e">
        <f t="shared" si="3909"/>
        <v>#DIV/0!</v>
      </c>
      <c r="CD211" s="41" t="e">
        <f t="shared" si="3910"/>
        <v>#DIV/0!</v>
      </c>
      <c r="CE211" s="41" t="e">
        <f t="shared" si="3911"/>
        <v>#DIV/0!</v>
      </c>
      <c r="CF211" s="41" t="e">
        <f t="shared" si="3912"/>
        <v>#DIV/0!</v>
      </c>
      <c r="CG211" s="41" t="e">
        <f t="shared" si="3913"/>
        <v>#DIV/0!</v>
      </c>
      <c r="CH211" s="41" t="e">
        <f t="shared" si="3914"/>
        <v>#DIV/0!</v>
      </c>
      <c r="CI211" s="41" t="e">
        <f t="shared" si="3915"/>
        <v>#DIV/0!</v>
      </c>
      <c r="CJ211" s="42" t="e">
        <f t="shared" si="3916"/>
        <v>#DIV/0!</v>
      </c>
      <c r="CL211" s="36"/>
      <c r="CN211" s="95"/>
      <c r="CO211" s="41"/>
      <c r="CP211" s="41"/>
      <c r="CQ211" s="41"/>
      <c r="CR211" s="41"/>
      <c r="CS211" s="41"/>
      <c r="CT211" s="41"/>
      <c r="CU211" s="42"/>
      <c r="CV211" s="95"/>
      <c r="CW211" s="41"/>
      <c r="CX211" s="41"/>
      <c r="CY211" s="42"/>
      <c r="CZ211" s="95"/>
      <c r="DA211" s="41"/>
      <c r="DB211" s="41"/>
      <c r="DC211" s="41"/>
      <c r="DD211" s="41"/>
      <c r="DE211" s="42"/>
      <c r="DF211" s="95"/>
      <c r="DG211" s="41"/>
      <c r="DH211" s="41"/>
      <c r="DI211" s="41"/>
      <c r="DJ211" s="42"/>
      <c r="DK211" s="95"/>
      <c r="DL211" s="41"/>
      <c r="DM211" s="41"/>
      <c r="DN211" s="41"/>
      <c r="DO211" s="41"/>
      <c r="DP211" s="41"/>
      <c r="DQ211" s="41"/>
      <c r="DR211" s="41"/>
      <c r="DS211" s="41"/>
      <c r="DT211" s="41"/>
      <c r="DU211" s="41"/>
      <c r="DV211" s="42"/>
      <c r="DX211" s="138" t="e">
        <f t="shared" si="3847"/>
        <v>#DIV/0!</v>
      </c>
      <c r="DY211" s="34" t="e">
        <f t="shared" si="3848"/>
        <v>#DIV/0!</v>
      </c>
      <c r="DZ211" s="34" t="e">
        <f t="shared" si="3849"/>
        <v>#DIV/0!</v>
      </c>
      <c r="EA211" s="34" t="e">
        <f t="shared" si="3850"/>
        <v>#DIV/0!</v>
      </c>
      <c r="EB211" s="34" t="e">
        <f t="shared" si="3851"/>
        <v>#DIV/0!</v>
      </c>
      <c r="EC211" s="34" t="e">
        <f t="shared" si="3852"/>
        <v>#DIV/0!</v>
      </c>
      <c r="ED211" s="34" t="e">
        <f t="shared" si="3853"/>
        <v>#DIV/0!</v>
      </c>
      <c r="EE211" s="139" t="e">
        <f t="shared" si="3854"/>
        <v>#DIV/0!</v>
      </c>
      <c r="EF211" s="138" t="e">
        <f t="shared" si="3855"/>
        <v>#DIV/0!</v>
      </c>
      <c r="EG211" s="34" t="e">
        <f t="shared" si="3856"/>
        <v>#DIV/0!</v>
      </c>
      <c r="EH211" s="34" t="e">
        <f t="shared" si="3857"/>
        <v>#DIV/0!</v>
      </c>
      <c r="EI211" s="139" t="e">
        <f t="shared" si="3858"/>
        <v>#DIV/0!</v>
      </c>
      <c r="EJ211" s="138" t="e">
        <f t="shared" si="3859"/>
        <v>#DIV/0!</v>
      </c>
      <c r="EK211" s="34" t="e">
        <f t="shared" si="3860"/>
        <v>#DIV/0!</v>
      </c>
      <c r="EL211" s="34" t="e">
        <f t="shared" si="3861"/>
        <v>#DIV/0!</v>
      </c>
      <c r="EM211" s="34" t="e">
        <f t="shared" si="3862"/>
        <v>#DIV/0!</v>
      </c>
      <c r="EN211" s="34" t="e">
        <f t="shared" si="3863"/>
        <v>#DIV/0!</v>
      </c>
      <c r="EO211" s="139" t="e">
        <f t="shared" si="3864"/>
        <v>#DIV/0!</v>
      </c>
      <c r="EP211" s="138" t="e">
        <f t="shared" si="3865"/>
        <v>#DIV/0!</v>
      </c>
      <c r="EQ211" s="34" t="e">
        <f t="shared" si="3866"/>
        <v>#DIV/0!</v>
      </c>
      <c r="ER211" s="34" t="e">
        <f t="shared" si="3867"/>
        <v>#DIV/0!</v>
      </c>
      <c r="ES211" s="34" t="e">
        <f t="shared" si="3868"/>
        <v>#DIV/0!</v>
      </c>
      <c r="ET211" s="139" t="e">
        <f t="shared" si="3869"/>
        <v>#DIV/0!</v>
      </c>
      <c r="EU211" s="138" t="e">
        <f t="shared" si="3870"/>
        <v>#DIV/0!</v>
      </c>
      <c r="EV211" s="34" t="e">
        <f t="shared" si="3871"/>
        <v>#DIV/0!</v>
      </c>
      <c r="EW211" s="34" t="e">
        <f t="shared" si="3872"/>
        <v>#DIV/0!</v>
      </c>
      <c r="EX211" s="34" t="e">
        <f t="shared" si="3873"/>
        <v>#DIV/0!</v>
      </c>
      <c r="EY211" s="34" t="e">
        <f t="shared" si="3874"/>
        <v>#DIV/0!</v>
      </c>
      <c r="EZ211" s="34" t="e">
        <f t="shared" si="3875"/>
        <v>#DIV/0!</v>
      </c>
      <c r="FA211" s="34" t="e">
        <f t="shared" si="3876"/>
        <v>#DIV/0!</v>
      </c>
      <c r="FB211" s="34" t="e">
        <f t="shared" si="3877"/>
        <v>#DIV/0!</v>
      </c>
      <c r="FC211" s="34" t="e">
        <f t="shared" si="3878"/>
        <v>#DIV/0!</v>
      </c>
      <c r="FD211" s="34" t="e">
        <f t="shared" si="3879"/>
        <v>#DIV/0!</v>
      </c>
      <c r="FE211" s="34" t="e">
        <f t="shared" si="3880"/>
        <v>#DIV/0!</v>
      </c>
      <c r="FF211" s="139" t="e">
        <f t="shared" si="3881"/>
        <v>#DIV/0!</v>
      </c>
    </row>
    <row r="212" spans="2:162" x14ac:dyDescent="0.25">
      <c r="B212" s="177">
        <v>43179</v>
      </c>
      <c r="C212" s="271"/>
      <c r="D212" s="53"/>
      <c r="E212" s="129"/>
      <c r="F212" s="25"/>
      <c r="G212" s="25"/>
      <c r="H212" s="150"/>
      <c r="I212" s="24"/>
      <c r="J212" s="151"/>
      <c r="K212" s="151"/>
      <c r="L212" s="152">
        <v>12.2</v>
      </c>
      <c r="M212" s="152" t="e">
        <f t="shared" si="3844"/>
        <v>#DIV/0!</v>
      </c>
      <c r="N212" s="153" t="e">
        <f t="shared" si="3845"/>
        <v>#DIV/0!</v>
      </c>
      <c r="O212" s="25"/>
      <c r="P212" s="95"/>
      <c r="Q212" s="41"/>
      <c r="R212" s="41"/>
      <c r="S212" s="41"/>
      <c r="T212" s="41"/>
      <c r="U212" s="41"/>
      <c r="V212" s="41"/>
      <c r="W212" s="42"/>
      <c r="X212" s="95"/>
      <c r="Y212" s="41"/>
      <c r="Z212" s="41"/>
      <c r="AA212" s="42"/>
      <c r="AB212" s="95"/>
      <c r="AC212" s="41"/>
      <c r="AD212" s="41"/>
      <c r="AE212" s="41"/>
      <c r="AF212" s="41"/>
      <c r="AG212" s="42"/>
      <c r="AH212" s="95"/>
      <c r="AI212" s="41"/>
      <c r="AJ212" s="41"/>
      <c r="AK212" s="41"/>
      <c r="AL212" s="42"/>
      <c r="AM212" s="95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2"/>
      <c r="BB212" s="95" t="e">
        <f t="shared" si="3882"/>
        <v>#DIV/0!</v>
      </c>
      <c r="BC212" s="41" t="e">
        <f t="shared" si="3883"/>
        <v>#DIV/0!</v>
      </c>
      <c r="BD212" s="41" t="e">
        <f t="shared" si="3884"/>
        <v>#DIV/0!</v>
      </c>
      <c r="BE212" s="41" t="e">
        <f t="shared" si="3885"/>
        <v>#DIV/0!</v>
      </c>
      <c r="BF212" s="41" t="e">
        <f t="shared" si="3886"/>
        <v>#DIV/0!</v>
      </c>
      <c r="BG212" s="41" t="e">
        <f t="shared" si="3887"/>
        <v>#DIV/0!</v>
      </c>
      <c r="BH212" s="41" t="e">
        <f t="shared" si="3888"/>
        <v>#DIV/0!</v>
      </c>
      <c r="BI212" s="42" t="e">
        <f t="shared" si="3889"/>
        <v>#DIV/0!</v>
      </c>
      <c r="BJ212" s="95" t="e">
        <f t="shared" si="3890"/>
        <v>#DIV/0!</v>
      </c>
      <c r="BK212" s="41" t="e">
        <f t="shared" si="3891"/>
        <v>#DIV/0!</v>
      </c>
      <c r="BL212" s="41" t="e">
        <f t="shared" si="3892"/>
        <v>#DIV/0!</v>
      </c>
      <c r="BM212" s="42" t="e">
        <f t="shared" si="3893"/>
        <v>#DIV/0!</v>
      </c>
      <c r="BN212" s="95" t="e">
        <f t="shared" si="3894"/>
        <v>#DIV/0!</v>
      </c>
      <c r="BO212" s="41" t="e">
        <f t="shared" si="3895"/>
        <v>#DIV/0!</v>
      </c>
      <c r="BP212" s="41" t="e">
        <f t="shared" si="3896"/>
        <v>#DIV/0!</v>
      </c>
      <c r="BQ212" s="41" t="e">
        <f t="shared" si="3897"/>
        <v>#DIV/0!</v>
      </c>
      <c r="BR212" s="41" t="e">
        <f t="shared" si="3898"/>
        <v>#DIV/0!</v>
      </c>
      <c r="BS212" s="42" t="e">
        <f t="shared" si="3899"/>
        <v>#DIV/0!</v>
      </c>
      <c r="BT212" s="95" t="e">
        <f t="shared" si="3900"/>
        <v>#DIV/0!</v>
      </c>
      <c r="BU212" s="41" t="e">
        <f t="shared" si="3901"/>
        <v>#DIV/0!</v>
      </c>
      <c r="BV212" s="41" t="e">
        <f t="shared" si="3902"/>
        <v>#DIV/0!</v>
      </c>
      <c r="BW212" s="41" t="e">
        <f t="shared" si="3903"/>
        <v>#DIV/0!</v>
      </c>
      <c r="BX212" s="42" t="e">
        <f t="shared" si="3904"/>
        <v>#DIV/0!</v>
      </c>
      <c r="BY212" s="95" t="e">
        <f t="shared" si="3905"/>
        <v>#DIV/0!</v>
      </c>
      <c r="BZ212" s="41" t="e">
        <f t="shared" si="3906"/>
        <v>#DIV/0!</v>
      </c>
      <c r="CA212" s="41" t="e">
        <f t="shared" si="3907"/>
        <v>#DIV/0!</v>
      </c>
      <c r="CB212" s="41" t="e">
        <f t="shared" si="3908"/>
        <v>#DIV/0!</v>
      </c>
      <c r="CC212" s="41" t="e">
        <f t="shared" si="3909"/>
        <v>#DIV/0!</v>
      </c>
      <c r="CD212" s="41" t="e">
        <f t="shared" si="3910"/>
        <v>#DIV/0!</v>
      </c>
      <c r="CE212" s="41" t="e">
        <f t="shared" si="3911"/>
        <v>#DIV/0!</v>
      </c>
      <c r="CF212" s="41" t="e">
        <f t="shared" si="3912"/>
        <v>#DIV/0!</v>
      </c>
      <c r="CG212" s="41" t="e">
        <f t="shared" si="3913"/>
        <v>#DIV/0!</v>
      </c>
      <c r="CH212" s="41" t="e">
        <f t="shared" si="3914"/>
        <v>#DIV/0!</v>
      </c>
      <c r="CI212" s="41" t="e">
        <f t="shared" si="3915"/>
        <v>#DIV/0!</v>
      </c>
      <c r="CJ212" s="42" t="e">
        <f t="shared" si="3916"/>
        <v>#DIV/0!</v>
      </c>
      <c r="CL212" s="36"/>
      <c r="CN212" s="95"/>
      <c r="CO212" s="41"/>
      <c r="CP212" s="41"/>
      <c r="CQ212" s="41"/>
      <c r="CR212" s="41"/>
      <c r="CS212" s="41"/>
      <c r="CT212" s="41"/>
      <c r="CU212" s="42"/>
      <c r="CV212" s="95"/>
      <c r="CW212" s="41"/>
      <c r="CX212" s="41"/>
      <c r="CY212" s="42"/>
      <c r="CZ212" s="95"/>
      <c r="DA212" s="41"/>
      <c r="DB212" s="41"/>
      <c r="DC212" s="41"/>
      <c r="DD212" s="41"/>
      <c r="DE212" s="42"/>
      <c r="DF212" s="95"/>
      <c r="DG212" s="41"/>
      <c r="DH212" s="41"/>
      <c r="DI212" s="41"/>
      <c r="DJ212" s="42"/>
      <c r="DK212" s="95"/>
      <c r="DL212" s="41"/>
      <c r="DM212" s="41"/>
      <c r="DN212" s="41"/>
      <c r="DO212" s="41"/>
      <c r="DP212" s="41"/>
      <c r="DQ212" s="41"/>
      <c r="DR212" s="41"/>
      <c r="DS212" s="41"/>
      <c r="DT212" s="41"/>
      <c r="DU212" s="41"/>
      <c r="DV212" s="42"/>
      <c r="DX212" s="138" t="e">
        <f t="shared" si="3847"/>
        <v>#DIV/0!</v>
      </c>
      <c r="DY212" s="34" t="e">
        <f t="shared" si="3848"/>
        <v>#DIV/0!</v>
      </c>
      <c r="DZ212" s="34" t="e">
        <f t="shared" si="3849"/>
        <v>#DIV/0!</v>
      </c>
      <c r="EA212" s="34" t="e">
        <f t="shared" si="3850"/>
        <v>#DIV/0!</v>
      </c>
      <c r="EB212" s="34" t="e">
        <f t="shared" si="3851"/>
        <v>#DIV/0!</v>
      </c>
      <c r="EC212" s="34" t="e">
        <f t="shared" si="3852"/>
        <v>#DIV/0!</v>
      </c>
      <c r="ED212" s="34" t="e">
        <f t="shared" si="3853"/>
        <v>#DIV/0!</v>
      </c>
      <c r="EE212" s="139" t="e">
        <f t="shared" si="3854"/>
        <v>#DIV/0!</v>
      </c>
      <c r="EF212" s="138" t="e">
        <f t="shared" si="3855"/>
        <v>#DIV/0!</v>
      </c>
      <c r="EG212" s="34" t="e">
        <f t="shared" si="3856"/>
        <v>#DIV/0!</v>
      </c>
      <c r="EH212" s="34" t="e">
        <f t="shared" si="3857"/>
        <v>#DIV/0!</v>
      </c>
      <c r="EI212" s="139" t="e">
        <f t="shared" si="3858"/>
        <v>#DIV/0!</v>
      </c>
      <c r="EJ212" s="138" t="e">
        <f t="shared" si="3859"/>
        <v>#DIV/0!</v>
      </c>
      <c r="EK212" s="34" t="e">
        <f t="shared" si="3860"/>
        <v>#DIV/0!</v>
      </c>
      <c r="EL212" s="34" t="e">
        <f t="shared" si="3861"/>
        <v>#DIV/0!</v>
      </c>
      <c r="EM212" s="34" t="e">
        <f t="shared" si="3862"/>
        <v>#DIV/0!</v>
      </c>
      <c r="EN212" s="34" t="e">
        <f t="shared" si="3863"/>
        <v>#DIV/0!</v>
      </c>
      <c r="EO212" s="139" t="e">
        <f t="shared" si="3864"/>
        <v>#DIV/0!</v>
      </c>
      <c r="EP212" s="138" t="e">
        <f t="shared" si="3865"/>
        <v>#DIV/0!</v>
      </c>
      <c r="EQ212" s="34" t="e">
        <f t="shared" si="3866"/>
        <v>#DIV/0!</v>
      </c>
      <c r="ER212" s="34" t="e">
        <f t="shared" si="3867"/>
        <v>#DIV/0!</v>
      </c>
      <c r="ES212" s="34" t="e">
        <f t="shared" si="3868"/>
        <v>#DIV/0!</v>
      </c>
      <c r="ET212" s="139" t="e">
        <f t="shared" si="3869"/>
        <v>#DIV/0!</v>
      </c>
      <c r="EU212" s="138" t="e">
        <f t="shared" si="3870"/>
        <v>#DIV/0!</v>
      </c>
      <c r="EV212" s="34" t="e">
        <f t="shared" si="3871"/>
        <v>#DIV/0!</v>
      </c>
      <c r="EW212" s="34" t="e">
        <f t="shared" si="3872"/>
        <v>#DIV/0!</v>
      </c>
      <c r="EX212" s="34" t="e">
        <f t="shared" si="3873"/>
        <v>#DIV/0!</v>
      </c>
      <c r="EY212" s="34" t="e">
        <f t="shared" si="3874"/>
        <v>#DIV/0!</v>
      </c>
      <c r="EZ212" s="34" t="e">
        <f t="shared" si="3875"/>
        <v>#DIV/0!</v>
      </c>
      <c r="FA212" s="34" t="e">
        <f t="shared" si="3876"/>
        <v>#DIV/0!</v>
      </c>
      <c r="FB212" s="34" t="e">
        <f t="shared" si="3877"/>
        <v>#DIV/0!</v>
      </c>
      <c r="FC212" s="34" t="e">
        <f t="shared" si="3878"/>
        <v>#DIV/0!</v>
      </c>
      <c r="FD212" s="34" t="e">
        <f t="shared" si="3879"/>
        <v>#DIV/0!</v>
      </c>
      <c r="FE212" s="34" t="e">
        <f t="shared" si="3880"/>
        <v>#DIV/0!</v>
      </c>
      <c r="FF212" s="139" t="e">
        <f t="shared" si="3881"/>
        <v>#DIV/0!</v>
      </c>
    </row>
    <row r="213" spans="2:162" x14ac:dyDescent="0.25">
      <c r="B213" s="177">
        <v>43183</v>
      </c>
      <c r="C213" s="271"/>
      <c r="D213" s="53"/>
      <c r="E213" s="129"/>
      <c r="F213" s="25"/>
      <c r="G213" s="25"/>
      <c r="H213" s="150"/>
      <c r="I213" s="24"/>
      <c r="J213" s="151"/>
      <c r="K213" s="151"/>
      <c r="L213" s="152">
        <v>12.4</v>
      </c>
      <c r="M213" s="152" t="e">
        <f t="shared" si="3844"/>
        <v>#DIV/0!</v>
      </c>
      <c r="N213" s="153" t="e">
        <f t="shared" si="3845"/>
        <v>#DIV/0!</v>
      </c>
      <c r="O213" s="25"/>
      <c r="P213" s="95"/>
      <c r="Q213" s="41"/>
      <c r="R213" s="41"/>
      <c r="S213" s="41"/>
      <c r="T213" s="41"/>
      <c r="U213" s="41"/>
      <c r="V213" s="41"/>
      <c r="W213" s="42"/>
      <c r="X213" s="95"/>
      <c r="Y213" s="41"/>
      <c r="Z213" s="41"/>
      <c r="AA213" s="42"/>
      <c r="AB213" s="95"/>
      <c r="AC213" s="41"/>
      <c r="AD213" s="41"/>
      <c r="AE213" s="41"/>
      <c r="AF213" s="41"/>
      <c r="AG213" s="42"/>
      <c r="AH213" s="95"/>
      <c r="AI213" s="41"/>
      <c r="AJ213" s="41"/>
      <c r="AK213" s="41"/>
      <c r="AL213" s="42"/>
      <c r="AM213" s="95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2"/>
      <c r="BB213" s="95" t="e">
        <f t="shared" si="3882"/>
        <v>#DIV/0!</v>
      </c>
      <c r="BC213" s="41" t="e">
        <f t="shared" si="3883"/>
        <v>#DIV/0!</v>
      </c>
      <c r="BD213" s="41" t="e">
        <f t="shared" si="3884"/>
        <v>#DIV/0!</v>
      </c>
      <c r="BE213" s="41" t="e">
        <f t="shared" si="3885"/>
        <v>#DIV/0!</v>
      </c>
      <c r="BF213" s="41" t="e">
        <f t="shared" si="3886"/>
        <v>#DIV/0!</v>
      </c>
      <c r="BG213" s="41" t="e">
        <f t="shared" si="3887"/>
        <v>#DIV/0!</v>
      </c>
      <c r="BH213" s="41" t="e">
        <f t="shared" si="3888"/>
        <v>#DIV/0!</v>
      </c>
      <c r="BI213" s="42" t="e">
        <f t="shared" si="3889"/>
        <v>#DIV/0!</v>
      </c>
      <c r="BJ213" s="95" t="e">
        <f t="shared" si="3890"/>
        <v>#DIV/0!</v>
      </c>
      <c r="BK213" s="41" t="e">
        <f t="shared" si="3891"/>
        <v>#DIV/0!</v>
      </c>
      <c r="BL213" s="41" t="e">
        <f t="shared" si="3892"/>
        <v>#DIV/0!</v>
      </c>
      <c r="BM213" s="42" t="e">
        <f t="shared" si="3893"/>
        <v>#DIV/0!</v>
      </c>
      <c r="BN213" s="95" t="e">
        <f t="shared" si="3894"/>
        <v>#DIV/0!</v>
      </c>
      <c r="BO213" s="41" t="e">
        <f t="shared" si="3895"/>
        <v>#DIV/0!</v>
      </c>
      <c r="BP213" s="41" t="e">
        <f t="shared" si="3896"/>
        <v>#DIV/0!</v>
      </c>
      <c r="BQ213" s="41" t="e">
        <f t="shared" si="3897"/>
        <v>#DIV/0!</v>
      </c>
      <c r="BR213" s="41" t="e">
        <f t="shared" si="3898"/>
        <v>#DIV/0!</v>
      </c>
      <c r="BS213" s="42" t="e">
        <f t="shared" si="3899"/>
        <v>#DIV/0!</v>
      </c>
      <c r="BT213" s="95" t="e">
        <f t="shared" si="3900"/>
        <v>#DIV/0!</v>
      </c>
      <c r="BU213" s="41" t="e">
        <f t="shared" si="3901"/>
        <v>#DIV/0!</v>
      </c>
      <c r="BV213" s="41" t="e">
        <f t="shared" si="3902"/>
        <v>#DIV/0!</v>
      </c>
      <c r="BW213" s="41" t="e">
        <f t="shared" si="3903"/>
        <v>#DIV/0!</v>
      </c>
      <c r="BX213" s="42" t="e">
        <f t="shared" si="3904"/>
        <v>#DIV/0!</v>
      </c>
      <c r="BY213" s="95" t="e">
        <f t="shared" si="3905"/>
        <v>#DIV/0!</v>
      </c>
      <c r="BZ213" s="41" t="e">
        <f t="shared" si="3906"/>
        <v>#DIV/0!</v>
      </c>
      <c r="CA213" s="41" t="e">
        <f t="shared" si="3907"/>
        <v>#DIV/0!</v>
      </c>
      <c r="CB213" s="41" t="e">
        <f t="shared" si="3908"/>
        <v>#DIV/0!</v>
      </c>
      <c r="CC213" s="41" t="e">
        <f t="shared" si="3909"/>
        <v>#DIV/0!</v>
      </c>
      <c r="CD213" s="41" t="e">
        <f t="shared" si="3910"/>
        <v>#DIV/0!</v>
      </c>
      <c r="CE213" s="41" t="e">
        <f t="shared" si="3911"/>
        <v>#DIV/0!</v>
      </c>
      <c r="CF213" s="41" t="e">
        <f t="shared" si="3912"/>
        <v>#DIV/0!</v>
      </c>
      <c r="CG213" s="41" t="e">
        <f t="shared" si="3913"/>
        <v>#DIV/0!</v>
      </c>
      <c r="CH213" s="41" t="e">
        <f t="shared" si="3914"/>
        <v>#DIV/0!</v>
      </c>
      <c r="CI213" s="41" t="e">
        <f t="shared" si="3915"/>
        <v>#DIV/0!</v>
      </c>
      <c r="CJ213" s="42" t="e">
        <f t="shared" si="3916"/>
        <v>#DIV/0!</v>
      </c>
      <c r="CL213" s="36"/>
      <c r="CN213" s="95"/>
      <c r="CO213" s="41"/>
      <c r="CP213" s="41"/>
      <c r="CQ213" s="41"/>
      <c r="CR213" s="41"/>
      <c r="CS213" s="41"/>
      <c r="CT213" s="41"/>
      <c r="CU213" s="42"/>
      <c r="CV213" s="95"/>
      <c r="CW213" s="41"/>
      <c r="CX213" s="41"/>
      <c r="CY213" s="42"/>
      <c r="CZ213" s="95"/>
      <c r="DA213" s="41"/>
      <c r="DB213" s="41"/>
      <c r="DC213" s="41"/>
      <c r="DD213" s="41"/>
      <c r="DE213" s="42"/>
      <c r="DF213" s="95"/>
      <c r="DG213" s="41"/>
      <c r="DH213" s="41"/>
      <c r="DI213" s="41"/>
      <c r="DJ213" s="42"/>
      <c r="DK213" s="95"/>
      <c r="DL213" s="41"/>
      <c r="DM213" s="41"/>
      <c r="DN213" s="41"/>
      <c r="DO213" s="41"/>
      <c r="DP213" s="41"/>
      <c r="DQ213" s="41"/>
      <c r="DR213" s="41"/>
      <c r="DS213" s="41"/>
      <c r="DT213" s="41"/>
      <c r="DU213" s="41"/>
      <c r="DV213" s="42"/>
      <c r="DX213" s="138" t="e">
        <f t="shared" si="3847"/>
        <v>#DIV/0!</v>
      </c>
      <c r="DY213" s="34" t="e">
        <f t="shared" si="3848"/>
        <v>#DIV/0!</v>
      </c>
      <c r="DZ213" s="34" t="e">
        <f t="shared" si="3849"/>
        <v>#DIV/0!</v>
      </c>
      <c r="EA213" s="34" t="e">
        <f t="shared" si="3850"/>
        <v>#DIV/0!</v>
      </c>
      <c r="EB213" s="34" t="e">
        <f t="shared" si="3851"/>
        <v>#DIV/0!</v>
      </c>
      <c r="EC213" s="34" t="e">
        <f t="shared" si="3852"/>
        <v>#DIV/0!</v>
      </c>
      <c r="ED213" s="34" t="e">
        <f t="shared" si="3853"/>
        <v>#DIV/0!</v>
      </c>
      <c r="EE213" s="139" t="e">
        <f t="shared" si="3854"/>
        <v>#DIV/0!</v>
      </c>
      <c r="EF213" s="138" t="e">
        <f t="shared" si="3855"/>
        <v>#DIV/0!</v>
      </c>
      <c r="EG213" s="34" t="e">
        <f t="shared" si="3856"/>
        <v>#DIV/0!</v>
      </c>
      <c r="EH213" s="34" t="e">
        <f t="shared" si="3857"/>
        <v>#DIV/0!</v>
      </c>
      <c r="EI213" s="139" t="e">
        <f t="shared" si="3858"/>
        <v>#DIV/0!</v>
      </c>
      <c r="EJ213" s="138" t="e">
        <f t="shared" si="3859"/>
        <v>#DIV/0!</v>
      </c>
      <c r="EK213" s="34" t="e">
        <f t="shared" si="3860"/>
        <v>#DIV/0!</v>
      </c>
      <c r="EL213" s="34" t="e">
        <f t="shared" si="3861"/>
        <v>#DIV/0!</v>
      </c>
      <c r="EM213" s="34" t="e">
        <f t="shared" si="3862"/>
        <v>#DIV/0!</v>
      </c>
      <c r="EN213" s="34" t="e">
        <f t="shared" si="3863"/>
        <v>#DIV/0!</v>
      </c>
      <c r="EO213" s="139" t="e">
        <f t="shared" si="3864"/>
        <v>#DIV/0!</v>
      </c>
      <c r="EP213" s="138" t="e">
        <f t="shared" si="3865"/>
        <v>#DIV/0!</v>
      </c>
      <c r="EQ213" s="34" t="e">
        <f t="shared" si="3866"/>
        <v>#DIV/0!</v>
      </c>
      <c r="ER213" s="34" t="e">
        <f t="shared" si="3867"/>
        <v>#DIV/0!</v>
      </c>
      <c r="ES213" s="34" t="e">
        <f t="shared" si="3868"/>
        <v>#DIV/0!</v>
      </c>
      <c r="ET213" s="139" t="e">
        <f t="shared" si="3869"/>
        <v>#DIV/0!</v>
      </c>
      <c r="EU213" s="138" t="e">
        <f t="shared" si="3870"/>
        <v>#DIV/0!</v>
      </c>
      <c r="EV213" s="34" t="e">
        <f t="shared" si="3871"/>
        <v>#DIV/0!</v>
      </c>
      <c r="EW213" s="34" t="e">
        <f t="shared" si="3872"/>
        <v>#DIV/0!</v>
      </c>
      <c r="EX213" s="34" t="e">
        <f t="shared" si="3873"/>
        <v>#DIV/0!</v>
      </c>
      <c r="EY213" s="34" t="e">
        <f t="shared" si="3874"/>
        <v>#DIV/0!</v>
      </c>
      <c r="EZ213" s="34" t="e">
        <f t="shared" si="3875"/>
        <v>#DIV/0!</v>
      </c>
      <c r="FA213" s="34" t="e">
        <f t="shared" si="3876"/>
        <v>#DIV/0!</v>
      </c>
      <c r="FB213" s="34" t="e">
        <f t="shared" si="3877"/>
        <v>#DIV/0!</v>
      </c>
      <c r="FC213" s="34" t="e">
        <f t="shared" si="3878"/>
        <v>#DIV/0!</v>
      </c>
      <c r="FD213" s="34" t="e">
        <f t="shared" si="3879"/>
        <v>#DIV/0!</v>
      </c>
      <c r="FE213" s="34" t="e">
        <f t="shared" si="3880"/>
        <v>#DIV/0!</v>
      </c>
      <c r="FF213" s="139" t="e">
        <f t="shared" si="3881"/>
        <v>#DIV/0!</v>
      </c>
    </row>
    <row r="214" spans="2:162" ht="16.5" thickBot="1" x14ac:dyDescent="0.3">
      <c r="B214" s="177">
        <v>43189</v>
      </c>
      <c r="C214" s="287"/>
      <c r="D214" s="100"/>
      <c r="E214" s="131"/>
      <c r="F214" s="25"/>
      <c r="G214" s="25"/>
      <c r="H214" s="171"/>
      <c r="I214" s="172"/>
      <c r="J214" s="173"/>
      <c r="K214" s="173"/>
      <c r="L214" s="174">
        <v>12.8</v>
      </c>
      <c r="M214" s="174" t="e">
        <f t="shared" si="3844"/>
        <v>#DIV/0!</v>
      </c>
      <c r="N214" s="175" t="e">
        <f t="shared" si="3845"/>
        <v>#DIV/0!</v>
      </c>
      <c r="O214" s="25"/>
      <c r="P214" s="96"/>
      <c r="Q214" s="76"/>
      <c r="R214" s="76"/>
      <c r="S214" s="76"/>
      <c r="T214" s="76"/>
      <c r="U214" s="76"/>
      <c r="V214" s="76"/>
      <c r="W214" s="77"/>
      <c r="X214" s="96"/>
      <c r="Y214" s="76"/>
      <c r="Z214" s="76"/>
      <c r="AA214" s="77"/>
      <c r="AB214" s="96"/>
      <c r="AC214" s="76"/>
      <c r="AD214" s="76"/>
      <c r="AE214" s="76"/>
      <c r="AF214" s="76"/>
      <c r="AG214" s="77"/>
      <c r="AH214" s="96"/>
      <c r="AI214" s="76"/>
      <c r="AJ214" s="76"/>
      <c r="AK214" s="76"/>
      <c r="AL214" s="77"/>
      <c r="AM214" s="96"/>
      <c r="AN214" s="76"/>
      <c r="AO214" s="76"/>
      <c r="AP214" s="76"/>
      <c r="AQ214" s="76"/>
      <c r="AR214" s="76"/>
      <c r="AS214" s="76"/>
      <c r="AT214" s="76"/>
      <c r="AU214" s="76"/>
      <c r="AV214" s="76"/>
      <c r="AW214" s="76"/>
      <c r="AX214" s="76"/>
      <c r="AY214" s="76"/>
      <c r="AZ214" s="77"/>
      <c r="BB214" s="293">
        <v>0</v>
      </c>
      <c r="BC214" s="294">
        <v>0</v>
      </c>
      <c r="BD214" s="294">
        <v>0</v>
      </c>
      <c r="BE214" s="294">
        <v>0</v>
      </c>
      <c r="BF214" s="294">
        <v>0</v>
      </c>
      <c r="BG214" s="294">
        <v>0</v>
      </c>
      <c r="BH214" s="294">
        <v>0</v>
      </c>
      <c r="BI214" s="295">
        <v>0</v>
      </c>
      <c r="BJ214" s="293">
        <v>0</v>
      </c>
      <c r="BK214" s="294">
        <v>0</v>
      </c>
      <c r="BL214" s="294">
        <v>0</v>
      </c>
      <c r="BM214" s="295">
        <v>0</v>
      </c>
      <c r="BN214" s="293">
        <v>0</v>
      </c>
      <c r="BO214" s="294">
        <v>0</v>
      </c>
      <c r="BP214" s="294">
        <v>0</v>
      </c>
      <c r="BQ214" s="294">
        <v>0</v>
      </c>
      <c r="BR214" s="294">
        <v>0</v>
      </c>
      <c r="BS214" s="295">
        <v>0</v>
      </c>
      <c r="BT214" s="293">
        <v>0</v>
      </c>
      <c r="BU214" s="294">
        <v>0</v>
      </c>
      <c r="BV214" s="294">
        <v>0</v>
      </c>
      <c r="BW214" s="294">
        <v>0</v>
      </c>
      <c r="BX214" s="295">
        <v>0</v>
      </c>
      <c r="BY214" s="293">
        <v>0</v>
      </c>
      <c r="BZ214" s="294">
        <v>0</v>
      </c>
      <c r="CA214" s="294">
        <v>0</v>
      </c>
      <c r="CB214" s="294">
        <v>0</v>
      </c>
      <c r="CC214" s="294">
        <v>0</v>
      </c>
      <c r="CD214" s="294">
        <v>0</v>
      </c>
      <c r="CE214" s="294">
        <v>0</v>
      </c>
      <c r="CF214" s="294">
        <v>0</v>
      </c>
      <c r="CG214" s="294">
        <v>0</v>
      </c>
      <c r="CH214" s="294">
        <v>0</v>
      </c>
      <c r="CI214" s="294">
        <v>0</v>
      </c>
      <c r="CJ214" s="295">
        <v>0</v>
      </c>
      <c r="CN214" s="96"/>
      <c r="CO214" s="76"/>
      <c r="CP214" s="76"/>
      <c r="CQ214" s="76"/>
      <c r="CR214" s="76"/>
      <c r="CS214" s="76"/>
      <c r="CT214" s="76"/>
      <c r="CU214" s="77"/>
      <c r="CV214" s="96"/>
      <c r="CW214" s="76"/>
      <c r="CX214" s="76"/>
      <c r="CY214" s="77"/>
      <c r="CZ214" s="96"/>
      <c r="DA214" s="76"/>
      <c r="DB214" s="76"/>
      <c r="DC214" s="76"/>
      <c r="DD214" s="76"/>
      <c r="DE214" s="77"/>
      <c r="DF214" s="96"/>
      <c r="DG214" s="76"/>
      <c r="DH214" s="76"/>
      <c r="DI214" s="76"/>
      <c r="DJ214" s="77"/>
      <c r="DK214" s="96"/>
      <c r="DL214" s="76"/>
      <c r="DM214" s="76"/>
      <c r="DN214" s="76"/>
      <c r="DO214" s="76"/>
      <c r="DP214" s="76"/>
      <c r="DQ214" s="76"/>
      <c r="DR214" s="76"/>
      <c r="DS214" s="76"/>
      <c r="DT214" s="76"/>
      <c r="DU214" s="76"/>
      <c r="DV214" s="77"/>
      <c r="DX214" s="140" t="e">
        <f t="shared" si="3847"/>
        <v>#DIV/0!</v>
      </c>
      <c r="DY214" s="141" t="e">
        <f t="shared" si="3848"/>
        <v>#DIV/0!</v>
      </c>
      <c r="DZ214" s="141" t="e">
        <f t="shared" si="3849"/>
        <v>#DIV/0!</v>
      </c>
      <c r="EA214" s="141" t="e">
        <f t="shared" si="3850"/>
        <v>#DIV/0!</v>
      </c>
      <c r="EB214" s="141" t="e">
        <f t="shared" si="3851"/>
        <v>#DIV/0!</v>
      </c>
      <c r="EC214" s="141" t="e">
        <f t="shared" si="3852"/>
        <v>#DIV/0!</v>
      </c>
      <c r="ED214" s="141" t="e">
        <f t="shared" si="3853"/>
        <v>#DIV/0!</v>
      </c>
      <c r="EE214" s="142" t="e">
        <f t="shared" si="3854"/>
        <v>#DIV/0!</v>
      </c>
      <c r="EF214" s="140" t="e">
        <f t="shared" si="3855"/>
        <v>#DIV/0!</v>
      </c>
      <c r="EG214" s="141" t="e">
        <f t="shared" si="3856"/>
        <v>#DIV/0!</v>
      </c>
      <c r="EH214" s="141" t="e">
        <f t="shared" si="3857"/>
        <v>#DIV/0!</v>
      </c>
      <c r="EI214" s="142" t="e">
        <f t="shared" si="3858"/>
        <v>#DIV/0!</v>
      </c>
      <c r="EJ214" s="140" t="e">
        <f t="shared" si="3859"/>
        <v>#DIV/0!</v>
      </c>
      <c r="EK214" s="141" t="e">
        <f t="shared" si="3860"/>
        <v>#DIV/0!</v>
      </c>
      <c r="EL214" s="141" t="e">
        <f t="shared" si="3861"/>
        <v>#DIV/0!</v>
      </c>
      <c r="EM214" s="141" t="e">
        <f t="shared" si="3862"/>
        <v>#DIV/0!</v>
      </c>
      <c r="EN214" s="141" t="e">
        <f t="shared" si="3863"/>
        <v>#DIV/0!</v>
      </c>
      <c r="EO214" s="142" t="e">
        <f t="shared" si="3864"/>
        <v>#DIV/0!</v>
      </c>
      <c r="EP214" s="140" t="e">
        <f t="shared" si="3865"/>
        <v>#DIV/0!</v>
      </c>
      <c r="EQ214" s="141" t="e">
        <f t="shared" si="3866"/>
        <v>#DIV/0!</v>
      </c>
      <c r="ER214" s="141" t="e">
        <f t="shared" si="3867"/>
        <v>#DIV/0!</v>
      </c>
      <c r="ES214" s="141" t="e">
        <f t="shared" si="3868"/>
        <v>#DIV/0!</v>
      </c>
      <c r="ET214" s="142" t="e">
        <f t="shared" si="3869"/>
        <v>#DIV/0!</v>
      </c>
      <c r="EU214" s="140" t="e">
        <f t="shared" si="3870"/>
        <v>#DIV/0!</v>
      </c>
      <c r="EV214" s="141" t="e">
        <f t="shared" si="3871"/>
        <v>#DIV/0!</v>
      </c>
      <c r="EW214" s="141" t="e">
        <f t="shared" si="3872"/>
        <v>#DIV/0!</v>
      </c>
      <c r="EX214" s="141" t="e">
        <f t="shared" si="3873"/>
        <v>#DIV/0!</v>
      </c>
      <c r="EY214" s="141" t="e">
        <f t="shared" si="3874"/>
        <v>#DIV/0!</v>
      </c>
      <c r="EZ214" s="141" t="e">
        <f t="shared" si="3875"/>
        <v>#DIV/0!</v>
      </c>
      <c r="FA214" s="141" t="e">
        <f t="shared" si="3876"/>
        <v>#DIV/0!</v>
      </c>
      <c r="FB214" s="141" t="e">
        <f t="shared" si="3877"/>
        <v>#DIV/0!</v>
      </c>
      <c r="FC214" s="141" t="e">
        <f t="shared" si="3878"/>
        <v>#DIV/0!</v>
      </c>
      <c r="FD214" s="141" t="e">
        <f t="shared" si="3879"/>
        <v>#DIV/0!</v>
      </c>
      <c r="FE214" s="141" t="e">
        <f t="shared" si="3880"/>
        <v>#DIV/0!</v>
      </c>
      <c r="FF214" s="142" t="e">
        <f t="shared" si="3881"/>
        <v>#DIV/0!</v>
      </c>
    </row>
    <row r="215" spans="2:162" ht="17.25" thickTop="1" thickBot="1" x14ac:dyDescent="0.3">
      <c r="B215" s="178"/>
      <c r="C215" s="270"/>
      <c r="D215" s="101">
        <f>SUM(D206:D214)</f>
        <v>0</v>
      </c>
      <c r="E215" s="134">
        <f>SUM(E206:E214)</f>
        <v>0</v>
      </c>
      <c r="F215" s="146"/>
      <c r="G215" s="146"/>
      <c r="H215" s="43"/>
      <c r="I215" s="39"/>
      <c r="J215" s="39"/>
      <c r="K215" s="39"/>
      <c r="L215" s="184"/>
      <c r="M215" s="185"/>
      <c r="N215" s="170" t="e">
        <f>AVERAGE(N206:N214)*31</f>
        <v>#DIV/0!</v>
      </c>
      <c r="O215" s="146"/>
      <c r="P215" s="68">
        <f t="shared" ref="P215:AV215" si="3951">SUM(P206:P214)</f>
        <v>0</v>
      </c>
      <c r="Q215" s="65">
        <f t="shared" si="3951"/>
        <v>0</v>
      </c>
      <c r="R215" s="65">
        <f t="shared" si="3951"/>
        <v>0</v>
      </c>
      <c r="S215" s="65">
        <f t="shared" si="3951"/>
        <v>0</v>
      </c>
      <c r="T215" s="65">
        <f t="shared" si="3951"/>
        <v>0</v>
      </c>
      <c r="U215" s="65">
        <f t="shared" si="3951"/>
        <v>0</v>
      </c>
      <c r="V215" s="65">
        <f t="shared" si="3951"/>
        <v>0</v>
      </c>
      <c r="W215" s="66">
        <f t="shared" si="3951"/>
        <v>0</v>
      </c>
      <c r="X215" s="68">
        <f t="shared" si="3951"/>
        <v>0</v>
      </c>
      <c r="Y215" s="65">
        <f t="shared" si="3951"/>
        <v>0</v>
      </c>
      <c r="Z215" s="65">
        <f t="shared" si="3951"/>
        <v>0</v>
      </c>
      <c r="AA215" s="66">
        <f t="shared" si="3951"/>
        <v>0</v>
      </c>
      <c r="AB215" s="68">
        <f t="shared" si="3951"/>
        <v>0</v>
      </c>
      <c r="AC215" s="65">
        <f t="shared" si="3951"/>
        <v>0</v>
      </c>
      <c r="AD215" s="65">
        <f t="shared" si="3951"/>
        <v>0</v>
      </c>
      <c r="AE215" s="65">
        <f t="shared" si="3951"/>
        <v>0</v>
      </c>
      <c r="AF215" s="65">
        <f t="shared" si="3951"/>
        <v>0</v>
      </c>
      <c r="AG215" s="66">
        <f t="shared" si="3951"/>
        <v>0</v>
      </c>
      <c r="AH215" s="68">
        <f t="shared" si="3951"/>
        <v>0</v>
      </c>
      <c r="AI215" s="65">
        <f t="shared" si="3951"/>
        <v>0</v>
      </c>
      <c r="AJ215" s="65">
        <f t="shared" si="3951"/>
        <v>0</v>
      </c>
      <c r="AK215" s="65">
        <f t="shared" si="3951"/>
        <v>0</v>
      </c>
      <c r="AL215" s="66">
        <f t="shared" si="3951"/>
        <v>0</v>
      </c>
      <c r="AM215" s="68">
        <f t="shared" si="3951"/>
        <v>0</v>
      </c>
      <c r="AN215" s="65">
        <f t="shared" si="3951"/>
        <v>0</v>
      </c>
      <c r="AO215" s="65">
        <f t="shared" si="3951"/>
        <v>0</v>
      </c>
      <c r="AP215" s="65">
        <f t="shared" si="3951"/>
        <v>0</v>
      </c>
      <c r="AQ215" s="65">
        <f t="shared" si="3951"/>
        <v>0</v>
      </c>
      <c r="AR215" s="65">
        <f t="shared" si="3951"/>
        <v>0</v>
      </c>
      <c r="AS215" s="65">
        <f t="shared" si="3951"/>
        <v>0</v>
      </c>
      <c r="AT215" s="65">
        <f t="shared" si="3951"/>
        <v>0</v>
      </c>
      <c r="AU215" s="65">
        <f t="shared" si="3951"/>
        <v>0</v>
      </c>
      <c r="AV215" s="65">
        <f t="shared" si="3951"/>
        <v>0</v>
      </c>
      <c r="AW215" s="65">
        <f>SUM(AW207:AW214)</f>
        <v>0</v>
      </c>
      <c r="AX215" s="65">
        <f>SUM(AX207:AX214)</f>
        <v>0</v>
      </c>
      <c r="AY215" s="65">
        <f>SUM(AY206:AY214)</f>
        <v>0</v>
      </c>
      <c r="AZ215" s="66">
        <f>SUM(AZ206:AZ214)</f>
        <v>0</v>
      </c>
      <c r="BB215" s="68" t="e">
        <f t="shared" ref="BB215:CJ215" si="3952">SUM(BB206:BB214)</f>
        <v>#DIV/0!</v>
      </c>
      <c r="BC215" s="65" t="e">
        <f t="shared" si="3952"/>
        <v>#DIV/0!</v>
      </c>
      <c r="BD215" s="65" t="e">
        <f t="shared" si="3952"/>
        <v>#DIV/0!</v>
      </c>
      <c r="BE215" s="65" t="e">
        <f t="shared" si="3952"/>
        <v>#DIV/0!</v>
      </c>
      <c r="BF215" s="65" t="e">
        <f t="shared" si="3952"/>
        <v>#DIV/0!</v>
      </c>
      <c r="BG215" s="65" t="e">
        <f t="shared" si="3952"/>
        <v>#DIV/0!</v>
      </c>
      <c r="BH215" s="65" t="e">
        <f t="shared" si="3952"/>
        <v>#DIV/0!</v>
      </c>
      <c r="BI215" s="66" t="e">
        <f t="shared" si="3952"/>
        <v>#DIV/0!</v>
      </c>
      <c r="BJ215" s="68" t="e">
        <f t="shared" si="3952"/>
        <v>#DIV/0!</v>
      </c>
      <c r="BK215" s="65" t="e">
        <f t="shared" si="3952"/>
        <v>#DIV/0!</v>
      </c>
      <c r="BL215" s="65" t="e">
        <f t="shared" si="3952"/>
        <v>#DIV/0!</v>
      </c>
      <c r="BM215" s="66" t="e">
        <f t="shared" si="3952"/>
        <v>#DIV/0!</v>
      </c>
      <c r="BN215" s="68" t="e">
        <f t="shared" si="3952"/>
        <v>#DIV/0!</v>
      </c>
      <c r="BO215" s="65" t="e">
        <f t="shared" si="3952"/>
        <v>#DIV/0!</v>
      </c>
      <c r="BP215" s="65" t="e">
        <f t="shared" si="3952"/>
        <v>#DIV/0!</v>
      </c>
      <c r="BQ215" s="65" t="e">
        <f t="shared" si="3952"/>
        <v>#DIV/0!</v>
      </c>
      <c r="BR215" s="65" t="e">
        <f t="shared" si="3952"/>
        <v>#DIV/0!</v>
      </c>
      <c r="BS215" s="66" t="e">
        <f t="shared" si="3952"/>
        <v>#DIV/0!</v>
      </c>
      <c r="BT215" s="68" t="e">
        <f t="shared" si="3952"/>
        <v>#DIV/0!</v>
      </c>
      <c r="BU215" s="65" t="e">
        <f t="shared" si="3952"/>
        <v>#DIV/0!</v>
      </c>
      <c r="BV215" s="65" t="e">
        <f t="shared" si="3952"/>
        <v>#DIV/0!</v>
      </c>
      <c r="BW215" s="65" t="e">
        <f t="shared" si="3952"/>
        <v>#DIV/0!</v>
      </c>
      <c r="BX215" s="66" t="e">
        <f t="shared" si="3952"/>
        <v>#DIV/0!</v>
      </c>
      <c r="BY215" s="68" t="e">
        <f t="shared" si="3952"/>
        <v>#DIV/0!</v>
      </c>
      <c r="BZ215" s="65" t="e">
        <f t="shared" si="3952"/>
        <v>#DIV/0!</v>
      </c>
      <c r="CA215" s="65" t="e">
        <f t="shared" si="3952"/>
        <v>#DIV/0!</v>
      </c>
      <c r="CB215" s="65" t="e">
        <f t="shared" si="3952"/>
        <v>#DIV/0!</v>
      </c>
      <c r="CC215" s="65" t="e">
        <f t="shared" si="3952"/>
        <v>#DIV/0!</v>
      </c>
      <c r="CD215" s="65" t="e">
        <f t="shared" si="3952"/>
        <v>#DIV/0!</v>
      </c>
      <c r="CE215" s="65" t="e">
        <f t="shared" si="3952"/>
        <v>#DIV/0!</v>
      </c>
      <c r="CF215" s="65" t="e">
        <f t="shared" si="3952"/>
        <v>#DIV/0!</v>
      </c>
      <c r="CG215" s="65" t="e">
        <f t="shared" si="3952"/>
        <v>#DIV/0!</v>
      </c>
      <c r="CH215" s="65" t="e">
        <f t="shared" si="3952"/>
        <v>#DIV/0!</v>
      </c>
      <c r="CI215" s="65" t="e">
        <f t="shared" si="3952"/>
        <v>#DIV/0!</v>
      </c>
      <c r="CJ215" s="66" t="e">
        <f t="shared" si="3952"/>
        <v>#DIV/0!</v>
      </c>
      <c r="CN215" s="68" t="e">
        <f t="shared" ref="CN215:DV215" si="3953">SUM(CN206:CN214)</f>
        <v>#DIV/0!</v>
      </c>
      <c r="CO215" s="65" t="e">
        <f t="shared" si="3953"/>
        <v>#DIV/0!</v>
      </c>
      <c r="CP215" s="65" t="e">
        <f t="shared" si="3953"/>
        <v>#DIV/0!</v>
      </c>
      <c r="CQ215" s="65" t="e">
        <f t="shared" si="3953"/>
        <v>#DIV/0!</v>
      </c>
      <c r="CR215" s="65" t="e">
        <f t="shared" si="3953"/>
        <v>#DIV/0!</v>
      </c>
      <c r="CS215" s="65" t="e">
        <f t="shared" si="3953"/>
        <v>#DIV/0!</v>
      </c>
      <c r="CT215" s="65" t="e">
        <f t="shared" si="3953"/>
        <v>#DIV/0!</v>
      </c>
      <c r="CU215" s="66" t="e">
        <f t="shared" si="3953"/>
        <v>#DIV/0!</v>
      </c>
      <c r="CV215" s="68" t="e">
        <f t="shared" si="3953"/>
        <v>#DIV/0!</v>
      </c>
      <c r="CW215" s="65" t="e">
        <f t="shared" si="3953"/>
        <v>#DIV/0!</v>
      </c>
      <c r="CX215" s="65" t="e">
        <f t="shared" si="3953"/>
        <v>#DIV/0!</v>
      </c>
      <c r="CY215" s="66" t="e">
        <f t="shared" si="3953"/>
        <v>#DIV/0!</v>
      </c>
      <c r="CZ215" s="68" t="e">
        <f t="shared" si="3953"/>
        <v>#DIV/0!</v>
      </c>
      <c r="DA215" s="65" t="e">
        <f t="shared" si="3953"/>
        <v>#DIV/0!</v>
      </c>
      <c r="DB215" s="65" t="e">
        <f t="shared" si="3953"/>
        <v>#DIV/0!</v>
      </c>
      <c r="DC215" s="65" t="e">
        <f t="shared" si="3953"/>
        <v>#DIV/0!</v>
      </c>
      <c r="DD215" s="65" t="e">
        <f t="shared" si="3953"/>
        <v>#DIV/0!</v>
      </c>
      <c r="DE215" s="66" t="e">
        <f t="shared" si="3953"/>
        <v>#DIV/0!</v>
      </c>
      <c r="DF215" s="68" t="e">
        <f t="shared" si="3953"/>
        <v>#DIV/0!</v>
      </c>
      <c r="DG215" s="65" t="e">
        <f t="shared" si="3953"/>
        <v>#DIV/0!</v>
      </c>
      <c r="DH215" s="65" t="e">
        <f t="shared" si="3953"/>
        <v>#DIV/0!</v>
      </c>
      <c r="DI215" s="65" t="e">
        <f t="shared" si="3953"/>
        <v>#DIV/0!</v>
      </c>
      <c r="DJ215" s="66" t="e">
        <f t="shared" si="3953"/>
        <v>#DIV/0!</v>
      </c>
      <c r="DK215" s="68" t="e">
        <f t="shared" si="3953"/>
        <v>#DIV/0!</v>
      </c>
      <c r="DL215" s="65" t="e">
        <f t="shared" si="3953"/>
        <v>#DIV/0!</v>
      </c>
      <c r="DM215" s="65" t="e">
        <f t="shared" si="3953"/>
        <v>#DIV/0!</v>
      </c>
      <c r="DN215" s="65" t="e">
        <f t="shared" si="3953"/>
        <v>#DIV/0!</v>
      </c>
      <c r="DO215" s="65" t="e">
        <f t="shared" si="3953"/>
        <v>#DIV/0!</v>
      </c>
      <c r="DP215" s="65" t="e">
        <f t="shared" si="3953"/>
        <v>#DIV/0!</v>
      </c>
      <c r="DQ215" s="65" t="e">
        <f t="shared" si="3953"/>
        <v>#DIV/0!</v>
      </c>
      <c r="DR215" s="65" t="e">
        <f t="shared" si="3953"/>
        <v>#DIV/0!</v>
      </c>
      <c r="DS215" s="65" t="e">
        <f t="shared" si="3953"/>
        <v>#DIV/0!</v>
      </c>
      <c r="DT215" s="65" t="e">
        <f t="shared" si="3953"/>
        <v>#DIV/0!</v>
      </c>
      <c r="DU215" s="65" t="e">
        <f t="shared" si="3953"/>
        <v>#DIV/0!</v>
      </c>
      <c r="DV215" s="66" t="e">
        <f t="shared" si="3953"/>
        <v>#DIV/0!</v>
      </c>
      <c r="DX215" s="143" t="e">
        <f t="shared" ref="DX215:FF215" si="3954">AVERAGE(DX206:DX214)</f>
        <v>#DIV/0!</v>
      </c>
      <c r="DY215" s="144" t="e">
        <f t="shared" si="3954"/>
        <v>#DIV/0!</v>
      </c>
      <c r="DZ215" s="144" t="e">
        <f t="shared" si="3954"/>
        <v>#DIV/0!</v>
      </c>
      <c r="EA215" s="144" t="e">
        <f t="shared" si="3954"/>
        <v>#DIV/0!</v>
      </c>
      <c r="EB215" s="144" t="e">
        <f t="shared" si="3954"/>
        <v>#DIV/0!</v>
      </c>
      <c r="EC215" s="144" t="e">
        <f t="shared" si="3954"/>
        <v>#DIV/0!</v>
      </c>
      <c r="ED215" s="144" t="e">
        <f t="shared" si="3954"/>
        <v>#DIV/0!</v>
      </c>
      <c r="EE215" s="145" t="e">
        <f t="shared" si="3954"/>
        <v>#DIV/0!</v>
      </c>
      <c r="EF215" s="143" t="e">
        <f t="shared" si="3954"/>
        <v>#DIV/0!</v>
      </c>
      <c r="EG215" s="144" t="e">
        <f t="shared" si="3954"/>
        <v>#DIV/0!</v>
      </c>
      <c r="EH215" s="144" t="e">
        <f t="shared" si="3954"/>
        <v>#DIV/0!</v>
      </c>
      <c r="EI215" s="145" t="e">
        <f t="shared" si="3954"/>
        <v>#DIV/0!</v>
      </c>
      <c r="EJ215" s="143" t="e">
        <f t="shared" si="3954"/>
        <v>#DIV/0!</v>
      </c>
      <c r="EK215" s="144" t="e">
        <f t="shared" si="3954"/>
        <v>#DIV/0!</v>
      </c>
      <c r="EL215" s="144" t="e">
        <f t="shared" si="3954"/>
        <v>#DIV/0!</v>
      </c>
      <c r="EM215" s="144" t="e">
        <f t="shared" si="3954"/>
        <v>#DIV/0!</v>
      </c>
      <c r="EN215" s="144" t="e">
        <f t="shared" si="3954"/>
        <v>#DIV/0!</v>
      </c>
      <c r="EO215" s="144" t="e">
        <f t="shared" si="3954"/>
        <v>#DIV/0!</v>
      </c>
      <c r="EP215" s="143" t="e">
        <f t="shared" si="3954"/>
        <v>#DIV/0!</v>
      </c>
      <c r="EQ215" s="144" t="e">
        <f t="shared" si="3954"/>
        <v>#DIV/0!</v>
      </c>
      <c r="ER215" s="144" t="e">
        <f t="shared" si="3954"/>
        <v>#DIV/0!</v>
      </c>
      <c r="ES215" s="144" t="e">
        <f t="shared" si="3954"/>
        <v>#DIV/0!</v>
      </c>
      <c r="ET215" s="145" t="e">
        <f t="shared" si="3954"/>
        <v>#DIV/0!</v>
      </c>
      <c r="EU215" s="143" t="e">
        <f t="shared" si="3954"/>
        <v>#DIV/0!</v>
      </c>
      <c r="EV215" s="144" t="e">
        <f t="shared" si="3954"/>
        <v>#DIV/0!</v>
      </c>
      <c r="EW215" s="144" t="e">
        <f t="shared" si="3954"/>
        <v>#DIV/0!</v>
      </c>
      <c r="EX215" s="144" t="e">
        <f t="shared" si="3954"/>
        <v>#DIV/0!</v>
      </c>
      <c r="EY215" s="144" t="e">
        <f t="shared" si="3954"/>
        <v>#DIV/0!</v>
      </c>
      <c r="EZ215" s="144" t="e">
        <f t="shared" si="3954"/>
        <v>#DIV/0!</v>
      </c>
      <c r="FA215" s="144" t="e">
        <f t="shared" si="3954"/>
        <v>#DIV/0!</v>
      </c>
      <c r="FB215" s="144" t="e">
        <f t="shared" si="3954"/>
        <v>#DIV/0!</v>
      </c>
      <c r="FC215" s="144" t="e">
        <f t="shared" si="3954"/>
        <v>#DIV/0!</v>
      </c>
      <c r="FD215" s="144" t="e">
        <f t="shared" si="3954"/>
        <v>#DIV/0!</v>
      </c>
      <c r="FE215" s="144" t="e">
        <f t="shared" si="3954"/>
        <v>#DIV/0!</v>
      </c>
      <c r="FF215" s="145" t="e">
        <f t="shared" si="3954"/>
        <v>#DIV/0!</v>
      </c>
    </row>
  </sheetData>
  <mergeCells count="99">
    <mergeCell ref="H6:N6"/>
    <mergeCell ref="DG7:DH7"/>
    <mergeCell ref="DK7:DL7"/>
    <mergeCell ref="DM7:DN7"/>
    <mergeCell ref="DO7:DP7"/>
    <mergeCell ref="CT7:CU7"/>
    <mergeCell ref="CV7:CW7"/>
    <mergeCell ref="CX7:CY7"/>
    <mergeCell ref="CZ7:DA7"/>
    <mergeCell ref="DB7:DC7"/>
    <mergeCell ref="CC7:CD7"/>
    <mergeCell ref="CE7:CF7"/>
    <mergeCell ref="CG7:CH7"/>
    <mergeCell ref="AW7:AX7"/>
    <mergeCell ref="M7:N7"/>
    <mergeCell ref="AS7:AT7"/>
    <mergeCell ref="CN4:DV4"/>
    <mergeCell ref="CN5:CU5"/>
    <mergeCell ref="CZ5:DE5"/>
    <mergeCell ref="CN6:CQ6"/>
    <mergeCell ref="CR6:CU6"/>
    <mergeCell ref="CV6:CY6"/>
    <mergeCell ref="CZ6:DC6"/>
    <mergeCell ref="DD6:DE6"/>
    <mergeCell ref="DF6:DJ6"/>
    <mergeCell ref="BB4:CJ4"/>
    <mergeCell ref="BB5:BI5"/>
    <mergeCell ref="BN5:BS5"/>
    <mergeCell ref="BB6:BE6"/>
    <mergeCell ref="BF6:BI6"/>
    <mergeCell ref="BJ6:BM6"/>
    <mergeCell ref="BN6:BQ6"/>
    <mergeCell ref="BR6:BS6"/>
    <mergeCell ref="BT6:BX6"/>
    <mergeCell ref="P4:AZ4"/>
    <mergeCell ref="P6:S6"/>
    <mergeCell ref="P5:W5"/>
    <mergeCell ref="X6:AA6"/>
    <mergeCell ref="AB5:AG5"/>
    <mergeCell ref="AH6:AL6"/>
    <mergeCell ref="T6:W6"/>
    <mergeCell ref="AB6:AE6"/>
    <mergeCell ref="AF6:AG6"/>
    <mergeCell ref="DX4:FF4"/>
    <mergeCell ref="DX5:EE5"/>
    <mergeCell ref="EJ5:EO5"/>
    <mergeCell ref="DX6:EA6"/>
    <mergeCell ref="FE7:FF7"/>
    <mergeCell ref="DZ7:EA7"/>
    <mergeCell ref="EB6:EE6"/>
    <mergeCell ref="EF6:EI6"/>
    <mergeCell ref="EJ6:EM6"/>
    <mergeCell ref="EN6:EO6"/>
    <mergeCell ref="EP6:ET6"/>
    <mergeCell ref="DX7:DY7"/>
    <mergeCell ref="EL7:EM7"/>
    <mergeCell ref="EQ7:ER7"/>
    <mergeCell ref="EU7:EV7"/>
    <mergeCell ref="EW7:EX7"/>
    <mergeCell ref="EH7:EI7"/>
    <mergeCell ref="EJ7:EK7"/>
    <mergeCell ref="EB7:EC7"/>
    <mergeCell ref="FC7:FD7"/>
    <mergeCell ref="AI7:AJ7"/>
    <mergeCell ref="AO7:AP7"/>
    <mergeCell ref="AY7:AZ7"/>
    <mergeCell ref="AM7:AN7"/>
    <mergeCell ref="AQ7:AR7"/>
    <mergeCell ref="EY7:EZ7"/>
    <mergeCell ref="FA7:FB7"/>
    <mergeCell ref="BB7:BC7"/>
    <mergeCell ref="BD7:BE7"/>
    <mergeCell ref="BF7:BG7"/>
    <mergeCell ref="BH7:BI7"/>
    <mergeCell ref="BJ7:BK7"/>
    <mergeCell ref="EF7:EG7"/>
    <mergeCell ref="R7:S7"/>
    <mergeCell ref="X7:Y7"/>
    <mergeCell ref="P7:Q7"/>
    <mergeCell ref="T7:U7"/>
    <mergeCell ref="V7:W7"/>
    <mergeCell ref="Z7:AA7"/>
    <mergeCell ref="AB7:AC7"/>
    <mergeCell ref="AD7:AE7"/>
    <mergeCell ref="BL7:BM7"/>
    <mergeCell ref="BN7:BO7"/>
    <mergeCell ref="BP7:BQ7"/>
    <mergeCell ref="BU7:BV7"/>
    <mergeCell ref="BY7:BZ7"/>
    <mergeCell ref="CA7:CB7"/>
    <mergeCell ref="CI7:CJ7"/>
    <mergeCell ref="AU7:AV7"/>
    <mergeCell ref="ED7:EE7"/>
    <mergeCell ref="CN7:CO7"/>
    <mergeCell ref="CP7:CQ7"/>
    <mergeCell ref="CR7:CS7"/>
    <mergeCell ref="DS7:DT7"/>
    <mergeCell ref="DU7:DV7"/>
    <mergeCell ref="DQ7:DR7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H90"/>
  <sheetViews>
    <sheetView zoomScale="75" zoomScaleNormal="7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G84" sqref="G84"/>
    </sheetView>
  </sheetViews>
  <sheetFormatPr defaultRowHeight="15.75" x14ac:dyDescent="0.25"/>
  <cols>
    <col min="1" max="1" width="13" customWidth="1"/>
    <col min="2" max="2" width="6.75" customWidth="1"/>
    <col min="3" max="3" width="8.75" customWidth="1"/>
    <col min="4" max="4" width="6.75" customWidth="1"/>
    <col min="5" max="5" width="3.625" customWidth="1"/>
    <col min="6" max="6" width="6.75" customWidth="1"/>
    <col min="7" max="7" width="8.75" customWidth="1"/>
    <col min="8" max="8" width="8.625" customWidth="1"/>
    <col min="9" max="9" width="8.25" customWidth="1"/>
    <col min="10" max="10" width="3.375" customWidth="1"/>
    <col min="11" max="11" width="7.75" bestFit="1" customWidth="1"/>
    <col min="12" max="16" width="6.75" customWidth="1"/>
    <col min="17" max="17" width="7.75" bestFit="1" customWidth="1"/>
    <col min="18" max="79" width="6.75" customWidth="1"/>
  </cols>
  <sheetData>
    <row r="1" spans="1:86" ht="18.75" x14ac:dyDescent="0.3">
      <c r="B1" s="10"/>
    </row>
    <row r="2" spans="1:86" x14ac:dyDescent="0.25">
      <c r="B2" s="27"/>
    </row>
    <row r="3" spans="1:86" ht="20.25" x14ac:dyDescent="0.3">
      <c r="A3" s="233" t="s">
        <v>171</v>
      </c>
      <c r="AU3" s="2"/>
    </row>
    <row r="4" spans="1:86" ht="16.5" thickBot="1" x14ac:dyDescent="0.3"/>
    <row r="5" spans="1:86" ht="16.5" thickBot="1" x14ac:dyDescent="0.3">
      <c r="B5" s="51"/>
      <c r="C5" s="51"/>
      <c r="D5" s="51"/>
      <c r="E5" s="51"/>
      <c r="F5" s="51"/>
      <c r="G5" s="51"/>
      <c r="H5" s="51"/>
      <c r="I5" s="51"/>
      <c r="J5" s="51"/>
      <c r="K5" s="422" t="s">
        <v>44</v>
      </c>
      <c r="L5" s="423"/>
      <c r="M5" s="423"/>
      <c r="N5" s="423"/>
      <c r="O5" s="423"/>
      <c r="P5" s="423"/>
      <c r="Q5" s="229"/>
      <c r="R5" s="229"/>
      <c r="S5" s="229"/>
      <c r="T5" s="229"/>
      <c r="U5" s="229"/>
      <c r="V5" s="229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29"/>
      <c r="AH5" s="229"/>
      <c r="AI5" s="229"/>
      <c r="AJ5" s="229"/>
      <c r="AK5" s="229"/>
      <c r="AL5" s="229"/>
      <c r="AM5" s="229"/>
      <c r="AN5" s="229"/>
      <c r="AO5" s="229"/>
      <c r="AP5" s="229"/>
      <c r="AQ5" s="230"/>
      <c r="AS5" s="439" t="s">
        <v>50</v>
      </c>
      <c r="AT5" s="440"/>
      <c r="AU5" s="440"/>
      <c r="AV5" s="440"/>
      <c r="AW5" s="440"/>
      <c r="AX5" s="440"/>
      <c r="AY5" s="440"/>
      <c r="AZ5" s="440"/>
      <c r="BA5" s="440"/>
      <c r="BB5" s="440"/>
      <c r="BC5" s="440"/>
      <c r="BD5" s="440"/>
      <c r="BE5" s="440"/>
      <c r="BF5" s="440"/>
      <c r="BG5" s="440"/>
      <c r="BH5" s="440"/>
      <c r="BI5" s="440"/>
      <c r="BJ5" s="440"/>
      <c r="BK5" s="440"/>
      <c r="BL5" s="440"/>
      <c r="BM5" s="440"/>
      <c r="BN5" s="440"/>
      <c r="BO5" s="440"/>
      <c r="BP5" s="440"/>
      <c r="BQ5" s="440"/>
      <c r="BR5" s="440"/>
      <c r="BS5" s="440"/>
      <c r="BT5" s="440"/>
      <c r="BU5" s="440"/>
      <c r="BV5" s="440"/>
      <c r="BW5" s="440"/>
      <c r="BX5" s="440"/>
      <c r="BY5" s="440"/>
      <c r="BZ5" s="440"/>
      <c r="CA5" s="441"/>
    </row>
    <row r="6" spans="1:86" ht="16.5" thickBot="1" x14ac:dyDescent="0.3">
      <c r="A6" s="60"/>
      <c r="B6" s="429"/>
      <c r="C6" s="429"/>
      <c r="D6" s="13"/>
      <c r="E6" s="13"/>
      <c r="F6" s="13"/>
      <c r="G6" s="13"/>
      <c r="H6" s="13"/>
      <c r="I6" s="13"/>
      <c r="J6" s="13"/>
      <c r="K6" s="407" t="s">
        <v>12</v>
      </c>
      <c r="L6" s="408"/>
      <c r="M6" s="408"/>
      <c r="N6" s="408"/>
      <c r="O6" s="408"/>
      <c r="P6" s="409"/>
      <c r="Q6" s="393" t="s">
        <v>65</v>
      </c>
      <c r="R6" s="394"/>
      <c r="S6" s="394"/>
      <c r="T6" s="395"/>
      <c r="U6" s="433" t="s">
        <v>66</v>
      </c>
      <c r="V6" s="433"/>
      <c r="W6" s="433"/>
      <c r="X6" s="433"/>
      <c r="Y6" s="433"/>
      <c r="Z6" s="433"/>
      <c r="AA6" s="384" t="s">
        <v>59</v>
      </c>
      <c r="AB6" s="385"/>
      <c r="AC6" s="386"/>
      <c r="AD6" s="386"/>
      <c r="AE6" s="387"/>
      <c r="AF6" s="38"/>
      <c r="AG6" s="92"/>
      <c r="AH6" s="92"/>
      <c r="AI6" s="92"/>
      <c r="AJ6" s="92"/>
      <c r="AK6" s="92"/>
      <c r="AL6" s="92"/>
      <c r="AM6" s="92"/>
      <c r="AN6" s="92"/>
      <c r="AO6" s="92"/>
      <c r="AP6" s="93"/>
      <c r="AQ6" s="105"/>
      <c r="AS6" s="407" t="s">
        <v>12</v>
      </c>
      <c r="AT6" s="408"/>
      <c r="AU6" s="408"/>
      <c r="AV6" s="408"/>
      <c r="AW6" s="408"/>
      <c r="AX6" s="408"/>
      <c r="AY6" s="408"/>
      <c r="AZ6" s="409"/>
      <c r="BA6" s="394" t="s">
        <v>65</v>
      </c>
      <c r="BB6" s="394"/>
      <c r="BC6" s="394"/>
      <c r="BD6" s="394"/>
      <c r="BE6" s="381" t="s">
        <v>66</v>
      </c>
      <c r="BF6" s="382"/>
      <c r="BG6" s="382"/>
      <c r="BH6" s="382"/>
      <c r="BI6" s="382"/>
      <c r="BJ6" s="383"/>
      <c r="BK6" s="442" t="s">
        <v>59</v>
      </c>
      <c r="BL6" s="385"/>
      <c r="BM6" s="386"/>
      <c r="BN6" s="386"/>
      <c r="BO6" s="386"/>
      <c r="BP6" s="38"/>
      <c r="BQ6" s="92"/>
      <c r="BR6" s="92"/>
      <c r="BS6" s="92"/>
      <c r="BT6" s="92"/>
      <c r="BU6" s="92"/>
      <c r="BV6" s="92"/>
      <c r="BW6" s="92"/>
      <c r="BX6" s="92"/>
      <c r="BY6" s="92"/>
      <c r="BZ6" s="93"/>
      <c r="CA6" s="105"/>
    </row>
    <row r="7" spans="1:86" ht="19.5" thickBot="1" x14ac:dyDescent="0.35">
      <c r="A7" s="308" t="s">
        <v>74</v>
      </c>
      <c r="B7" s="252"/>
      <c r="C7" s="252"/>
      <c r="E7" s="13"/>
      <c r="F7" s="13"/>
      <c r="G7" s="13"/>
      <c r="H7" s="13"/>
      <c r="I7" s="13"/>
      <c r="J7" s="13"/>
      <c r="K7" s="410" t="s">
        <v>51</v>
      </c>
      <c r="L7" s="411"/>
      <c r="M7" s="434" t="s">
        <v>68</v>
      </c>
      <c r="N7" s="411"/>
      <c r="O7" s="411"/>
      <c r="P7" s="412"/>
      <c r="Q7" s="32"/>
      <c r="R7" s="21"/>
      <c r="S7" s="21"/>
      <c r="T7" s="33"/>
      <c r="U7" s="435" t="s">
        <v>51</v>
      </c>
      <c r="V7" s="436"/>
      <c r="W7" s="436"/>
      <c r="X7" s="436"/>
      <c r="Y7" s="437" t="s">
        <v>70</v>
      </c>
      <c r="Z7" s="438"/>
      <c r="AA7" s="113"/>
      <c r="AB7" s="114"/>
      <c r="AC7" s="115"/>
      <c r="AD7" s="116"/>
      <c r="AE7" s="117"/>
      <c r="AF7" s="37"/>
      <c r="AP7" s="13"/>
      <c r="AQ7" s="52"/>
      <c r="AS7" s="410" t="s">
        <v>51</v>
      </c>
      <c r="AT7" s="411"/>
      <c r="AU7" s="411"/>
      <c r="AV7" s="411"/>
      <c r="AW7" s="411" t="s">
        <v>68</v>
      </c>
      <c r="AX7" s="411"/>
      <c r="AY7" s="411"/>
      <c r="AZ7" s="412"/>
      <c r="BA7" s="21"/>
      <c r="BB7" s="21"/>
      <c r="BC7" s="21"/>
      <c r="BD7" s="21"/>
      <c r="BE7" s="402" t="s">
        <v>51</v>
      </c>
      <c r="BF7" s="403"/>
      <c r="BG7" s="403"/>
      <c r="BH7" s="403"/>
      <c r="BI7" s="398" t="s">
        <v>70</v>
      </c>
      <c r="BJ7" s="399"/>
      <c r="BK7" s="194"/>
      <c r="BL7" s="114"/>
      <c r="BM7" s="115"/>
      <c r="BN7" s="116"/>
      <c r="BO7" s="116"/>
      <c r="BP7" s="37"/>
      <c r="BZ7" s="13"/>
      <c r="CA7" s="52"/>
    </row>
    <row r="8" spans="1:86" x14ac:dyDescent="0.25">
      <c r="A8" s="190"/>
      <c r="B8" s="424" t="s">
        <v>50</v>
      </c>
      <c r="C8" s="425"/>
      <c r="D8" s="426"/>
      <c r="E8" s="13"/>
      <c r="F8" s="427" t="s">
        <v>34</v>
      </c>
      <c r="G8" s="425"/>
      <c r="H8" s="428"/>
      <c r="I8" s="119" t="s">
        <v>30</v>
      </c>
      <c r="J8" s="13"/>
      <c r="K8" s="402" t="s">
        <v>67</v>
      </c>
      <c r="L8" s="403"/>
      <c r="M8" s="400" t="s">
        <v>67</v>
      </c>
      <c r="N8" s="401"/>
      <c r="O8" s="400" t="s">
        <v>9</v>
      </c>
      <c r="P8" s="413"/>
      <c r="Q8" s="396" t="s">
        <v>51</v>
      </c>
      <c r="R8" s="397"/>
      <c r="S8" s="398" t="s">
        <v>70</v>
      </c>
      <c r="T8" s="399"/>
      <c r="U8" s="402" t="s">
        <v>7</v>
      </c>
      <c r="V8" s="401"/>
      <c r="W8" s="400" t="s">
        <v>8</v>
      </c>
      <c r="X8" s="401"/>
      <c r="Y8" s="21"/>
      <c r="Z8" s="33"/>
      <c r="AA8" s="88"/>
      <c r="AB8" s="391" t="s">
        <v>37</v>
      </c>
      <c r="AC8" s="392"/>
      <c r="AD8" s="81"/>
      <c r="AE8" s="89"/>
      <c r="AF8" s="404" t="s">
        <v>40</v>
      </c>
      <c r="AG8" s="389"/>
      <c r="AH8" s="388" t="s">
        <v>89</v>
      </c>
      <c r="AI8" s="389"/>
      <c r="AJ8" s="388" t="s">
        <v>39</v>
      </c>
      <c r="AK8" s="389"/>
      <c r="AL8" s="388" t="s">
        <v>48</v>
      </c>
      <c r="AM8" s="389"/>
      <c r="AN8" s="388" t="s">
        <v>60</v>
      </c>
      <c r="AO8" s="389"/>
      <c r="AP8" s="388" t="s">
        <v>61</v>
      </c>
      <c r="AQ8" s="390"/>
      <c r="AS8" s="402" t="s">
        <v>67</v>
      </c>
      <c r="AT8" s="401"/>
      <c r="AU8" s="400" t="s">
        <v>28</v>
      </c>
      <c r="AV8" s="401"/>
      <c r="AW8" s="400" t="s">
        <v>67</v>
      </c>
      <c r="AX8" s="401"/>
      <c r="AY8" s="400" t="s">
        <v>9</v>
      </c>
      <c r="AZ8" s="413"/>
      <c r="BA8" s="397" t="s">
        <v>51</v>
      </c>
      <c r="BB8" s="397"/>
      <c r="BC8" s="398" t="s">
        <v>70</v>
      </c>
      <c r="BD8" s="397"/>
      <c r="BE8" s="402" t="s">
        <v>7</v>
      </c>
      <c r="BF8" s="401"/>
      <c r="BG8" s="400" t="s">
        <v>8</v>
      </c>
      <c r="BH8" s="401"/>
      <c r="BI8" s="21"/>
      <c r="BJ8" s="33"/>
      <c r="BK8" s="55"/>
      <c r="BL8" s="391" t="s">
        <v>37</v>
      </c>
      <c r="BM8" s="392"/>
      <c r="BN8" s="81"/>
      <c r="BO8" s="110"/>
      <c r="BP8" s="404" t="s">
        <v>40</v>
      </c>
      <c r="BQ8" s="389"/>
      <c r="BR8" s="388" t="s">
        <v>89</v>
      </c>
      <c r="BS8" s="389"/>
      <c r="BT8" s="388" t="s">
        <v>39</v>
      </c>
      <c r="BU8" s="389"/>
      <c r="BV8" s="388" t="s">
        <v>45</v>
      </c>
      <c r="BW8" s="389"/>
      <c r="BX8" s="388" t="s">
        <v>60</v>
      </c>
      <c r="BY8" s="389"/>
      <c r="BZ8" s="388" t="s">
        <v>61</v>
      </c>
      <c r="CA8" s="390"/>
    </row>
    <row r="9" spans="1:86" x14ac:dyDescent="0.25">
      <c r="A9" s="125" t="s">
        <v>18</v>
      </c>
      <c r="B9" s="19" t="s">
        <v>23</v>
      </c>
      <c r="C9" s="19" t="s">
        <v>30</v>
      </c>
      <c r="D9" s="124" t="s">
        <v>32</v>
      </c>
      <c r="E9" s="24"/>
      <c r="F9" s="97" t="s">
        <v>47</v>
      </c>
      <c r="G9" s="189" t="s">
        <v>30</v>
      </c>
      <c r="H9" s="20" t="s">
        <v>32</v>
      </c>
      <c r="I9" s="120" t="s">
        <v>50</v>
      </c>
      <c r="J9" s="24"/>
      <c r="K9" s="30" t="s">
        <v>94</v>
      </c>
      <c r="L9" s="29" t="s">
        <v>93</v>
      </c>
      <c r="M9" s="23" t="s">
        <v>94</v>
      </c>
      <c r="N9" s="29" t="s">
        <v>93</v>
      </c>
      <c r="O9" s="23" t="s">
        <v>94</v>
      </c>
      <c r="P9" s="84" t="s">
        <v>93</v>
      </c>
      <c r="Q9" s="30" t="s">
        <v>69</v>
      </c>
      <c r="R9" s="23" t="s">
        <v>67</v>
      </c>
      <c r="S9" s="23" t="s">
        <v>69</v>
      </c>
      <c r="T9" s="31" t="s">
        <v>67</v>
      </c>
      <c r="U9" s="30" t="s">
        <v>69</v>
      </c>
      <c r="V9" s="23" t="s">
        <v>67</v>
      </c>
      <c r="W9" s="23" t="s">
        <v>69</v>
      </c>
      <c r="X9" s="23" t="s">
        <v>67</v>
      </c>
      <c r="Y9" s="23" t="s">
        <v>7</v>
      </c>
      <c r="Z9" s="31" t="s">
        <v>8</v>
      </c>
      <c r="AA9" s="90" t="s">
        <v>49</v>
      </c>
      <c r="AB9" s="83" t="s">
        <v>11</v>
      </c>
      <c r="AC9" s="26" t="s">
        <v>10</v>
      </c>
      <c r="AD9" s="82" t="s">
        <v>38</v>
      </c>
      <c r="AE9" s="91" t="s">
        <v>62</v>
      </c>
      <c r="AF9" s="106" t="s">
        <v>10</v>
      </c>
      <c r="AG9" s="26" t="s">
        <v>11</v>
      </c>
      <c r="AH9" s="3" t="s">
        <v>10</v>
      </c>
      <c r="AI9" s="3" t="s">
        <v>11</v>
      </c>
      <c r="AJ9" s="4" t="s">
        <v>10</v>
      </c>
      <c r="AK9" s="3" t="s">
        <v>11</v>
      </c>
      <c r="AL9" s="3" t="s">
        <v>10</v>
      </c>
      <c r="AM9" s="26" t="s">
        <v>11</v>
      </c>
      <c r="AN9" s="3" t="s">
        <v>10</v>
      </c>
      <c r="AO9" s="3" t="s">
        <v>11</v>
      </c>
      <c r="AP9" s="23" t="s">
        <v>10</v>
      </c>
      <c r="AQ9" s="31" t="s">
        <v>11</v>
      </c>
      <c r="AS9" s="30" t="s">
        <v>63</v>
      </c>
      <c r="AT9" s="23" t="s">
        <v>64</v>
      </c>
      <c r="AU9" s="23" t="s">
        <v>63</v>
      </c>
      <c r="AV9" s="23" t="s">
        <v>64</v>
      </c>
      <c r="AW9" s="23" t="s">
        <v>63</v>
      </c>
      <c r="AX9" s="23" t="s">
        <v>64</v>
      </c>
      <c r="AY9" s="23" t="s">
        <v>63</v>
      </c>
      <c r="AZ9" s="31" t="s">
        <v>64</v>
      </c>
      <c r="BA9" s="84" t="s">
        <v>69</v>
      </c>
      <c r="BB9" s="23" t="s">
        <v>67</v>
      </c>
      <c r="BC9" s="23" t="s">
        <v>69</v>
      </c>
      <c r="BD9" s="29" t="s">
        <v>67</v>
      </c>
      <c r="BE9" s="30" t="s">
        <v>69</v>
      </c>
      <c r="BF9" s="23" t="s">
        <v>67</v>
      </c>
      <c r="BG9" s="23" t="s">
        <v>69</v>
      </c>
      <c r="BH9" s="23" t="s">
        <v>67</v>
      </c>
      <c r="BI9" s="23" t="s">
        <v>7</v>
      </c>
      <c r="BJ9" s="31" t="s">
        <v>8</v>
      </c>
      <c r="BK9" s="195" t="s">
        <v>49</v>
      </c>
      <c r="BL9" s="83" t="s">
        <v>11</v>
      </c>
      <c r="BM9" s="26" t="s">
        <v>10</v>
      </c>
      <c r="BN9" s="82" t="s">
        <v>38</v>
      </c>
      <c r="BO9" s="193" t="s">
        <v>62</v>
      </c>
      <c r="BP9" s="106" t="s">
        <v>10</v>
      </c>
      <c r="BQ9" s="26" t="s">
        <v>11</v>
      </c>
      <c r="BR9" s="3" t="s">
        <v>10</v>
      </c>
      <c r="BS9" s="3" t="s">
        <v>11</v>
      </c>
      <c r="BT9" s="4" t="s">
        <v>10</v>
      </c>
      <c r="BU9" s="3" t="s">
        <v>11</v>
      </c>
      <c r="BV9" s="3" t="s">
        <v>10</v>
      </c>
      <c r="BW9" s="26" t="s">
        <v>11</v>
      </c>
      <c r="BX9" s="3" t="s">
        <v>10</v>
      </c>
      <c r="BY9" s="3" t="s">
        <v>11</v>
      </c>
      <c r="BZ9" s="23" t="s">
        <v>10</v>
      </c>
      <c r="CA9" s="31" t="s">
        <v>11</v>
      </c>
      <c r="CF9" s="36" t="s">
        <v>98</v>
      </c>
      <c r="CG9" s="36" t="s">
        <v>9</v>
      </c>
      <c r="CH9" s="36" t="s">
        <v>99</v>
      </c>
    </row>
    <row r="10" spans="1:86" x14ac:dyDescent="0.25">
      <c r="A10" s="127" t="s">
        <v>153</v>
      </c>
      <c r="B10" s="205">
        <f t="shared" ref="B10:B26" si="0">B39</f>
        <v>0</v>
      </c>
      <c r="C10" s="109">
        <f t="shared" ref="C10:D26" si="1">C39+C68</f>
        <v>0</v>
      </c>
      <c r="D10" s="128">
        <f t="shared" si="1"/>
        <v>0</v>
      </c>
      <c r="E10" s="25"/>
      <c r="F10" s="199">
        <f t="shared" ref="F10:F26" si="2">F39</f>
        <v>0</v>
      </c>
      <c r="G10" s="200" t="e">
        <f t="shared" ref="G10:H26" si="3">G39+G68</f>
        <v>#DIV/0!</v>
      </c>
      <c r="H10" s="46" t="e">
        <f t="shared" si="3"/>
        <v>#DIV/0!</v>
      </c>
      <c r="I10" s="197" t="e">
        <f t="shared" ref="I10:I15" si="4">C10/G10</f>
        <v>#DIV/0!</v>
      </c>
      <c r="J10" s="25"/>
      <c r="K10" s="95" t="e">
        <f>K39+K68</f>
        <v>#DIV/0!</v>
      </c>
      <c r="L10" s="41" t="e">
        <f t="shared" ref="L10:AQ10" si="5">L39+L68</f>
        <v>#DIV/0!</v>
      </c>
      <c r="M10" s="247" t="e">
        <f t="shared" si="5"/>
        <v>#DIV/0!</v>
      </c>
      <c r="N10" s="41" t="e">
        <f t="shared" si="5"/>
        <v>#DIV/0!</v>
      </c>
      <c r="O10" s="247" t="e">
        <f t="shared" si="5"/>
        <v>#DIV/0!</v>
      </c>
      <c r="P10" s="42" t="e">
        <f t="shared" si="5"/>
        <v>#DIV/0!</v>
      </c>
      <c r="Q10" s="95" t="e">
        <f t="shared" si="5"/>
        <v>#DIV/0!</v>
      </c>
      <c r="R10" s="41" t="e">
        <f t="shared" si="5"/>
        <v>#DIV/0!</v>
      </c>
      <c r="S10" s="41" t="e">
        <f t="shared" si="5"/>
        <v>#DIV/0!</v>
      </c>
      <c r="T10" s="42" t="e">
        <f t="shared" si="5"/>
        <v>#DIV/0!</v>
      </c>
      <c r="U10" s="95" t="e">
        <f t="shared" si="5"/>
        <v>#DIV/0!</v>
      </c>
      <c r="V10" s="41" t="e">
        <f t="shared" si="5"/>
        <v>#DIV/0!</v>
      </c>
      <c r="W10" s="41" t="e">
        <f t="shared" si="5"/>
        <v>#DIV/0!</v>
      </c>
      <c r="X10" s="41" t="e">
        <f t="shared" si="5"/>
        <v>#DIV/0!</v>
      </c>
      <c r="Y10" s="41" t="e">
        <f t="shared" si="5"/>
        <v>#DIV/0!</v>
      </c>
      <c r="Z10" s="42" t="e">
        <f t="shared" si="5"/>
        <v>#DIV/0!</v>
      </c>
      <c r="AA10" s="95" t="e">
        <f t="shared" si="5"/>
        <v>#DIV/0!</v>
      </c>
      <c r="AB10" s="41" t="e">
        <f t="shared" si="5"/>
        <v>#DIV/0!</v>
      </c>
      <c r="AC10" s="41" t="e">
        <f t="shared" si="5"/>
        <v>#DIV/0!</v>
      </c>
      <c r="AD10" s="41" t="e">
        <f t="shared" si="5"/>
        <v>#DIV/0!</v>
      </c>
      <c r="AE10" s="42" t="e">
        <f t="shared" si="5"/>
        <v>#DIV/0!</v>
      </c>
      <c r="AF10" s="95" t="e">
        <f t="shared" si="5"/>
        <v>#DIV/0!</v>
      </c>
      <c r="AG10" s="41" t="e">
        <f t="shared" si="5"/>
        <v>#DIV/0!</v>
      </c>
      <c r="AH10" s="41" t="e">
        <f t="shared" si="5"/>
        <v>#DIV/0!</v>
      </c>
      <c r="AI10" s="41" t="e">
        <f t="shared" si="5"/>
        <v>#DIV/0!</v>
      </c>
      <c r="AJ10" s="41" t="e">
        <f t="shared" si="5"/>
        <v>#DIV/0!</v>
      </c>
      <c r="AK10" s="41" t="e">
        <f t="shared" si="5"/>
        <v>#DIV/0!</v>
      </c>
      <c r="AL10" s="41" t="e">
        <f t="shared" si="5"/>
        <v>#DIV/0!</v>
      </c>
      <c r="AM10" s="41" t="e">
        <f t="shared" si="5"/>
        <v>#DIV/0!</v>
      </c>
      <c r="AN10" s="41" t="e">
        <f t="shared" si="5"/>
        <v>#DIV/0!</v>
      </c>
      <c r="AO10" s="41" t="e">
        <f t="shared" si="5"/>
        <v>#DIV/0!</v>
      </c>
      <c r="AP10" s="41" t="e">
        <f t="shared" si="5"/>
        <v>#DIV/0!</v>
      </c>
      <c r="AQ10" s="42" t="e">
        <f t="shared" si="5"/>
        <v>#DIV/0!</v>
      </c>
      <c r="AS10" s="95" t="e">
        <f t="shared" ref="AS10:CA10" si="6">AS39+AS68</f>
        <v>#DIV/0!</v>
      </c>
      <c r="AT10" s="41" t="e">
        <f t="shared" si="6"/>
        <v>#DIV/0!</v>
      </c>
      <c r="AU10" s="41" t="e">
        <f t="shared" si="6"/>
        <v>#DIV/0!</v>
      </c>
      <c r="AV10" s="41" t="e">
        <f t="shared" si="6"/>
        <v>#DIV/0!</v>
      </c>
      <c r="AW10" s="41" t="e">
        <f t="shared" si="6"/>
        <v>#DIV/0!</v>
      </c>
      <c r="AX10" s="41" t="e">
        <f t="shared" si="6"/>
        <v>#DIV/0!</v>
      </c>
      <c r="AY10" s="41" t="e">
        <f t="shared" si="6"/>
        <v>#DIV/0!</v>
      </c>
      <c r="AZ10" s="42" t="e">
        <f t="shared" si="6"/>
        <v>#DIV/0!</v>
      </c>
      <c r="BA10" s="41">
        <f t="shared" si="6"/>
        <v>0</v>
      </c>
      <c r="BB10" s="41">
        <f t="shared" si="6"/>
        <v>0</v>
      </c>
      <c r="BC10" s="41">
        <f t="shared" si="6"/>
        <v>0</v>
      </c>
      <c r="BD10" s="41">
        <f t="shared" si="6"/>
        <v>0</v>
      </c>
      <c r="BE10" s="95">
        <f t="shared" si="6"/>
        <v>0</v>
      </c>
      <c r="BF10" s="41">
        <f t="shared" si="6"/>
        <v>0</v>
      </c>
      <c r="BG10" s="41">
        <f t="shared" si="6"/>
        <v>0</v>
      </c>
      <c r="BH10" s="41">
        <f t="shared" si="6"/>
        <v>0</v>
      </c>
      <c r="BI10" s="41">
        <f t="shared" si="6"/>
        <v>0</v>
      </c>
      <c r="BJ10" s="42">
        <f t="shared" si="6"/>
        <v>0</v>
      </c>
      <c r="BK10" s="41">
        <f t="shared" si="6"/>
        <v>0</v>
      </c>
      <c r="BL10" s="41">
        <f t="shared" si="6"/>
        <v>0</v>
      </c>
      <c r="BM10" s="41">
        <f t="shared" si="6"/>
        <v>0</v>
      </c>
      <c r="BN10" s="41">
        <f t="shared" si="6"/>
        <v>0</v>
      </c>
      <c r="BO10" s="41">
        <f t="shared" si="6"/>
        <v>0</v>
      </c>
      <c r="BP10" s="95">
        <f t="shared" si="6"/>
        <v>0</v>
      </c>
      <c r="BQ10" s="41">
        <f t="shared" si="6"/>
        <v>0</v>
      </c>
      <c r="BR10" s="41">
        <f t="shared" si="6"/>
        <v>0</v>
      </c>
      <c r="BS10" s="41">
        <f t="shared" si="6"/>
        <v>0</v>
      </c>
      <c r="BT10" s="41">
        <f t="shared" si="6"/>
        <v>0</v>
      </c>
      <c r="BU10" s="41">
        <f t="shared" si="6"/>
        <v>0</v>
      </c>
      <c r="BV10" s="41">
        <f t="shared" si="6"/>
        <v>0</v>
      </c>
      <c r="BW10" s="41">
        <f t="shared" si="6"/>
        <v>0</v>
      </c>
      <c r="BX10" s="41">
        <f t="shared" si="6"/>
        <v>0</v>
      </c>
      <c r="BY10" s="41">
        <f t="shared" si="6"/>
        <v>0</v>
      </c>
      <c r="BZ10" s="41">
        <f t="shared" si="6"/>
        <v>0</v>
      </c>
      <c r="CA10" s="42">
        <f t="shared" si="6"/>
        <v>0</v>
      </c>
    </row>
    <row r="11" spans="1:86" x14ac:dyDescent="0.25">
      <c r="A11" s="127" t="s">
        <v>154</v>
      </c>
      <c r="B11" s="206">
        <f t="shared" si="0"/>
        <v>0</v>
      </c>
      <c r="C11" s="46">
        <f t="shared" si="1"/>
        <v>0</v>
      </c>
      <c r="D11" s="129">
        <f t="shared" si="1"/>
        <v>0</v>
      </c>
      <c r="E11" s="25"/>
      <c r="F11" s="199">
        <f t="shared" si="2"/>
        <v>1.4135</v>
      </c>
      <c r="G11" s="200" t="e">
        <f t="shared" si="3"/>
        <v>#DIV/0!</v>
      </c>
      <c r="H11" s="46" t="e">
        <f t="shared" si="3"/>
        <v>#DIV/0!</v>
      </c>
      <c r="I11" s="45" t="e">
        <f t="shared" si="4"/>
        <v>#DIV/0!</v>
      </c>
      <c r="J11" s="25"/>
      <c r="K11" s="95" t="e">
        <f t="shared" ref="K11:AQ11" si="7">K40+K69</f>
        <v>#DIV/0!</v>
      </c>
      <c r="L11" s="41" t="e">
        <f t="shared" si="7"/>
        <v>#DIV/0!</v>
      </c>
      <c r="M11" s="247" t="e">
        <f t="shared" si="7"/>
        <v>#DIV/0!</v>
      </c>
      <c r="N11" s="41" t="e">
        <f t="shared" si="7"/>
        <v>#DIV/0!</v>
      </c>
      <c r="O11" s="247" t="e">
        <f t="shared" si="7"/>
        <v>#DIV/0!</v>
      </c>
      <c r="P11" s="42" t="e">
        <f t="shared" si="7"/>
        <v>#DIV/0!</v>
      </c>
      <c r="Q11" s="95" t="e">
        <f t="shared" si="7"/>
        <v>#DIV/0!</v>
      </c>
      <c r="R11" s="41" t="e">
        <f t="shared" si="7"/>
        <v>#DIV/0!</v>
      </c>
      <c r="S11" s="41" t="e">
        <f t="shared" si="7"/>
        <v>#DIV/0!</v>
      </c>
      <c r="T11" s="42" t="e">
        <f t="shared" si="7"/>
        <v>#DIV/0!</v>
      </c>
      <c r="U11" s="95" t="e">
        <f t="shared" si="7"/>
        <v>#DIV/0!</v>
      </c>
      <c r="V11" s="41" t="e">
        <f t="shared" si="7"/>
        <v>#DIV/0!</v>
      </c>
      <c r="W11" s="41" t="e">
        <f t="shared" si="7"/>
        <v>#DIV/0!</v>
      </c>
      <c r="X11" s="41" t="e">
        <f t="shared" si="7"/>
        <v>#DIV/0!</v>
      </c>
      <c r="Y11" s="41" t="e">
        <f t="shared" si="7"/>
        <v>#DIV/0!</v>
      </c>
      <c r="Z11" s="42" t="e">
        <f t="shared" si="7"/>
        <v>#DIV/0!</v>
      </c>
      <c r="AA11" s="95" t="e">
        <f t="shared" si="7"/>
        <v>#DIV/0!</v>
      </c>
      <c r="AB11" s="41" t="e">
        <f t="shared" si="7"/>
        <v>#DIV/0!</v>
      </c>
      <c r="AC11" s="41" t="e">
        <f t="shared" si="7"/>
        <v>#DIV/0!</v>
      </c>
      <c r="AD11" s="41" t="e">
        <f t="shared" si="7"/>
        <v>#DIV/0!</v>
      </c>
      <c r="AE11" s="42" t="e">
        <f t="shared" si="7"/>
        <v>#DIV/0!</v>
      </c>
      <c r="AF11" s="95" t="e">
        <f t="shared" si="7"/>
        <v>#DIV/0!</v>
      </c>
      <c r="AG11" s="41" t="e">
        <f t="shared" si="7"/>
        <v>#DIV/0!</v>
      </c>
      <c r="AH11" s="41" t="e">
        <f t="shared" si="7"/>
        <v>#DIV/0!</v>
      </c>
      <c r="AI11" s="41" t="e">
        <f t="shared" si="7"/>
        <v>#DIV/0!</v>
      </c>
      <c r="AJ11" s="41" t="e">
        <f t="shared" si="7"/>
        <v>#DIV/0!</v>
      </c>
      <c r="AK11" s="41" t="e">
        <f t="shared" si="7"/>
        <v>#DIV/0!</v>
      </c>
      <c r="AL11" s="41" t="e">
        <f t="shared" si="7"/>
        <v>#DIV/0!</v>
      </c>
      <c r="AM11" s="41" t="e">
        <f t="shared" si="7"/>
        <v>#DIV/0!</v>
      </c>
      <c r="AN11" s="41" t="e">
        <f t="shared" si="7"/>
        <v>#DIV/0!</v>
      </c>
      <c r="AO11" s="41" t="e">
        <f t="shared" si="7"/>
        <v>#DIV/0!</v>
      </c>
      <c r="AP11" s="41" t="e">
        <f t="shared" si="7"/>
        <v>#DIV/0!</v>
      </c>
      <c r="AQ11" s="42" t="e">
        <f t="shared" si="7"/>
        <v>#DIV/0!</v>
      </c>
      <c r="AS11" s="95">
        <f t="shared" ref="AS11:CA11" si="8">AS40+AS69</f>
        <v>0</v>
      </c>
      <c r="AT11" s="41">
        <f t="shared" si="8"/>
        <v>0</v>
      </c>
      <c r="AU11" s="41">
        <f t="shared" si="8"/>
        <v>0</v>
      </c>
      <c r="AV11" s="41">
        <f t="shared" si="8"/>
        <v>0</v>
      </c>
      <c r="AW11" s="41">
        <f t="shared" si="8"/>
        <v>0</v>
      </c>
      <c r="AX11" s="41">
        <f t="shared" si="8"/>
        <v>0</v>
      </c>
      <c r="AY11" s="41">
        <f t="shared" si="8"/>
        <v>0</v>
      </c>
      <c r="AZ11" s="42">
        <f t="shared" si="8"/>
        <v>0</v>
      </c>
      <c r="BA11" s="41">
        <f t="shared" si="8"/>
        <v>0</v>
      </c>
      <c r="BB11" s="41">
        <f t="shared" si="8"/>
        <v>0</v>
      </c>
      <c r="BC11" s="41">
        <f t="shared" si="8"/>
        <v>0</v>
      </c>
      <c r="BD11" s="41">
        <f t="shared" si="8"/>
        <v>0</v>
      </c>
      <c r="BE11" s="95">
        <f t="shared" si="8"/>
        <v>0</v>
      </c>
      <c r="BF11" s="41">
        <f t="shared" si="8"/>
        <v>0</v>
      </c>
      <c r="BG11" s="41">
        <f t="shared" si="8"/>
        <v>0</v>
      </c>
      <c r="BH11" s="41">
        <f t="shared" si="8"/>
        <v>0</v>
      </c>
      <c r="BI11" s="41">
        <f t="shared" si="8"/>
        <v>0</v>
      </c>
      <c r="BJ11" s="42">
        <f t="shared" si="8"/>
        <v>0</v>
      </c>
      <c r="BK11" s="41">
        <f t="shared" si="8"/>
        <v>0</v>
      </c>
      <c r="BL11" s="41">
        <f t="shared" si="8"/>
        <v>0</v>
      </c>
      <c r="BM11" s="41">
        <f t="shared" si="8"/>
        <v>0</v>
      </c>
      <c r="BN11" s="41">
        <f t="shared" si="8"/>
        <v>0</v>
      </c>
      <c r="BO11" s="41">
        <f t="shared" si="8"/>
        <v>0</v>
      </c>
      <c r="BP11" s="95">
        <f t="shared" si="8"/>
        <v>0</v>
      </c>
      <c r="BQ11" s="41">
        <f t="shared" si="8"/>
        <v>0</v>
      </c>
      <c r="BR11" s="41">
        <f t="shared" si="8"/>
        <v>0</v>
      </c>
      <c r="BS11" s="41">
        <f t="shared" si="8"/>
        <v>0</v>
      </c>
      <c r="BT11" s="41">
        <f t="shared" si="8"/>
        <v>0</v>
      </c>
      <c r="BU11" s="41">
        <f t="shared" si="8"/>
        <v>0</v>
      </c>
      <c r="BV11" s="41">
        <f t="shared" si="8"/>
        <v>0</v>
      </c>
      <c r="BW11" s="41">
        <f t="shared" si="8"/>
        <v>0</v>
      </c>
      <c r="BX11" s="41">
        <f t="shared" si="8"/>
        <v>0</v>
      </c>
      <c r="BY11" s="41">
        <f t="shared" si="8"/>
        <v>0</v>
      </c>
      <c r="BZ11" s="41">
        <f t="shared" si="8"/>
        <v>0</v>
      </c>
      <c r="CA11" s="42">
        <f t="shared" si="8"/>
        <v>0</v>
      </c>
    </row>
    <row r="12" spans="1:86" x14ac:dyDescent="0.25">
      <c r="A12" s="127" t="s">
        <v>155</v>
      </c>
      <c r="B12" s="206">
        <f t="shared" si="0"/>
        <v>0</v>
      </c>
      <c r="C12" s="46">
        <f t="shared" si="1"/>
        <v>0</v>
      </c>
      <c r="D12" s="129">
        <f t="shared" si="1"/>
        <v>0</v>
      </c>
      <c r="E12" s="25"/>
      <c r="F12" s="199">
        <f t="shared" si="2"/>
        <v>0</v>
      </c>
      <c r="G12" s="200" t="e">
        <f t="shared" si="3"/>
        <v>#DIV/0!</v>
      </c>
      <c r="H12" s="46" t="e">
        <f t="shared" si="3"/>
        <v>#DIV/0!</v>
      </c>
      <c r="I12" s="45" t="e">
        <f t="shared" si="4"/>
        <v>#DIV/0!</v>
      </c>
      <c r="J12" s="25"/>
      <c r="K12" s="95" t="e">
        <f t="shared" ref="K12:AQ12" si="9">K41+K70</f>
        <v>#DIV/0!</v>
      </c>
      <c r="L12" s="41" t="e">
        <f t="shared" si="9"/>
        <v>#DIV/0!</v>
      </c>
      <c r="M12" s="247" t="e">
        <f t="shared" si="9"/>
        <v>#DIV/0!</v>
      </c>
      <c r="N12" s="41" t="e">
        <f t="shared" si="9"/>
        <v>#DIV/0!</v>
      </c>
      <c r="O12" s="247" t="e">
        <f t="shared" si="9"/>
        <v>#DIV/0!</v>
      </c>
      <c r="P12" s="42" t="e">
        <f t="shared" si="9"/>
        <v>#DIV/0!</v>
      </c>
      <c r="Q12" s="95" t="e">
        <f t="shared" si="9"/>
        <v>#DIV/0!</v>
      </c>
      <c r="R12" s="41" t="e">
        <f t="shared" si="9"/>
        <v>#DIV/0!</v>
      </c>
      <c r="S12" s="41" t="e">
        <f t="shared" si="9"/>
        <v>#DIV/0!</v>
      </c>
      <c r="T12" s="42" t="e">
        <f t="shared" si="9"/>
        <v>#DIV/0!</v>
      </c>
      <c r="U12" s="95" t="e">
        <f t="shared" si="9"/>
        <v>#DIV/0!</v>
      </c>
      <c r="V12" s="41" t="e">
        <f t="shared" si="9"/>
        <v>#DIV/0!</v>
      </c>
      <c r="W12" s="41" t="e">
        <f t="shared" si="9"/>
        <v>#DIV/0!</v>
      </c>
      <c r="X12" s="41" t="e">
        <f t="shared" si="9"/>
        <v>#DIV/0!</v>
      </c>
      <c r="Y12" s="41" t="e">
        <f t="shared" si="9"/>
        <v>#DIV/0!</v>
      </c>
      <c r="Z12" s="42" t="e">
        <f t="shared" si="9"/>
        <v>#DIV/0!</v>
      </c>
      <c r="AA12" s="95" t="e">
        <f t="shared" si="9"/>
        <v>#DIV/0!</v>
      </c>
      <c r="AB12" s="41" t="e">
        <f t="shared" si="9"/>
        <v>#DIV/0!</v>
      </c>
      <c r="AC12" s="41" t="e">
        <f t="shared" si="9"/>
        <v>#DIV/0!</v>
      </c>
      <c r="AD12" s="41" t="e">
        <f t="shared" si="9"/>
        <v>#DIV/0!</v>
      </c>
      <c r="AE12" s="42" t="e">
        <f t="shared" si="9"/>
        <v>#DIV/0!</v>
      </c>
      <c r="AF12" s="95" t="e">
        <f t="shared" si="9"/>
        <v>#DIV/0!</v>
      </c>
      <c r="AG12" s="41" t="e">
        <f t="shared" si="9"/>
        <v>#DIV/0!</v>
      </c>
      <c r="AH12" s="41" t="e">
        <f t="shared" si="9"/>
        <v>#DIV/0!</v>
      </c>
      <c r="AI12" s="41" t="e">
        <f t="shared" si="9"/>
        <v>#DIV/0!</v>
      </c>
      <c r="AJ12" s="41" t="e">
        <f t="shared" si="9"/>
        <v>#DIV/0!</v>
      </c>
      <c r="AK12" s="41" t="e">
        <f t="shared" si="9"/>
        <v>#DIV/0!</v>
      </c>
      <c r="AL12" s="41" t="e">
        <f t="shared" si="9"/>
        <v>#DIV/0!</v>
      </c>
      <c r="AM12" s="41" t="e">
        <f t="shared" si="9"/>
        <v>#DIV/0!</v>
      </c>
      <c r="AN12" s="41" t="e">
        <f t="shared" si="9"/>
        <v>#DIV/0!</v>
      </c>
      <c r="AO12" s="41" t="e">
        <f t="shared" si="9"/>
        <v>#DIV/0!</v>
      </c>
      <c r="AP12" s="41" t="e">
        <f t="shared" si="9"/>
        <v>#DIV/0!</v>
      </c>
      <c r="AQ12" s="42" t="e">
        <f t="shared" si="9"/>
        <v>#DIV/0!</v>
      </c>
      <c r="AS12" s="95">
        <f t="shared" ref="AS12:CA12" si="10">AS41+AS70</f>
        <v>0</v>
      </c>
      <c r="AT12" s="41">
        <f t="shared" si="10"/>
        <v>0</v>
      </c>
      <c r="AU12" s="41">
        <f t="shared" si="10"/>
        <v>0</v>
      </c>
      <c r="AV12" s="41">
        <f t="shared" si="10"/>
        <v>0</v>
      </c>
      <c r="AW12" s="41">
        <f t="shared" si="10"/>
        <v>0</v>
      </c>
      <c r="AX12" s="41">
        <f t="shared" si="10"/>
        <v>0</v>
      </c>
      <c r="AY12" s="41">
        <f t="shared" si="10"/>
        <v>0</v>
      </c>
      <c r="AZ12" s="42">
        <f t="shared" si="10"/>
        <v>0</v>
      </c>
      <c r="BA12" s="41">
        <f t="shared" si="10"/>
        <v>0</v>
      </c>
      <c r="BB12" s="41">
        <f t="shared" si="10"/>
        <v>0</v>
      </c>
      <c r="BC12" s="41">
        <f t="shared" si="10"/>
        <v>0</v>
      </c>
      <c r="BD12" s="41">
        <f t="shared" si="10"/>
        <v>0</v>
      </c>
      <c r="BE12" s="95">
        <f t="shared" si="10"/>
        <v>0</v>
      </c>
      <c r="BF12" s="41">
        <f t="shared" si="10"/>
        <v>0</v>
      </c>
      <c r="BG12" s="41">
        <f t="shared" si="10"/>
        <v>0</v>
      </c>
      <c r="BH12" s="41">
        <f t="shared" si="10"/>
        <v>0</v>
      </c>
      <c r="BI12" s="41">
        <f t="shared" si="10"/>
        <v>0</v>
      </c>
      <c r="BJ12" s="42">
        <f t="shared" si="10"/>
        <v>0</v>
      </c>
      <c r="BK12" s="41">
        <f t="shared" si="10"/>
        <v>0</v>
      </c>
      <c r="BL12" s="41">
        <f t="shared" si="10"/>
        <v>0</v>
      </c>
      <c r="BM12" s="41">
        <f t="shared" si="10"/>
        <v>0</v>
      </c>
      <c r="BN12" s="41">
        <f t="shared" si="10"/>
        <v>0</v>
      </c>
      <c r="BO12" s="41">
        <f t="shared" si="10"/>
        <v>0</v>
      </c>
      <c r="BP12" s="95">
        <f t="shared" si="10"/>
        <v>0</v>
      </c>
      <c r="BQ12" s="41">
        <f t="shared" si="10"/>
        <v>0</v>
      </c>
      <c r="BR12" s="41">
        <f t="shared" si="10"/>
        <v>0</v>
      </c>
      <c r="BS12" s="41">
        <f t="shared" si="10"/>
        <v>0</v>
      </c>
      <c r="BT12" s="41">
        <f t="shared" si="10"/>
        <v>0</v>
      </c>
      <c r="BU12" s="41">
        <f t="shared" si="10"/>
        <v>0</v>
      </c>
      <c r="BV12" s="41">
        <f t="shared" si="10"/>
        <v>0</v>
      </c>
      <c r="BW12" s="41">
        <f t="shared" si="10"/>
        <v>0</v>
      </c>
      <c r="BX12" s="41">
        <f t="shared" si="10"/>
        <v>0</v>
      </c>
      <c r="BY12" s="41">
        <f t="shared" si="10"/>
        <v>0</v>
      </c>
      <c r="BZ12" s="41">
        <f t="shared" si="10"/>
        <v>0</v>
      </c>
      <c r="CA12" s="42">
        <f t="shared" si="10"/>
        <v>0</v>
      </c>
    </row>
    <row r="13" spans="1:86" x14ac:dyDescent="0.25">
      <c r="A13" s="127" t="s">
        <v>156</v>
      </c>
      <c r="B13" s="206">
        <f t="shared" si="0"/>
        <v>0</v>
      </c>
      <c r="C13" s="46">
        <f t="shared" si="1"/>
        <v>0</v>
      </c>
      <c r="D13" s="129">
        <f t="shared" si="1"/>
        <v>0</v>
      </c>
      <c r="E13" s="25"/>
      <c r="F13" s="199">
        <f t="shared" si="2"/>
        <v>0</v>
      </c>
      <c r="G13" s="200" t="e">
        <f t="shared" si="3"/>
        <v>#DIV/0!</v>
      </c>
      <c r="H13" s="46" t="e">
        <f t="shared" si="3"/>
        <v>#DIV/0!</v>
      </c>
      <c r="I13" s="45" t="e">
        <f t="shared" si="4"/>
        <v>#DIV/0!</v>
      </c>
      <c r="J13" s="25"/>
      <c r="K13" s="95" t="e">
        <f t="shared" ref="K13:AQ13" si="11">K42+K71</f>
        <v>#DIV/0!</v>
      </c>
      <c r="L13" s="41" t="e">
        <f t="shared" si="11"/>
        <v>#DIV/0!</v>
      </c>
      <c r="M13" s="247" t="e">
        <f t="shared" si="11"/>
        <v>#DIV/0!</v>
      </c>
      <c r="N13" s="41" t="e">
        <f t="shared" si="11"/>
        <v>#DIV/0!</v>
      </c>
      <c r="O13" s="247" t="e">
        <f t="shared" si="11"/>
        <v>#DIV/0!</v>
      </c>
      <c r="P13" s="42" t="e">
        <f t="shared" si="11"/>
        <v>#DIV/0!</v>
      </c>
      <c r="Q13" s="95" t="e">
        <f t="shared" si="11"/>
        <v>#DIV/0!</v>
      </c>
      <c r="R13" s="41" t="e">
        <f t="shared" si="11"/>
        <v>#DIV/0!</v>
      </c>
      <c r="S13" s="41" t="e">
        <f t="shared" si="11"/>
        <v>#DIV/0!</v>
      </c>
      <c r="T13" s="42" t="e">
        <f t="shared" si="11"/>
        <v>#DIV/0!</v>
      </c>
      <c r="U13" s="95" t="e">
        <f t="shared" si="11"/>
        <v>#DIV/0!</v>
      </c>
      <c r="V13" s="41" t="e">
        <f t="shared" si="11"/>
        <v>#DIV/0!</v>
      </c>
      <c r="W13" s="41" t="e">
        <f t="shared" si="11"/>
        <v>#DIV/0!</v>
      </c>
      <c r="X13" s="41" t="e">
        <f t="shared" si="11"/>
        <v>#DIV/0!</v>
      </c>
      <c r="Y13" s="41" t="e">
        <f t="shared" si="11"/>
        <v>#DIV/0!</v>
      </c>
      <c r="Z13" s="42" t="e">
        <f t="shared" si="11"/>
        <v>#DIV/0!</v>
      </c>
      <c r="AA13" s="95" t="e">
        <f t="shared" si="11"/>
        <v>#DIV/0!</v>
      </c>
      <c r="AB13" s="41" t="e">
        <f t="shared" si="11"/>
        <v>#DIV/0!</v>
      </c>
      <c r="AC13" s="41" t="e">
        <f t="shared" si="11"/>
        <v>#DIV/0!</v>
      </c>
      <c r="AD13" s="41" t="e">
        <f t="shared" si="11"/>
        <v>#DIV/0!</v>
      </c>
      <c r="AE13" s="42" t="e">
        <f t="shared" si="11"/>
        <v>#DIV/0!</v>
      </c>
      <c r="AF13" s="95" t="e">
        <f t="shared" si="11"/>
        <v>#DIV/0!</v>
      </c>
      <c r="AG13" s="41" t="e">
        <f t="shared" si="11"/>
        <v>#DIV/0!</v>
      </c>
      <c r="AH13" s="41" t="e">
        <f t="shared" si="11"/>
        <v>#DIV/0!</v>
      </c>
      <c r="AI13" s="41" t="e">
        <f t="shared" si="11"/>
        <v>#DIV/0!</v>
      </c>
      <c r="AJ13" s="41" t="e">
        <f t="shared" si="11"/>
        <v>#DIV/0!</v>
      </c>
      <c r="AK13" s="41" t="e">
        <f t="shared" si="11"/>
        <v>#DIV/0!</v>
      </c>
      <c r="AL13" s="41" t="e">
        <f t="shared" si="11"/>
        <v>#DIV/0!</v>
      </c>
      <c r="AM13" s="41" t="e">
        <f t="shared" si="11"/>
        <v>#DIV/0!</v>
      </c>
      <c r="AN13" s="41" t="e">
        <f t="shared" si="11"/>
        <v>#DIV/0!</v>
      </c>
      <c r="AO13" s="41" t="e">
        <f t="shared" si="11"/>
        <v>#DIV/0!</v>
      </c>
      <c r="AP13" s="41" t="e">
        <f t="shared" si="11"/>
        <v>#DIV/0!</v>
      </c>
      <c r="AQ13" s="42" t="e">
        <f t="shared" si="11"/>
        <v>#DIV/0!</v>
      </c>
      <c r="AS13" s="95">
        <f t="shared" ref="AS13:CA13" si="12">AS42+AS71</f>
        <v>0</v>
      </c>
      <c r="AT13" s="41">
        <f t="shared" si="12"/>
        <v>0</v>
      </c>
      <c r="AU13" s="41">
        <f t="shared" si="12"/>
        <v>0</v>
      </c>
      <c r="AV13" s="41">
        <f t="shared" si="12"/>
        <v>0</v>
      </c>
      <c r="AW13" s="41">
        <f t="shared" si="12"/>
        <v>0</v>
      </c>
      <c r="AX13" s="41">
        <f t="shared" si="12"/>
        <v>0</v>
      </c>
      <c r="AY13" s="41">
        <f t="shared" si="12"/>
        <v>0</v>
      </c>
      <c r="AZ13" s="42">
        <f t="shared" si="12"/>
        <v>0</v>
      </c>
      <c r="BA13" s="41">
        <f t="shared" si="12"/>
        <v>0</v>
      </c>
      <c r="BB13" s="41">
        <f t="shared" si="12"/>
        <v>0</v>
      </c>
      <c r="BC13" s="41">
        <f t="shared" si="12"/>
        <v>0</v>
      </c>
      <c r="BD13" s="41">
        <f t="shared" si="12"/>
        <v>0</v>
      </c>
      <c r="BE13" s="95">
        <f t="shared" si="12"/>
        <v>0</v>
      </c>
      <c r="BF13" s="41">
        <f t="shared" si="12"/>
        <v>0</v>
      </c>
      <c r="BG13" s="41">
        <f t="shared" si="12"/>
        <v>0</v>
      </c>
      <c r="BH13" s="41">
        <f t="shared" si="12"/>
        <v>0</v>
      </c>
      <c r="BI13" s="41">
        <f t="shared" si="12"/>
        <v>0</v>
      </c>
      <c r="BJ13" s="42">
        <f t="shared" si="12"/>
        <v>0</v>
      </c>
      <c r="BK13" s="41">
        <f t="shared" si="12"/>
        <v>0</v>
      </c>
      <c r="BL13" s="41">
        <f t="shared" si="12"/>
        <v>0</v>
      </c>
      <c r="BM13" s="41">
        <f t="shared" si="12"/>
        <v>0</v>
      </c>
      <c r="BN13" s="41">
        <f t="shared" si="12"/>
        <v>0</v>
      </c>
      <c r="BO13" s="41">
        <f t="shared" si="12"/>
        <v>0</v>
      </c>
      <c r="BP13" s="95">
        <f t="shared" si="12"/>
        <v>0</v>
      </c>
      <c r="BQ13" s="41">
        <f t="shared" si="12"/>
        <v>0</v>
      </c>
      <c r="BR13" s="41">
        <f t="shared" si="12"/>
        <v>0</v>
      </c>
      <c r="BS13" s="41">
        <f t="shared" si="12"/>
        <v>0</v>
      </c>
      <c r="BT13" s="41">
        <f t="shared" si="12"/>
        <v>0</v>
      </c>
      <c r="BU13" s="41">
        <f t="shared" si="12"/>
        <v>0</v>
      </c>
      <c r="BV13" s="41">
        <f t="shared" si="12"/>
        <v>0</v>
      </c>
      <c r="BW13" s="41">
        <f t="shared" si="12"/>
        <v>0</v>
      </c>
      <c r="BX13" s="41">
        <f t="shared" si="12"/>
        <v>0</v>
      </c>
      <c r="BY13" s="41">
        <f t="shared" si="12"/>
        <v>0</v>
      </c>
      <c r="BZ13" s="41">
        <f t="shared" si="12"/>
        <v>0</v>
      </c>
      <c r="CA13" s="42">
        <f t="shared" si="12"/>
        <v>0</v>
      </c>
    </row>
    <row r="14" spans="1:86" x14ac:dyDescent="0.25">
      <c r="A14" s="127" t="s">
        <v>157</v>
      </c>
      <c r="B14" s="206">
        <f t="shared" si="0"/>
        <v>0</v>
      </c>
      <c r="C14" s="46">
        <f t="shared" si="1"/>
        <v>0</v>
      </c>
      <c r="D14" s="129">
        <f t="shared" si="1"/>
        <v>0</v>
      </c>
      <c r="E14" s="25"/>
      <c r="F14" s="199">
        <f t="shared" si="2"/>
        <v>46.645499999999998</v>
      </c>
      <c r="G14" s="200" t="e">
        <f t="shared" si="3"/>
        <v>#DIV/0!</v>
      </c>
      <c r="H14" s="46" t="e">
        <f t="shared" si="3"/>
        <v>#DIV/0!</v>
      </c>
      <c r="I14" s="45" t="e">
        <f t="shared" si="4"/>
        <v>#DIV/0!</v>
      </c>
      <c r="J14" s="25"/>
      <c r="K14" s="95" t="e">
        <f t="shared" ref="K14:AQ14" si="13">K43+K72</f>
        <v>#DIV/0!</v>
      </c>
      <c r="L14" s="41" t="e">
        <f t="shared" si="13"/>
        <v>#DIV/0!</v>
      </c>
      <c r="M14" s="247" t="e">
        <f t="shared" si="13"/>
        <v>#DIV/0!</v>
      </c>
      <c r="N14" s="41" t="e">
        <f t="shared" si="13"/>
        <v>#DIV/0!</v>
      </c>
      <c r="O14" s="247" t="e">
        <f t="shared" si="13"/>
        <v>#DIV/0!</v>
      </c>
      <c r="P14" s="42" t="e">
        <f t="shared" si="13"/>
        <v>#DIV/0!</v>
      </c>
      <c r="Q14" s="95" t="e">
        <f t="shared" si="13"/>
        <v>#DIV/0!</v>
      </c>
      <c r="R14" s="41" t="e">
        <f t="shared" si="13"/>
        <v>#DIV/0!</v>
      </c>
      <c r="S14" s="41" t="e">
        <f t="shared" si="13"/>
        <v>#DIV/0!</v>
      </c>
      <c r="T14" s="42" t="e">
        <f t="shared" si="13"/>
        <v>#DIV/0!</v>
      </c>
      <c r="U14" s="95" t="e">
        <f t="shared" si="13"/>
        <v>#DIV/0!</v>
      </c>
      <c r="V14" s="41" t="e">
        <f t="shared" si="13"/>
        <v>#DIV/0!</v>
      </c>
      <c r="W14" s="41" t="e">
        <f t="shared" si="13"/>
        <v>#DIV/0!</v>
      </c>
      <c r="X14" s="41" t="e">
        <f t="shared" si="13"/>
        <v>#DIV/0!</v>
      </c>
      <c r="Y14" s="41" t="e">
        <f t="shared" si="13"/>
        <v>#DIV/0!</v>
      </c>
      <c r="Z14" s="42" t="e">
        <f t="shared" si="13"/>
        <v>#DIV/0!</v>
      </c>
      <c r="AA14" s="95" t="e">
        <f t="shared" si="13"/>
        <v>#DIV/0!</v>
      </c>
      <c r="AB14" s="41" t="e">
        <f t="shared" si="13"/>
        <v>#DIV/0!</v>
      </c>
      <c r="AC14" s="41" t="e">
        <f t="shared" si="13"/>
        <v>#DIV/0!</v>
      </c>
      <c r="AD14" s="41" t="e">
        <f t="shared" si="13"/>
        <v>#DIV/0!</v>
      </c>
      <c r="AE14" s="42" t="e">
        <f t="shared" si="13"/>
        <v>#DIV/0!</v>
      </c>
      <c r="AF14" s="95" t="e">
        <f t="shared" si="13"/>
        <v>#DIV/0!</v>
      </c>
      <c r="AG14" s="41" t="e">
        <f t="shared" si="13"/>
        <v>#DIV/0!</v>
      </c>
      <c r="AH14" s="41" t="e">
        <f t="shared" si="13"/>
        <v>#DIV/0!</v>
      </c>
      <c r="AI14" s="41" t="e">
        <f t="shared" si="13"/>
        <v>#DIV/0!</v>
      </c>
      <c r="AJ14" s="41" t="e">
        <f t="shared" si="13"/>
        <v>#DIV/0!</v>
      </c>
      <c r="AK14" s="41" t="e">
        <f t="shared" si="13"/>
        <v>#DIV/0!</v>
      </c>
      <c r="AL14" s="41" t="e">
        <f t="shared" si="13"/>
        <v>#DIV/0!</v>
      </c>
      <c r="AM14" s="41" t="e">
        <f t="shared" si="13"/>
        <v>#DIV/0!</v>
      </c>
      <c r="AN14" s="41" t="e">
        <f t="shared" si="13"/>
        <v>#DIV/0!</v>
      </c>
      <c r="AO14" s="41" t="e">
        <f t="shared" si="13"/>
        <v>#DIV/0!</v>
      </c>
      <c r="AP14" s="41" t="e">
        <f t="shared" si="13"/>
        <v>#DIV/0!</v>
      </c>
      <c r="AQ14" s="42" t="e">
        <f t="shared" si="13"/>
        <v>#DIV/0!</v>
      </c>
      <c r="AS14" s="95">
        <f t="shared" ref="AS14:CA14" si="14">AS43+AS72</f>
        <v>0</v>
      </c>
      <c r="AT14" s="41">
        <f t="shared" si="14"/>
        <v>0</v>
      </c>
      <c r="AU14" s="41">
        <f t="shared" si="14"/>
        <v>0</v>
      </c>
      <c r="AV14" s="41">
        <f t="shared" si="14"/>
        <v>0</v>
      </c>
      <c r="AW14" s="41">
        <f t="shared" si="14"/>
        <v>0</v>
      </c>
      <c r="AX14" s="41">
        <f t="shared" si="14"/>
        <v>0</v>
      </c>
      <c r="AY14" s="41">
        <f t="shared" si="14"/>
        <v>0</v>
      </c>
      <c r="AZ14" s="42">
        <f t="shared" si="14"/>
        <v>0</v>
      </c>
      <c r="BA14" s="41">
        <f t="shared" si="14"/>
        <v>0</v>
      </c>
      <c r="BB14" s="41">
        <f t="shared" si="14"/>
        <v>0</v>
      </c>
      <c r="BC14" s="41">
        <f t="shared" si="14"/>
        <v>0</v>
      </c>
      <c r="BD14" s="41">
        <f t="shared" si="14"/>
        <v>0</v>
      </c>
      <c r="BE14" s="95">
        <f t="shared" si="14"/>
        <v>0</v>
      </c>
      <c r="BF14" s="41">
        <f t="shared" si="14"/>
        <v>0</v>
      </c>
      <c r="BG14" s="41">
        <f t="shared" si="14"/>
        <v>0</v>
      </c>
      <c r="BH14" s="41">
        <f t="shared" si="14"/>
        <v>0</v>
      </c>
      <c r="BI14" s="41">
        <f t="shared" si="14"/>
        <v>0</v>
      </c>
      <c r="BJ14" s="42">
        <f t="shared" si="14"/>
        <v>0</v>
      </c>
      <c r="BK14" s="41">
        <f t="shared" si="14"/>
        <v>0</v>
      </c>
      <c r="BL14" s="41">
        <f t="shared" si="14"/>
        <v>0</v>
      </c>
      <c r="BM14" s="41">
        <f t="shared" si="14"/>
        <v>0</v>
      </c>
      <c r="BN14" s="41">
        <f t="shared" si="14"/>
        <v>0</v>
      </c>
      <c r="BO14" s="41">
        <f t="shared" si="14"/>
        <v>0</v>
      </c>
      <c r="BP14" s="95">
        <f t="shared" si="14"/>
        <v>0</v>
      </c>
      <c r="BQ14" s="41">
        <f t="shared" si="14"/>
        <v>0</v>
      </c>
      <c r="BR14" s="41">
        <f t="shared" si="14"/>
        <v>0</v>
      </c>
      <c r="BS14" s="41">
        <f t="shared" si="14"/>
        <v>0</v>
      </c>
      <c r="BT14" s="41">
        <f t="shared" si="14"/>
        <v>0</v>
      </c>
      <c r="BU14" s="41">
        <f t="shared" si="14"/>
        <v>0</v>
      </c>
      <c r="BV14" s="41">
        <f t="shared" si="14"/>
        <v>0</v>
      </c>
      <c r="BW14" s="41">
        <f t="shared" si="14"/>
        <v>0</v>
      </c>
      <c r="BX14" s="41">
        <f t="shared" si="14"/>
        <v>0</v>
      </c>
      <c r="BY14" s="41">
        <f t="shared" si="14"/>
        <v>0</v>
      </c>
      <c r="BZ14" s="41">
        <f t="shared" si="14"/>
        <v>0</v>
      </c>
      <c r="CA14" s="42">
        <f t="shared" si="14"/>
        <v>0</v>
      </c>
    </row>
    <row r="15" spans="1:86" x14ac:dyDescent="0.25">
      <c r="A15" s="127" t="s">
        <v>158</v>
      </c>
      <c r="B15" s="206">
        <f t="shared" si="0"/>
        <v>33</v>
      </c>
      <c r="C15" s="46">
        <f t="shared" si="1"/>
        <v>102</v>
      </c>
      <c r="D15" s="129">
        <f t="shared" si="1"/>
        <v>351.68999999999994</v>
      </c>
      <c r="E15" s="25"/>
      <c r="F15" s="199">
        <f t="shared" si="2"/>
        <v>58.222700000000003</v>
      </c>
      <c r="G15" s="200">
        <f t="shared" si="3"/>
        <v>352.76783873374097</v>
      </c>
      <c r="H15" s="46">
        <f t="shared" si="3"/>
        <v>743.86236455011658</v>
      </c>
      <c r="I15" s="45">
        <f t="shared" si="4"/>
        <v>0.28914200445859428</v>
      </c>
      <c r="J15" s="25"/>
      <c r="K15" s="95">
        <f t="shared" ref="K15:L23" si="15">K44+K73</f>
        <v>0</v>
      </c>
      <c r="L15" s="41">
        <f t="shared" si="15"/>
        <v>0</v>
      </c>
      <c r="M15" s="247">
        <f t="shared" ref="M15:AQ15" si="16">M44+M73</f>
        <v>7.2377946663897168</v>
      </c>
      <c r="N15" s="41">
        <f t="shared" si="16"/>
        <v>0</v>
      </c>
      <c r="O15" s="247">
        <f t="shared" si="16"/>
        <v>9.0021189088139586</v>
      </c>
      <c r="P15" s="42">
        <f t="shared" si="16"/>
        <v>0</v>
      </c>
      <c r="Q15" s="95">
        <f t="shared" si="16"/>
        <v>0</v>
      </c>
      <c r="R15" s="41">
        <f t="shared" si="16"/>
        <v>0</v>
      </c>
      <c r="S15" s="41">
        <f t="shared" si="16"/>
        <v>0</v>
      </c>
      <c r="T15" s="42">
        <f t="shared" si="16"/>
        <v>0</v>
      </c>
      <c r="U15" s="95">
        <f t="shared" si="16"/>
        <v>3.5286484848484849</v>
      </c>
      <c r="V15" s="41">
        <f t="shared" si="16"/>
        <v>3.5286484848484849</v>
      </c>
      <c r="W15" s="41">
        <f t="shared" si="16"/>
        <v>0</v>
      </c>
      <c r="X15" s="41">
        <f t="shared" si="16"/>
        <v>0</v>
      </c>
      <c r="Y15" s="41">
        <f t="shared" si="16"/>
        <v>0</v>
      </c>
      <c r="Z15" s="42">
        <f t="shared" si="16"/>
        <v>0</v>
      </c>
      <c r="AA15" s="95">
        <f t="shared" si="16"/>
        <v>0</v>
      </c>
      <c r="AB15" s="41">
        <f t="shared" si="16"/>
        <v>0</v>
      </c>
      <c r="AC15" s="41">
        <f t="shared" si="16"/>
        <v>0</v>
      </c>
      <c r="AD15" s="41">
        <f t="shared" si="16"/>
        <v>0</v>
      </c>
      <c r="AE15" s="42">
        <f t="shared" si="16"/>
        <v>0</v>
      </c>
      <c r="AF15" s="95">
        <f t="shared" si="16"/>
        <v>0</v>
      </c>
      <c r="AG15" s="41">
        <f t="shared" si="16"/>
        <v>0</v>
      </c>
      <c r="AH15" s="41">
        <f t="shared" si="16"/>
        <v>0</v>
      </c>
      <c r="AI15" s="41">
        <f t="shared" si="16"/>
        <v>0</v>
      </c>
      <c r="AJ15" s="41">
        <f t="shared" si="16"/>
        <v>0</v>
      </c>
      <c r="AK15" s="41">
        <f t="shared" si="16"/>
        <v>0</v>
      </c>
      <c r="AL15" s="41">
        <f t="shared" si="16"/>
        <v>0</v>
      </c>
      <c r="AM15" s="41">
        <f t="shared" si="16"/>
        <v>0</v>
      </c>
      <c r="AN15" s="41">
        <f t="shared" si="16"/>
        <v>0</v>
      </c>
      <c r="AO15" s="41">
        <f t="shared" si="16"/>
        <v>0</v>
      </c>
      <c r="AP15" s="41">
        <f t="shared" si="16"/>
        <v>0</v>
      </c>
      <c r="AQ15" s="42">
        <f t="shared" si="16"/>
        <v>0</v>
      </c>
      <c r="AS15" s="95">
        <f>AS44+AS73</f>
        <v>0</v>
      </c>
      <c r="AT15" s="41">
        <f t="shared" ref="AT15:CA15" si="17">AT44+AT73</f>
        <v>0</v>
      </c>
      <c r="AU15" s="41">
        <f t="shared" si="17"/>
        <v>0</v>
      </c>
      <c r="AV15" s="41">
        <f t="shared" si="17"/>
        <v>0</v>
      </c>
      <c r="AW15" s="41">
        <f t="shared" si="17"/>
        <v>2</v>
      </c>
      <c r="AX15" s="41">
        <f t="shared" si="17"/>
        <v>0</v>
      </c>
      <c r="AY15" s="41">
        <f t="shared" si="17"/>
        <v>3</v>
      </c>
      <c r="AZ15" s="42">
        <f t="shared" si="17"/>
        <v>0</v>
      </c>
      <c r="BA15" s="41">
        <f t="shared" si="17"/>
        <v>0</v>
      </c>
      <c r="BB15" s="41">
        <f t="shared" si="17"/>
        <v>0</v>
      </c>
      <c r="BC15" s="41">
        <f t="shared" si="17"/>
        <v>0</v>
      </c>
      <c r="BD15" s="41">
        <f t="shared" si="17"/>
        <v>0</v>
      </c>
      <c r="BE15" s="95">
        <f t="shared" si="17"/>
        <v>2</v>
      </c>
      <c r="BF15" s="41">
        <f t="shared" si="17"/>
        <v>2</v>
      </c>
      <c r="BG15" s="41">
        <f t="shared" si="17"/>
        <v>0</v>
      </c>
      <c r="BH15" s="41">
        <f t="shared" si="17"/>
        <v>0</v>
      </c>
      <c r="BI15" s="41">
        <f t="shared" si="17"/>
        <v>0</v>
      </c>
      <c r="BJ15" s="42">
        <f t="shared" si="17"/>
        <v>0</v>
      </c>
      <c r="BK15" s="41">
        <f t="shared" si="17"/>
        <v>0</v>
      </c>
      <c r="BL15" s="41">
        <f t="shared" si="17"/>
        <v>0</v>
      </c>
      <c r="BM15" s="41">
        <f t="shared" si="17"/>
        <v>0</v>
      </c>
      <c r="BN15" s="41">
        <f t="shared" si="17"/>
        <v>0</v>
      </c>
      <c r="BO15" s="41">
        <f t="shared" si="17"/>
        <v>0</v>
      </c>
      <c r="BP15" s="95">
        <f t="shared" si="17"/>
        <v>0</v>
      </c>
      <c r="BQ15" s="41">
        <f t="shared" si="17"/>
        <v>0</v>
      </c>
      <c r="BR15" s="41">
        <f t="shared" si="17"/>
        <v>0</v>
      </c>
      <c r="BS15" s="41">
        <f t="shared" si="17"/>
        <v>0</v>
      </c>
      <c r="BT15" s="41">
        <f t="shared" si="17"/>
        <v>0</v>
      </c>
      <c r="BU15" s="41">
        <f t="shared" si="17"/>
        <v>0</v>
      </c>
      <c r="BV15" s="41">
        <f t="shared" si="17"/>
        <v>0</v>
      </c>
      <c r="BW15" s="41">
        <f t="shared" si="17"/>
        <v>0</v>
      </c>
      <c r="BX15" s="41">
        <f t="shared" si="17"/>
        <v>0</v>
      </c>
      <c r="BY15" s="41">
        <f t="shared" si="17"/>
        <v>0</v>
      </c>
      <c r="BZ15" s="41">
        <f t="shared" si="17"/>
        <v>0</v>
      </c>
      <c r="CA15" s="42">
        <f t="shared" si="17"/>
        <v>0</v>
      </c>
    </row>
    <row r="16" spans="1:86" x14ac:dyDescent="0.25">
      <c r="A16" s="127" t="s">
        <v>159</v>
      </c>
      <c r="B16" s="206">
        <f t="shared" si="0"/>
        <v>34</v>
      </c>
      <c r="C16" s="46">
        <f t="shared" si="1"/>
        <v>105</v>
      </c>
      <c r="D16" s="129">
        <f t="shared" si="1"/>
        <v>340.66</v>
      </c>
      <c r="E16" s="25"/>
      <c r="F16" s="199">
        <f t="shared" si="2"/>
        <v>86.223500000000001</v>
      </c>
      <c r="G16" s="200">
        <f t="shared" si="3"/>
        <v>281.63322379094586</v>
      </c>
      <c r="H16" s="46">
        <f t="shared" si="3"/>
        <v>894.34317985294138</v>
      </c>
      <c r="I16" s="45">
        <f t="shared" ref="I16" si="18">C16/G16</f>
        <v>0.37282533142446533</v>
      </c>
      <c r="J16" s="25"/>
      <c r="K16" s="95">
        <f t="shared" si="15"/>
        <v>0</v>
      </c>
      <c r="L16" s="41">
        <f t="shared" si="15"/>
        <v>0</v>
      </c>
      <c r="M16" s="247">
        <f t="shared" ref="M16:AQ16" si="19">M45+M74</f>
        <v>0</v>
      </c>
      <c r="N16" s="41">
        <f t="shared" si="19"/>
        <v>0</v>
      </c>
      <c r="O16" s="247">
        <f t="shared" si="19"/>
        <v>0</v>
      </c>
      <c r="P16" s="42">
        <f t="shared" si="19"/>
        <v>0</v>
      </c>
      <c r="Q16" s="95">
        <f t="shared" si="19"/>
        <v>0</v>
      </c>
      <c r="R16" s="41">
        <f t="shared" si="19"/>
        <v>0</v>
      </c>
      <c r="S16" s="41">
        <f t="shared" si="19"/>
        <v>0</v>
      </c>
      <c r="T16" s="42">
        <f t="shared" si="19"/>
        <v>0</v>
      </c>
      <c r="U16" s="95">
        <f t="shared" si="19"/>
        <v>0</v>
      </c>
      <c r="V16" s="41">
        <f t="shared" si="19"/>
        <v>0</v>
      </c>
      <c r="W16" s="41">
        <f t="shared" si="19"/>
        <v>0</v>
      </c>
      <c r="X16" s="41">
        <f t="shared" si="19"/>
        <v>0</v>
      </c>
      <c r="Y16" s="41">
        <f t="shared" si="19"/>
        <v>0</v>
      </c>
      <c r="Z16" s="42">
        <f t="shared" si="19"/>
        <v>0</v>
      </c>
      <c r="AA16" s="95">
        <f t="shared" si="19"/>
        <v>0</v>
      </c>
      <c r="AB16" s="41">
        <f t="shared" si="19"/>
        <v>0</v>
      </c>
      <c r="AC16" s="41">
        <f t="shared" si="19"/>
        <v>0</v>
      </c>
      <c r="AD16" s="41">
        <f t="shared" si="19"/>
        <v>0</v>
      </c>
      <c r="AE16" s="42">
        <f t="shared" si="19"/>
        <v>0</v>
      </c>
      <c r="AF16" s="95">
        <f t="shared" si="19"/>
        <v>0</v>
      </c>
      <c r="AG16" s="41">
        <f t="shared" si="19"/>
        <v>0</v>
      </c>
      <c r="AH16" s="41">
        <f t="shared" si="19"/>
        <v>0</v>
      </c>
      <c r="AI16" s="41">
        <f t="shared" si="19"/>
        <v>0</v>
      </c>
      <c r="AJ16" s="41">
        <f t="shared" si="19"/>
        <v>0</v>
      </c>
      <c r="AK16" s="41">
        <f t="shared" si="19"/>
        <v>17.588365292668794</v>
      </c>
      <c r="AL16" s="41">
        <f t="shared" si="19"/>
        <v>0</v>
      </c>
      <c r="AM16" s="41">
        <f t="shared" si="19"/>
        <v>0</v>
      </c>
      <c r="AN16" s="41">
        <f t="shared" si="19"/>
        <v>0</v>
      </c>
      <c r="AO16" s="41">
        <f t="shared" si="19"/>
        <v>0</v>
      </c>
      <c r="AP16" s="41">
        <f t="shared" si="19"/>
        <v>0</v>
      </c>
      <c r="AQ16" s="42">
        <f t="shared" si="19"/>
        <v>24.666000002988397</v>
      </c>
      <c r="AS16" s="95">
        <f t="shared" ref="AS16:CA16" si="20">AS45+AS74</f>
        <v>0</v>
      </c>
      <c r="AT16" s="41">
        <f t="shared" si="20"/>
        <v>0</v>
      </c>
      <c r="AU16" s="41">
        <f t="shared" si="20"/>
        <v>0</v>
      </c>
      <c r="AV16" s="41">
        <f t="shared" si="20"/>
        <v>0</v>
      </c>
      <c r="AW16" s="41">
        <f t="shared" si="20"/>
        <v>0</v>
      </c>
      <c r="AX16" s="41">
        <f t="shared" si="20"/>
        <v>0</v>
      </c>
      <c r="AY16" s="41">
        <f t="shared" si="20"/>
        <v>0</v>
      </c>
      <c r="AZ16" s="42">
        <f t="shared" si="20"/>
        <v>0</v>
      </c>
      <c r="BA16" s="41">
        <f t="shared" si="20"/>
        <v>0</v>
      </c>
      <c r="BB16" s="41">
        <f t="shared" si="20"/>
        <v>0</v>
      </c>
      <c r="BC16" s="41">
        <f t="shared" si="20"/>
        <v>0</v>
      </c>
      <c r="BD16" s="41">
        <f t="shared" si="20"/>
        <v>0</v>
      </c>
      <c r="BE16" s="95">
        <f t="shared" si="20"/>
        <v>0</v>
      </c>
      <c r="BF16" s="41">
        <f t="shared" si="20"/>
        <v>0</v>
      </c>
      <c r="BG16" s="41">
        <f t="shared" si="20"/>
        <v>0</v>
      </c>
      <c r="BH16" s="41">
        <f t="shared" si="20"/>
        <v>0</v>
      </c>
      <c r="BI16" s="41">
        <f t="shared" si="20"/>
        <v>0</v>
      </c>
      <c r="BJ16" s="42">
        <f t="shared" si="20"/>
        <v>0</v>
      </c>
      <c r="BK16" s="41">
        <f t="shared" si="20"/>
        <v>0</v>
      </c>
      <c r="BL16" s="41">
        <f t="shared" si="20"/>
        <v>0</v>
      </c>
      <c r="BM16" s="41">
        <f t="shared" si="20"/>
        <v>0</v>
      </c>
      <c r="BN16" s="41">
        <f t="shared" si="20"/>
        <v>0</v>
      </c>
      <c r="BO16" s="41">
        <f t="shared" si="20"/>
        <v>0</v>
      </c>
      <c r="BP16" s="95">
        <f t="shared" si="20"/>
        <v>0</v>
      </c>
      <c r="BQ16" s="41">
        <f t="shared" si="20"/>
        <v>0</v>
      </c>
      <c r="BR16" s="41">
        <f t="shared" si="20"/>
        <v>0</v>
      </c>
      <c r="BS16" s="41">
        <f t="shared" si="20"/>
        <v>0</v>
      </c>
      <c r="BT16" s="41">
        <f t="shared" si="20"/>
        <v>0</v>
      </c>
      <c r="BU16" s="41">
        <f t="shared" si="20"/>
        <v>5</v>
      </c>
      <c r="BV16" s="41">
        <f t="shared" si="20"/>
        <v>0</v>
      </c>
      <c r="BW16" s="41">
        <f t="shared" si="20"/>
        <v>0</v>
      </c>
      <c r="BX16" s="41">
        <f t="shared" si="20"/>
        <v>0</v>
      </c>
      <c r="BY16" s="41">
        <f t="shared" si="20"/>
        <v>0</v>
      </c>
      <c r="BZ16" s="41">
        <f t="shared" si="20"/>
        <v>0</v>
      </c>
      <c r="CA16" s="42">
        <f t="shared" si="20"/>
        <v>11</v>
      </c>
    </row>
    <row r="17" spans="1:86" x14ac:dyDescent="0.25">
      <c r="A17" s="127" t="s">
        <v>172</v>
      </c>
      <c r="B17" s="206">
        <f t="shared" si="0"/>
        <v>29</v>
      </c>
      <c r="C17" s="46">
        <f t="shared" si="1"/>
        <v>58</v>
      </c>
      <c r="D17" s="129">
        <f t="shared" si="1"/>
        <v>256.52000000000004</v>
      </c>
      <c r="E17" s="25"/>
      <c r="F17" s="199">
        <f t="shared" si="2"/>
        <v>59.1265</v>
      </c>
      <c r="G17" s="200">
        <f t="shared" si="3"/>
        <v>161.1426008214961</v>
      </c>
      <c r="H17" s="46">
        <f t="shared" si="3"/>
        <v>621.22166105363988</v>
      </c>
      <c r="I17" s="45">
        <f t="shared" ref="I17" si="21">C17/G17</f>
        <v>0.35992965053511111</v>
      </c>
      <c r="J17" s="25"/>
      <c r="K17" s="95">
        <f t="shared" si="15"/>
        <v>0</v>
      </c>
      <c r="L17" s="41">
        <f t="shared" si="15"/>
        <v>0</v>
      </c>
      <c r="M17" s="247">
        <f t="shared" ref="M17:AQ17" si="22">M46+M75</f>
        <v>0</v>
      </c>
      <c r="N17" s="41">
        <f t="shared" si="22"/>
        <v>0</v>
      </c>
      <c r="O17" s="247">
        <f t="shared" si="22"/>
        <v>2.0388448275862068</v>
      </c>
      <c r="P17" s="42">
        <f t="shared" si="22"/>
        <v>0</v>
      </c>
      <c r="Q17" s="95">
        <f t="shared" si="22"/>
        <v>0</v>
      </c>
      <c r="R17" s="41">
        <f t="shared" si="22"/>
        <v>0</v>
      </c>
      <c r="S17" s="41">
        <f t="shared" si="22"/>
        <v>0</v>
      </c>
      <c r="T17" s="42">
        <f t="shared" si="22"/>
        <v>0</v>
      </c>
      <c r="U17" s="95">
        <f t="shared" si="22"/>
        <v>0</v>
      </c>
      <c r="V17" s="41">
        <f t="shared" si="22"/>
        <v>4.0776896551724136</v>
      </c>
      <c r="W17" s="41">
        <f t="shared" si="22"/>
        <v>0</v>
      </c>
      <c r="X17" s="41">
        <f t="shared" si="22"/>
        <v>2.0388448275862068</v>
      </c>
      <c r="Y17" s="41">
        <f t="shared" si="22"/>
        <v>0</v>
      </c>
      <c r="Z17" s="42">
        <f t="shared" si="22"/>
        <v>0</v>
      </c>
      <c r="AA17" s="95">
        <f t="shared" si="22"/>
        <v>0</v>
      </c>
      <c r="AB17" s="41">
        <f t="shared" si="22"/>
        <v>0</v>
      </c>
      <c r="AC17" s="41">
        <f t="shared" si="22"/>
        <v>0</v>
      </c>
      <c r="AD17" s="41">
        <f t="shared" si="22"/>
        <v>0</v>
      </c>
      <c r="AE17" s="42">
        <f t="shared" si="22"/>
        <v>0</v>
      </c>
      <c r="AF17" s="95">
        <f t="shared" si="22"/>
        <v>0</v>
      </c>
      <c r="AG17" s="41">
        <f t="shared" si="22"/>
        <v>0</v>
      </c>
      <c r="AH17" s="41">
        <f t="shared" si="22"/>
        <v>0</v>
      </c>
      <c r="AI17" s="41">
        <f t="shared" si="22"/>
        <v>0</v>
      </c>
      <c r="AJ17" s="41">
        <f t="shared" si="22"/>
        <v>0</v>
      </c>
      <c r="AK17" s="41">
        <f t="shared" si="22"/>
        <v>2.0388448275862068</v>
      </c>
      <c r="AL17" s="41">
        <f t="shared" si="22"/>
        <v>0</v>
      </c>
      <c r="AM17" s="41">
        <f t="shared" si="22"/>
        <v>0</v>
      </c>
      <c r="AN17" s="41">
        <f t="shared" si="22"/>
        <v>0</v>
      </c>
      <c r="AO17" s="41">
        <f t="shared" si="22"/>
        <v>0</v>
      </c>
      <c r="AP17" s="41">
        <f t="shared" si="22"/>
        <v>0</v>
      </c>
      <c r="AQ17" s="42">
        <f t="shared" si="22"/>
        <v>0</v>
      </c>
      <c r="AS17" s="95">
        <f t="shared" ref="AS17:CA17" si="23">AS46+AS75</f>
        <v>0</v>
      </c>
      <c r="AT17" s="41">
        <f t="shared" si="23"/>
        <v>0</v>
      </c>
      <c r="AU17" s="41">
        <f t="shared" si="23"/>
        <v>0</v>
      </c>
      <c r="AV17" s="41">
        <f t="shared" si="23"/>
        <v>0</v>
      </c>
      <c r="AW17" s="41">
        <f t="shared" si="23"/>
        <v>0</v>
      </c>
      <c r="AX17" s="41">
        <f t="shared" si="23"/>
        <v>0</v>
      </c>
      <c r="AY17" s="41">
        <f t="shared" si="23"/>
        <v>1</v>
      </c>
      <c r="AZ17" s="42">
        <f t="shared" si="23"/>
        <v>0</v>
      </c>
      <c r="BA17" s="41">
        <f t="shared" si="23"/>
        <v>0</v>
      </c>
      <c r="BB17" s="41">
        <f t="shared" si="23"/>
        <v>0</v>
      </c>
      <c r="BC17" s="41">
        <f t="shared" si="23"/>
        <v>0</v>
      </c>
      <c r="BD17" s="41">
        <f t="shared" si="23"/>
        <v>0</v>
      </c>
      <c r="BE17" s="95">
        <f t="shared" si="23"/>
        <v>0</v>
      </c>
      <c r="BF17" s="41">
        <f t="shared" si="23"/>
        <v>2</v>
      </c>
      <c r="BG17" s="41">
        <f t="shared" si="23"/>
        <v>0</v>
      </c>
      <c r="BH17" s="41">
        <f t="shared" si="23"/>
        <v>1</v>
      </c>
      <c r="BI17" s="41">
        <f t="shared" si="23"/>
        <v>0</v>
      </c>
      <c r="BJ17" s="42">
        <f t="shared" si="23"/>
        <v>0</v>
      </c>
      <c r="BK17" s="41">
        <f t="shared" si="23"/>
        <v>0</v>
      </c>
      <c r="BL17" s="41">
        <f t="shared" si="23"/>
        <v>0</v>
      </c>
      <c r="BM17" s="41">
        <f t="shared" si="23"/>
        <v>0</v>
      </c>
      <c r="BN17" s="41">
        <f t="shared" si="23"/>
        <v>0</v>
      </c>
      <c r="BO17" s="41">
        <f t="shared" si="23"/>
        <v>0</v>
      </c>
      <c r="BP17" s="95">
        <f t="shared" si="23"/>
        <v>0</v>
      </c>
      <c r="BQ17" s="41">
        <f t="shared" si="23"/>
        <v>0</v>
      </c>
      <c r="BR17" s="41">
        <f t="shared" si="23"/>
        <v>0</v>
      </c>
      <c r="BS17" s="41">
        <f t="shared" si="23"/>
        <v>0</v>
      </c>
      <c r="BT17" s="41">
        <f t="shared" si="23"/>
        <v>0</v>
      </c>
      <c r="BU17" s="41">
        <f t="shared" si="23"/>
        <v>1</v>
      </c>
      <c r="BV17" s="41">
        <f t="shared" si="23"/>
        <v>0</v>
      </c>
      <c r="BW17" s="41">
        <f t="shared" si="23"/>
        <v>0</v>
      </c>
      <c r="BX17" s="41">
        <f t="shared" si="23"/>
        <v>0</v>
      </c>
      <c r="BY17" s="41">
        <f t="shared" si="23"/>
        <v>0</v>
      </c>
      <c r="BZ17" s="41">
        <f t="shared" si="23"/>
        <v>0</v>
      </c>
      <c r="CA17" s="42">
        <f t="shared" si="23"/>
        <v>0</v>
      </c>
      <c r="CF17" s="2">
        <f>SUM(AS17:AX17)</f>
        <v>0</v>
      </c>
      <c r="CG17" s="2">
        <f>SUM(AY17:AZ17)</f>
        <v>1</v>
      </c>
      <c r="CH17" s="238">
        <f>CF17/(CG17+CF17)</f>
        <v>0</v>
      </c>
    </row>
    <row r="18" spans="1:86" x14ac:dyDescent="0.25">
      <c r="A18" s="127" t="s">
        <v>160</v>
      </c>
      <c r="B18" s="206">
        <f t="shared" si="0"/>
        <v>29</v>
      </c>
      <c r="C18" s="46">
        <f t="shared" si="1"/>
        <v>76</v>
      </c>
      <c r="D18" s="129">
        <f t="shared" si="1"/>
        <v>289.31000000000006</v>
      </c>
      <c r="E18" s="25"/>
      <c r="F18" s="199">
        <f t="shared" si="2"/>
        <v>57.953499999999998</v>
      </c>
      <c r="G18" s="200">
        <f t="shared" si="3"/>
        <v>177.77077527001768</v>
      </c>
      <c r="H18" s="46">
        <f t="shared" si="3"/>
        <v>628.42481229885061</v>
      </c>
      <c r="I18" s="45">
        <f t="shared" ref="I18" si="24">C18/G18</f>
        <v>0.42751683950617247</v>
      </c>
      <c r="J18" s="25"/>
      <c r="K18" s="95">
        <f t="shared" si="15"/>
        <v>0</v>
      </c>
      <c r="L18" s="41">
        <f t="shared" si="15"/>
        <v>0</v>
      </c>
      <c r="M18" s="247">
        <f t="shared" ref="M18:AQ23" si="25">M47+M76</f>
        <v>0</v>
      </c>
      <c r="N18" s="41">
        <f t="shared" si="25"/>
        <v>0</v>
      </c>
      <c r="O18" s="247">
        <f t="shared" si="25"/>
        <v>0</v>
      </c>
      <c r="P18" s="42">
        <f t="shared" si="25"/>
        <v>0</v>
      </c>
      <c r="Q18" s="95">
        <f t="shared" si="25"/>
        <v>0</v>
      </c>
      <c r="R18" s="41">
        <f t="shared" si="25"/>
        <v>0</v>
      </c>
      <c r="S18" s="41">
        <f t="shared" si="25"/>
        <v>0</v>
      </c>
      <c r="T18" s="42">
        <f t="shared" si="25"/>
        <v>1.998396551724138</v>
      </c>
      <c r="U18" s="95">
        <f t="shared" si="25"/>
        <v>1.998396551724138</v>
      </c>
      <c r="V18" s="41">
        <f t="shared" si="25"/>
        <v>0</v>
      </c>
      <c r="W18" s="41">
        <f t="shared" si="25"/>
        <v>1.998396551724138</v>
      </c>
      <c r="X18" s="41">
        <f t="shared" si="25"/>
        <v>0</v>
      </c>
      <c r="Y18" s="41">
        <f t="shared" si="25"/>
        <v>0</v>
      </c>
      <c r="Z18" s="42">
        <f t="shared" si="25"/>
        <v>1.998396551724138</v>
      </c>
      <c r="AA18" s="95">
        <f t="shared" si="25"/>
        <v>0</v>
      </c>
      <c r="AB18" s="41">
        <f t="shared" si="25"/>
        <v>0</v>
      </c>
      <c r="AC18" s="41">
        <f t="shared" si="25"/>
        <v>0</v>
      </c>
      <c r="AD18" s="41">
        <f t="shared" si="25"/>
        <v>0</v>
      </c>
      <c r="AE18" s="42">
        <f t="shared" si="25"/>
        <v>0</v>
      </c>
      <c r="AF18" s="95">
        <f t="shared" si="25"/>
        <v>0</v>
      </c>
      <c r="AG18" s="41">
        <f t="shared" si="25"/>
        <v>0</v>
      </c>
      <c r="AH18" s="41">
        <f t="shared" si="25"/>
        <v>0</v>
      </c>
      <c r="AI18" s="41">
        <f t="shared" si="25"/>
        <v>0</v>
      </c>
      <c r="AJ18" s="41">
        <f t="shared" si="25"/>
        <v>0</v>
      </c>
      <c r="AK18" s="41">
        <f t="shared" si="25"/>
        <v>1.998396551724138</v>
      </c>
      <c r="AL18" s="41">
        <f t="shared" si="25"/>
        <v>0</v>
      </c>
      <c r="AM18" s="41">
        <f t="shared" si="25"/>
        <v>0</v>
      </c>
      <c r="AN18" s="41">
        <f t="shared" si="25"/>
        <v>0</v>
      </c>
      <c r="AO18" s="41">
        <f t="shared" si="25"/>
        <v>0</v>
      </c>
      <c r="AP18" s="41">
        <f t="shared" si="25"/>
        <v>0</v>
      </c>
      <c r="AQ18" s="42">
        <f t="shared" si="25"/>
        <v>0</v>
      </c>
      <c r="AS18" s="95">
        <f t="shared" ref="AS18:CA25" si="26">AS47+AS76</f>
        <v>0</v>
      </c>
      <c r="AT18" s="41">
        <f t="shared" si="26"/>
        <v>0</v>
      </c>
      <c r="AU18" s="41">
        <f t="shared" si="26"/>
        <v>0</v>
      </c>
      <c r="AV18" s="41">
        <f t="shared" si="26"/>
        <v>0</v>
      </c>
      <c r="AW18" s="41">
        <f t="shared" si="26"/>
        <v>0</v>
      </c>
      <c r="AX18" s="41">
        <f t="shared" si="26"/>
        <v>0</v>
      </c>
      <c r="AY18" s="41">
        <f t="shared" si="26"/>
        <v>0</v>
      </c>
      <c r="AZ18" s="42">
        <f t="shared" si="26"/>
        <v>0</v>
      </c>
      <c r="BA18" s="41">
        <f t="shared" si="26"/>
        <v>0</v>
      </c>
      <c r="BB18" s="41">
        <f t="shared" si="26"/>
        <v>0</v>
      </c>
      <c r="BC18" s="41">
        <f t="shared" si="26"/>
        <v>0</v>
      </c>
      <c r="BD18" s="41">
        <f t="shared" si="26"/>
        <v>0</v>
      </c>
      <c r="BE18" s="95">
        <f t="shared" si="26"/>
        <v>0</v>
      </c>
      <c r="BF18" s="41">
        <f t="shared" si="26"/>
        <v>0</v>
      </c>
      <c r="BG18" s="41">
        <f t="shared" si="26"/>
        <v>0</v>
      </c>
      <c r="BH18" s="41">
        <f t="shared" si="26"/>
        <v>0</v>
      </c>
      <c r="BI18" s="41">
        <f t="shared" si="26"/>
        <v>0</v>
      </c>
      <c r="BJ18" s="42">
        <f t="shared" si="26"/>
        <v>0</v>
      </c>
      <c r="BK18" s="41">
        <f t="shared" si="26"/>
        <v>0</v>
      </c>
      <c r="BL18" s="41">
        <f t="shared" si="26"/>
        <v>0</v>
      </c>
      <c r="BM18" s="41">
        <f t="shared" si="26"/>
        <v>0</v>
      </c>
      <c r="BN18" s="41">
        <f t="shared" si="26"/>
        <v>0</v>
      </c>
      <c r="BO18" s="41">
        <f t="shared" si="26"/>
        <v>0</v>
      </c>
      <c r="BP18" s="95">
        <f t="shared" si="26"/>
        <v>0</v>
      </c>
      <c r="BQ18" s="41">
        <f t="shared" si="26"/>
        <v>0</v>
      </c>
      <c r="BR18" s="41">
        <f t="shared" si="26"/>
        <v>0</v>
      </c>
      <c r="BS18" s="41">
        <f t="shared" si="26"/>
        <v>0</v>
      </c>
      <c r="BT18" s="41">
        <f t="shared" si="26"/>
        <v>0</v>
      </c>
      <c r="BU18" s="41">
        <f t="shared" si="26"/>
        <v>0</v>
      </c>
      <c r="BV18" s="41">
        <f t="shared" si="26"/>
        <v>0</v>
      </c>
      <c r="BW18" s="41">
        <f t="shared" si="26"/>
        <v>0</v>
      </c>
      <c r="BX18" s="41">
        <f t="shared" si="26"/>
        <v>0</v>
      </c>
      <c r="BY18" s="41">
        <f t="shared" si="26"/>
        <v>0</v>
      </c>
      <c r="BZ18" s="41">
        <f t="shared" si="26"/>
        <v>0</v>
      </c>
      <c r="CA18" s="42">
        <f t="shared" si="26"/>
        <v>0</v>
      </c>
      <c r="CF18" s="2">
        <f>SUM(AS18:AX18)</f>
        <v>0</v>
      </c>
      <c r="CG18" s="2">
        <f>SUM(AY18:AZ18)</f>
        <v>0</v>
      </c>
      <c r="CH18" s="238" t="e">
        <f>CF18/(CG18+CF18)</f>
        <v>#DIV/0!</v>
      </c>
    </row>
    <row r="19" spans="1:86" x14ac:dyDescent="0.25">
      <c r="A19" s="127" t="s">
        <v>161</v>
      </c>
      <c r="B19" s="206">
        <f t="shared" si="0"/>
        <v>17</v>
      </c>
      <c r="C19" s="46">
        <f t="shared" si="1"/>
        <v>43</v>
      </c>
      <c r="D19" s="129">
        <f t="shared" si="1"/>
        <v>177.01000000000002</v>
      </c>
      <c r="E19" s="25"/>
      <c r="F19" s="199">
        <f t="shared" si="2"/>
        <v>43.818500000000007</v>
      </c>
      <c r="G19" s="200">
        <f t="shared" si="3"/>
        <v>122.30280855403083</v>
      </c>
      <c r="H19" s="46">
        <f t="shared" si="3"/>
        <v>491.33466627450991</v>
      </c>
      <c r="I19" s="45">
        <f t="shared" ref="I19:I26" si="27">C19/G19</f>
        <v>0.3515863659091974</v>
      </c>
      <c r="J19" s="25"/>
      <c r="K19" s="95">
        <f t="shared" si="15"/>
        <v>0</v>
      </c>
      <c r="L19" s="41">
        <f t="shared" si="15"/>
        <v>0</v>
      </c>
      <c r="M19" s="247">
        <f t="shared" si="25"/>
        <v>0</v>
      </c>
      <c r="N19" s="41">
        <f t="shared" si="25"/>
        <v>0</v>
      </c>
      <c r="O19" s="247">
        <f t="shared" si="25"/>
        <v>5.155117647058824</v>
      </c>
      <c r="P19" s="42">
        <f t="shared" si="25"/>
        <v>0</v>
      </c>
      <c r="Q19" s="95">
        <f t="shared" si="25"/>
        <v>0</v>
      </c>
      <c r="R19" s="41">
        <f t="shared" si="25"/>
        <v>0</v>
      </c>
      <c r="S19" s="41">
        <f t="shared" si="25"/>
        <v>0</v>
      </c>
      <c r="T19" s="42">
        <f t="shared" si="25"/>
        <v>0</v>
      </c>
      <c r="U19" s="95">
        <f t="shared" si="25"/>
        <v>0</v>
      </c>
      <c r="V19" s="41">
        <f t="shared" si="25"/>
        <v>0</v>
      </c>
      <c r="W19" s="41">
        <f t="shared" si="25"/>
        <v>2.577558823529412</v>
      </c>
      <c r="X19" s="41">
        <f t="shared" si="25"/>
        <v>2.577558823529412</v>
      </c>
      <c r="Y19" s="41">
        <f t="shared" si="25"/>
        <v>0</v>
      </c>
      <c r="Z19" s="42">
        <f t="shared" si="25"/>
        <v>0</v>
      </c>
      <c r="AA19" s="95">
        <f t="shared" si="25"/>
        <v>0</v>
      </c>
      <c r="AB19" s="41">
        <f t="shared" si="25"/>
        <v>0</v>
      </c>
      <c r="AC19" s="41">
        <f t="shared" si="25"/>
        <v>0</v>
      </c>
      <c r="AD19" s="41">
        <f t="shared" si="25"/>
        <v>0</v>
      </c>
      <c r="AE19" s="42">
        <f t="shared" si="25"/>
        <v>0</v>
      </c>
      <c r="AF19" s="95">
        <f t="shared" si="25"/>
        <v>0</v>
      </c>
      <c r="AG19" s="41">
        <f t="shared" si="25"/>
        <v>0</v>
      </c>
      <c r="AH19" s="41">
        <f t="shared" si="25"/>
        <v>0</v>
      </c>
      <c r="AI19" s="41">
        <f t="shared" si="25"/>
        <v>0</v>
      </c>
      <c r="AJ19" s="41">
        <f t="shared" si="25"/>
        <v>0</v>
      </c>
      <c r="AK19" s="41">
        <f t="shared" si="25"/>
        <v>2.577558823529412</v>
      </c>
      <c r="AL19" s="41">
        <f t="shared" si="25"/>
        <v>0</v>
      </c>
      <c r="AM19" s="41">
        <f t="shared" si="25"/>
        <v>0</v>
      </c>
      <c r="AN19" s="41">
        <f t="shared" si="25"/>
        <v>0</v>
      </c>
      <c r="AO19" s="41">
        <f t="shared" si="25"/>
        <v>0</v>
      </c>
      <c r="AP19" s="41">
        <f t="shared" si="25"/>
        <v>0</v>
      </c>
      <c r="AQ19" s="42">
        <f t="shared" si="25"/>
        <v>2.577558823529412</v>
      </c>
      <c r="AS19" s="95">
        <f t="shared" ref="AS19:AZ19" si="28">AS48+AS77</f>
        <v>0</v>
      </c>
      <c r="AT19" s="41">
        <f t="shared" si="28"/>
        <v>0</v>
      </c>
      <c r="AU19" s="41">
        <f t="shared" si="28"/>
        <v>0</v>
      </c>
      <c r="AV19" s="41">
        <f t="shared" si="28"/>
        <v>0</v>
      </c>
      <c r="AW19" s="41">
        <f t="shared" si="28"/>
        <v>0</v>
      </c>
      <c r="AX19" s="41">
        <f t="shared" si="28"/>
        <v>0</v>
      </c>
      <c r="AY19" s="41">
        <f t="shared" si="28"/>
        <v>2</v>
      </c>
      <c r="AZ19" s="42">
        <f t="shared" si="28"/>
        <v>0</v>
      </c>
      <c r="BA19" s="41">
        <f t="shared" si="26"/>
        <v>0</v>
      </c>
      <c r="BB19" s="41">
        <f t="shared" si="26"/>
        <v>0</v>
      </c>
      <c r="BC19" s="41">
        <f t="shared" si="26"/>
        <v>0</v>
      </c>
      <c r="BD19" s="41">
        <f t="shared" si="26"/>
        <v>1.998396551724138</v>
      </c>
      <c r="BE19" s="95">
        <f t="shared" si="26"/>
        <v>0</v>
      </c>
      <c r="BF19" s="41">
        <f t="shared" si="26"/>
        <v>0</v>
      </c>
      <c r="BG19" s="41">
        <f t="shared" si="26"/>
        <v>1.998396551724138</v>
      </c>
      <c r="BH19" s="41">
        <f t="shared" si="26"/>
        <v>0</v>
      </c>
      <c r="BI19" s="41">
        <f t="shared" si="26"/>
        <v>0</v>
      </c>
      <c r="BJ19" s="42">
        <f t="shared" si="26"/>
        <v>1.998396551724138</v>
      </c>
      <c r="BK19" s="41">
        <f t="shared" si="26"/>
        <v>0</v>
      </c>
      <c r="BL19" s="41">
        <f t="shared" si="26"/>
        <v>0</v>
      </c>
      <c r="BM19" s="41">
        <f t="shared" si="26"/>
        <v>0</v>
      </c>
      <c r="BN19" s="41">
        <f t="shared" si="26"/>
        <v>0</v>
      </c>
      <c r="BO19" s="41">
        <f t="shared" si="26"/>
        <v>0</v>
      </c>
      <c r="BP19" s="95">
        <f t="shared" si="26"/>
        <v>0</v>
      </c>
      <c r="BQ19" s="41">
        <f t="shared" si="26"/>
        <v>0</v>
      </c>
      <c r="BR19" s="41">
        <f t="shared" si="26"/>
        <v>0</v>
      </c>
      <c r="BS19" s="41">
        <f t="shared" si="26"/>
        <v>0</v>
      </c>
      <c r="BT19" s="41">
        <f t="shared" si="26"/>
        <v>0</v>
      </c>
      <c r="BU19" s="41">
        <f t="shared" si="26"/>
        <v>1.998396551724138</v>
      </c>
      <c r="BV19" s="41">
        <f t="shared" si="26"/>
        <v>0</v>
      </c>
      <c r="BW19" s="41">
        <f t="shared" si="26"/>
        <v>0</v>
      </c>
      <c r="BX19" s="41">
        <f t="shared" si="26"/>
        <v>0</v>
      </c>
      <c r="BY19" s="41">
        <f t="shared" si="26"/>
        <v>0</v>
      </c>
      <c r="BZ19" s="41">
        <f t="shared" si="26"/>
        <v>0</v>
      </c>
      <c r="CA19" s="42">
        <f t="shared" si="26"/>
        <v>0</v>
      </c>
      <c r="CF19" s="2">
        <f>SUM(AS19:AX19)</f>
        <v>0</v>
      </c>
      <c r="CG19" s="2">
        <f>SUM(AY19:AZ19)</f>
        <v>2</v>
      </c>
      <c r="CH19" s="238">
        <f>CF19/(CG19+CF19)</f>
        <v>0</v>
      </c>
    </row>
    <row r="20" spans="1:86" x14ac:dyDescent="0.25">
      <c r="A20" s="127" t="s">
        <v>162</v>
      </c>
      <c r="B20" s="206">
        <f t="shared" si="0"/>
        <v>26</v>
      </c>
      <c r="C20" s="46">
        <f t="shared" si="1"/>
        <v>95</v>
      </c>
      <c r="D20" s="129">
        <f t="shared" si="1"/>
        <v>364.02</v>
      </c>
      <c r="E20" s="25"/>
      <c r="F20" s="199">
        <f t="shared" si="2"/>
        <v>37.5991</v>
      </c>
      <c r="G20" s="200">
        <f t="shared" si="3"/>
        <v>187.19568940079529</v>
      </c>
      <c r="H20" s="46">
        <f t="shared" si="3"/>
        <v>605.23797132051288</v>
      </c>
      <c r="I20" s="45">
        <f t="shared" si="27"/>
        <v>0.5074903183085604</v>
      </c>
      <c r="J20" s="25"/>
      <c r="K20" s="95">
        <f t="shared" si="15"/>
        <v>1.4461192307692308</v>
      </c>
      <c r="L20" s="41">
        <f t="shared" si="15"/>
        <v>0</v>
      </c>
      <c r="M20" s="247">
        <f t="shared" si="25"/>
        <v>0</v>
      </c>
      <c r="N20" s="41">
        <f t="shared" si="25"/>
        <v>0</v>
      </c>
      <c r="O20" s="247">
        <f t="shared" si="25"/>
        <v>11.699240878394548</v>
      </c>
      <c r="P20" s="42">
        <f t="shared" si="25"/>
        <v>0</v>
      </c>
      <c r="Q20" s="95">
        <f t="shared" si="25"/>
        <v>1.4461192307692308</v>
      </c>
      <c r="R20" s="41">
        <f t="shared" si="25"/>
        <v>1.4461192307692308</v>
      </c>
      <c r="S20" s="41">
        <f t="shared" si="25"/>
        <v>0</v>
      </c>
      <c r="T20" s="42">
        <f t="shared" si="25"/>
        <v>0</v>
      </c>
      <c r="U20" s="95">
        <f t="shared" si="25"/>
        <v>4.3383576923076923</v>
      </c>
      <c r="V20" s="41">
        <f t="shared" si="25"/>
        <v>1.4461192307692308</v>
      </c>
      <c r="W20" s="41">
        <f t="shared" si="25"/>
        <v>1.4461192307692308</v>
      </c>
      <c r="X20" s="41">
        <f t="shared" si="25"/>
        <v>2.8922384615384615</v>
      </c>
      <c r="Y20" s="41">
        <f t="shared" si="25"/>
        <v>0</v>
      </c>
      <c r="Z20" s="42">
        <f t="shared" si="25"/>
        <v>1.4461192307692308</v>
      </c>
      <c r="AA20" s="95">
        <f t="shared" si="25"/>
        <v>0</v>
      </c>
      <c r="AB20" s="41">
        <f t="shared" si="25"/>
        <v>0</v>
      </c>
      <c r="AC20" s="41">
        <f t="shared" si="25"/>
        <v>0</v>
      </c>
      <c r="AD20" s="41">
        <f t="shared" si="25"/>
        <v>0</v>
      </c>
      <c r="AE20" s="42">
        <f t="shared" si="25"/>
        <v>0</v>
      </c>
      <c r="AF20" s="95">
        <f t="shared" si="25"/>
        <v>0</v>
      </c>
      <c r="AG20" s="41">
        <f t="shared" si="25"/>
        <v>0</v>
      </c>
      <c r="AH20" s="41">
        <f t="shared" si="25"/>
        <v>0</v>
      </c>
      <c r="AI20" s="41">
        <f t="shared" si="25"/>
        <v>0</v>
      </c>
      <c r="AJ20" s="41">
        <f t="shared" si="25"/>
        <v>0</v>
      </c>
      <c r="AK20" s="41">
        <f t="shared" si="25"/>
        <v>5.7844769230769231</v>
      </c>
      <c r="AL20" s="41">
        <f t="shared" si="25"/>
        <v>0</v>
      </c>
      <c r="AM20" s="41">
        <f t="shared" si="25"/>
        <v>0</v>
      </c>
      <c r="AN20" s="41">
        <f t="shared" si="25"/>
        <v>0</v>
      </c>
      <c r="AO20" s="41">
        <f t="shared" si="25"/>
        <v>0</v>
      </c>
      <c r="AP20" s="41">
        <f t="shared" si="25"/>
        <v>0</v>
      </c>
      <c r="AQ20" s="42">
        <f t="shared" si="25"/>
        <v>4.3383576923076923</v>
      </c>
      <c r="AS20" s="95">
        <f t="shared" si="26"/>
        <v>1</v>
      </c>
      <c r="AT20" s="41">
        <f t="shared" si="26"/>
        <v>0</v>
      </c>
      <c r="AU20" s="41">
        <f t="shared" si="26"/>
        <v>0</v>
      </c>
      <c r="AV20" s="41">
        <f t="shared" si="26"/>
        <v>0</v>
      </c>
      <c r="AW20" s="41">
        <f t="shared" si="26"/>
        <v>0</v>
      </c>
      <c r="AX20" s="41">
        <f t="shared" si="26"/>
        <v>0</v>
      </c>
      <c r="AY20" s="41">
        <f t="shared" si="26"/>
        <v>5</v>
      </c>
      <c r="AZ20" s="42">
        <f t="shared" si="26"/>
        <v>0</v>
      </c>
      <c r="BA20" s="41">
        <f t="shared" si="26"/>
        <v>0</v>
      </c>
      <c r="BB20" s="41">
        <f t="shared" si="26"/>
        <v>0</v>
      </c>
      <c r="BC20" s="41">
        <f t="shared" si="26"/>
        <v>0</v>
      </c>
      <c r="BD20" s="41">
        <f t="shared" si="26"/>
        <v>0</v>
      </c>
      <c r="BE20" s="95">
        <f t="shared" si="26"/>
        <v>0</v>
      </c>
      <c r="BF20" s="41">
        <f t="shared" si="26"/>
        <v>0</v>
      </c>
      <c r="BG20" s="41">
        <f t="shared" si="26"/>
        <v>0</v>
      </c>
      <c r="BH20" s="41">
        <f t="shared" si="26"/>
        <v>0</v>
      </c>
      <c r="BI20" s="41">
        <f t="shared" si="26"/>
        <v>0</v>
      </c>
      <c r="BJ20" s="42">
        <f t="shared" si="26"/>
        <v>0</v>
      </c>
      <c r="BK20" s="41">
        <f t="shared" si="26"/>
        <v>0</v>
      </c>
      <c r="BL20" s="41">
        <f t="shared" si="26"/>
        <v>0</v>
      </c>
      <c r="BM20" s="41">
        <f t="shared" si="26"/>
        <v>0</v>
      </c>
      <c r="BN20" s="41">
        <f t="shared" si="26"/>
        <v>0</v>
      </c>
      <c r="BO20" s="41">
        <f t="shared" si="26"/>
        <v>0</v>
      </c>
      <c r="BP20" s="95">
        <f t="shared" si="26"/>
        <v>0</v>
      </c>
      <c r="BQ20" s="41">
        <f t="shared" si="26"/>
        <v>0</v>
      </c>
      <c r="BR20" s="41">
        <f t="shared" si="26"/>
        <v>0</v>
      </c>
      <c r="BS20" s="41">
        <f t="shared" si="26"/>
        <v>0</v>
      </c>
      <c r="BT20" s="41">
        <f t="shared" si="26"/>
        <v>0</v>
      </c>
      <c r="BU20" s="41">
        <f t="shared" si="26"/>
        <v>0</v>
      </c>
      <c r="BV20" s="41">
        <f t="shared" si="26"/>
        <v>0</v>
      </c>
      <c r="BW20" s="41">
        <f t="shared" si="26"/>
        <v>0</v>
      </c>
      <c r="BX20" s="41">
        <f t="shared" si="26"/>
        <v>0</v>
      </c>
      <c r="BY20" s="41">
        <f t="shared" si="26"/>
        <v>0</v>
      </c>
      <c r="BZ20" s="41">
        <f t="shared" si="26"/>
        <v>0</v>
      </c>
      <c r="CA20" s="42">
        <f t="shared" si="26"/>
        <v>0</v>
      </c>
      <c r="CF20" s="2">
        <f>SUM(AS20:AX20)</f>
        <v>1</v>
      </c>
      <c r="CG20" s="2">
        <f>SUM(AY20:AZ20)</f>
        <v>5</v>
      </c>
      <c r="CH20" s="238">
        <f>CF20/(CG20+CF20)</f>
        <v>0.16666666666666666</v>
      </c>
    </row>
    <row r="21" spans="1:86" x14ac:dyDescent="0.25">
      <c r="A21" s="127" t="s">
        <v>163</v>
      </c>
      <c r="B21" s="206">
        <f t="shared" si="0"/>
        <v>14</v>
      </c>
      <c r="C21" s="46">
        <f t="shared" si="1"/>
        <v>48</v>
      </c>
      <c r="D21" s="129">
        <f t="shared" si="1"/>
        <v>148.23000000000002</v>
      </c>
      <c r="E21" s="25"/>
      <c r="F21" s="199">
        <f t="shared" si="2"/>
        <v>42.405000000000001</v>
      </c>
      <c r="G21" s="200">
        <f t="shared" si="3"/>
        <v>143.99912246102861</v>
      </c>
      <c r="H21" s="46">
        <f t="shared" si="3"/>
        <v>446.07896666666664</v>
      </c>
      <c r="I21" s="45">
        <f t="shared" si="27"/>
        <v>0.33333536468592401</v>
      </c>
      <c r="J21" s="25"/>
      <c r="K21" s="95">
        <f t="shared" si="15"/>
        <v>0</v>
      </c>
      <c r="L21" s="41">
        <f t="shared" si="15"/>
        <v>0</v>
      </c>
      <c r="M21" s="247">
        <f t="shared" si="25"/>
        <v>12.666753734422713</v>
      </c>
      <c r="N21" s="41">
        <f t="shared" si="25"/>
        <v>0</v>
      </c>
      <c r="O21" s="247">
        <f t="shared" si="25"/>
        <v>18.940599305580118</v>
      </c>
      <c r="P21" s="42">
        <f t="shared" si="25"/>
        <v>0</v>
      </c>
      <c r="Q21" s="95">
        <f t="shared" si="25"/>
        <v>7.4047959183673466</v>
      </c>
      <c r="R21" s="41">
        <f t="shared" si="25"/>
        <v>3.0289285714285712</v>
      </c>
      <c r="S21" s="41">
        <f t="shared" si="25"/>
        <v>0</v>
      </c>
      <c r="T21" s="42">
        <f t="shared" si="25"/>
        <v>0</v>
      </c>
      <c r="U21" s="95">
        <f t="shared" si="25"/>
        <v>0</v>
      </c>
      <c r="V21" s="41">
        <f t="shared" si="25"/>
        <v>3.0289285714285712</v>
      </c>
      <c r="W21" s="41">
        <f t="shared" si="25"/>
        <v>0</v>
      </c>
      <c r="X21" s="41">
        <f t="shared" si="25"/>
        <v>0</v>
      </c>
      <c r="Y21" s="41">
        <f t="shared" si="25"/>
        <v>0</v>
      </c>
      <c r="Z21" s="42">
        <f t="shared" si="25"/>
        <v>0</v>
      </c>
      <c r="AA21" s="95">
        <f t="shared" si="25"/>
        <v>0</v>
      </c>
      <c r="AB21" s="41">
        <f t="shared" si="25"/>
        <v>0</v>
      </c>
      <c r="AC21" s="41">
        <f t="shared" si="25"/>
        <v>0</v>
      </c>
      <c r="AD21" s="41">
        <f t="shared" si="25"/>
        <v>0</v>
      </c>
      <c r="AE21" s="42">
        <f t="shared" si="25"/>
        <v>0</v>
      </c>
      <c r="AF21" s="95">
        <f t="shared" si="25"/>
        <v>0</v>
      </c>
      <c r="AG21" s="41">
        <f t="shared" si="25"/>
        <v>3.0289285714285712</v>
      </c>
      <c r="AH21" s="41">
        <f t="shared" si="25"/>
        <v>0</v>
      </c>
      <c r="AI21" s="41">
        <f t="shared" si="25"/>
        <v>0</v>
      </c>
      <c r="AJ21" s="41">
        <f t="shared" si="25"/>
        <v>0</v>
      </c>
      <c r="AK21" s="41">
        <f t="shared" si="25"/>
        <v>3.0289285714285712</v>
      </c>
      <c r="AL21" s="41">
        <f t="shared" si="25"/>
        <v>0</v>
      </c>
      <c r="AM21" s="41">
        <f t="shared" si="25"/>
        <v>0</v>
      </c>
      <c r="AN21" s="41">
        <f t="shared" si="25"/>
        <v>0</v>
      </c>
      <c r="AO21" s="41">
        <f t="shared" si="25"/>
        <v>0</v>
      </c>
      <c r="AP21" s="41">
        <f t="shared" si="25"/>
        <v>0</v>
      </c>
      <c r="AQ21" s="42">
        <f t="shared" si="25"/>
        <v>3.0289285714285712</v>
      </c>
      <c r="AS21" s="95">
        <f t="shared" si="26"/>
        <v>0</v>
      </c>
      <c r="AT21" s="41">
        <f t="shared" si="26"/>
        <v>0</v>
      </c>
      <c r="AU21" s="41">
        <f t="shared" si="26"/>
        <v>0</v>
      </c>
      <c r="AV21" s="41">
        <f t="shared" si="26"/>
        <v>0</v>
      </c>
      <c r="AW21" s="41">
        <f t="shared" si="26"/>
        <v>3</v>
      </c>
      <c r="AX21" s="41">
        <f t="shared" si="26"/>
        <v>0</v>
      </c>
      <c r="AY21" s="41">
        <f t="shared" si="26"/>
        <v>5</v>
      </c>
      <c r="AZ21" s="42">
        <f t="shared" si="26"/>
        <v>0</v>
      </c>
      <c r="BA21" s="41">
        <f t="shared" si="26"/>
        <v>1</v>
      </c>
      <c r="BB21" s="41">
        <f t="shared" si="26"/>
        <v>0</v>
      </c>
      <c r="BC21" s="41">
        <f t="shared" si="26"/>
        <v>0</v>
      </c>
      <c r="BD21" s="41">
        <f t="shared" si="26"/>
        <v>0</v>
      </c>
      <c r="BE21" s="95">
        <f t="shared" si="26"/>
        <v>0</v>
      </c>
      <c r="BF21" s="41">
        <f t="shared" si="26"/>
        <v>0</v>
      </c>
      <c r="BG21" s="41">
        <f t="shared" si="26"/>
        <v>0</v>
      </c>
      <c r="BH21" s="41">
        <f t="shared" si="26"/>
        <v>0</v>
      </c>
      <c r="BI21" s="41">
        <f t="shared" si="26"/>
        <v>0</v>
      </c>
      <c r="BJ21" s="42">
        <f t="shared" si="26"/>
        <v>0</v>
      </c>
      <c r="BK21" s="41">
        <f t="shared" si="26"/>
        <v>0</v>
      </c>
      <c r="BL21" s="41">
        <f t="shared" si="26"/>
        <v>0</v>
      </c>
      <c r="BM21" s="41">
        <f t="shared" si="26"/>
        <v>0</v>
      </c>
      <c r="BN21" s="41">
        <f t="shared" si="26"/>
        <v>0</v>
      </c>
      <c r="BO21" s="41">
        <f t="shared" si="26"/>
        <v>0</v>
      </c>
      <c r="BP21" s="95">
        <f t="shared" si="26"/>
        <v>0</v>
      </c>
      <c r="BQ21" s="41">
        <f t="shared" si="26"/>
        <v>0</v>
      </c>
      <c r="BR21" s="41">
        <f t="shared" si="26"/>
        <v>0</v>
      </c>
      <c r="BS21" s="41">
        <f t="shared" si="26"/>
        <v>0</v>
      </c>
      <c r="BT21" s="41">
        <f t="shared" si="26"/>
        <v>0</v>
      </c>
      <c r="BU21" s="41">
        <f t="shared" si="26"/>
        <v>0</v>
      </c>
      <c r="BV21" s="41">
        <f t="shared" si="26"/>
        <v>0</v>
      </c>
      <c r="BW21" s="41">
        <f t="shared" si="26"/>
        <v>0</v>
      </c>
      <c r="BX21" s="41">
        <f t="shared" si="26"/>
        <v>0</v>
      </c>
      <c r="BY21" s="41">
        <f t="shared" si="26"/>
        <v>0</v>
      </c>
      <c r="BZ21" s="41">
        <f t="shared" si="26"/>
        <v>0</v>
      </c>
      <c r="CA21" s="42">
        <f t="shared" si="26"/>
        <v>0</v>
      </c>
      <c r="CF21" s="2">
        <f>SUM(AS21:AX21)</f>
        <v>3</v>
      </c>
      <c r="CG21" s="2">
        <f>SUM(AY21:AZ21)</f>
        <v>5</v>
      </c>
      <c r="CH21" s="238">
        <f>CF21/(CG21+CF21)</f>
        <v>0.375</v>
      </c>
    </row>
    <row r="22" spans="1:86" x14ac:dyDescent="0.25">
      <c r="A22" s="127" t="s">
        <v>164</v>
      </c>
      <c r="B22" s="206">
        <f t="shared" si="0"/>
        <v>4</v>
      </c>
      <c r="C22" s="46">
        <f t="shared" si="1"/>
        <v>28</v>
      </c>
      <c r="D22" s="129">
        <f t="shared" si="1"/>
        <v>72.009999999999991</v>
      </c>
      <c r="E22" s="25"/>
      <c r="F22" s="199">
        <f t="shared" si="2"/>
        <v>14.894500000000001</v>
      </c>
      <c r="G22" s="200">
        <f t="shared" si="3"/>
        <v>123.78278436706566</v>
      </c>
      <c r="H22" s="46">
        <f t="shared" si="3"/>
        <v>312.98838708333335</v>
      </c>
      <c r="I22" s="45">
        <f t="shared" si="27"/>
        <v>0.22620269969827755</v>
      </c>
      <c r="J22" s="25"/>
      <c r="K22" s="95">
        <f t="shared" si="15"/>
        <v>0</v>
      </c>
      <c r="L22" s="41">
        <f t="shared" si="15"/>
        <v>0</v>
      </c>
      <c r="M22" s="247">
        <f t="shared" si="25"/>
        <v>0</v>
      </c>
      <c r="N22" s="41">
        <f t="shared" si="25"/>
        <v>19.065190142439722</v>
      </c>
      <c r="O22" s="247">
        <f t="shared" si="25"/>
        <v>5.849981502034777</v>
      </c>
      <c r="P22" s="42">
        <f t="shared" si="25"/>
        <v>19.396557468670061</v>
      </c>
      <c r="Q22" s="95">
        <f t="shared" si="25"/>
        <v>7.4472500000000004</v>
      </c>
      <c r="R22" s="41">
        <f t="shared" si="25"/>
        <v>3.7236250000000002</v>
      </c>
      <c r="S22" s="41">
        <f t="shared" si="25"/>
        <v>0</v>
      </c>
      <c r="T22" s="42">
        <f t="shared" si="25"/>
        <v>0</v>
      </c>
      <c r="U22" s="95">
        <f t="shared" si="25"/>
        <v>3.7236250000000002</v>
      </c>
      <c r="V22" s="41">
        <f t="shared" si="25"/>
        <v>0</v>
      </c>
      <c r="W22" s="41">
        <f t="shared" si="25"/>
        <v>0</v>
      </c>
      <c r="X22" s="41">
        <f t="shared" si="25"/>
        <v>0</v>
      </c>
      <c r="Y22" s="41">
        <f t="shared" si="25"/>
        <v>0</v>
      </c>
      <c r="Z22" s="42">
        <f t="shared" si="25"/>
        <v>3.7236250000000002</v>
      </c>
      <c r="AA22" s="95">
        <f t="shared" si="25"/>
        <v>0</v>
      </c>
      <c r="AB22" s="41">
        <f t="shared" si="25"/>
        <v>0</v>
      </c>
      <c r="AC22" s="41">
        <f t="shared" si="25"/>
        <v>0</v>
      </c>
      <c r="AD22" s="41">
        <f t="shared" si="25"/>
        <v>0</v>
      </c>
      <c r="AE22" s="42">
        <f t="shared" si="25"/>
        <v>0</v>
      </c>
      <c r="AF22" s="95">
        <f t="shared" si="25"/>
        <v>0</v>
      </c>
      <c r="AG22" s="41">
        <f t="shared" si="25"/>
        <v>0</v>
      </c>
      <c r="AH22" s="41">
        <f t="shared" si="25"/>
        <v>0</v>
      </c>
      <c r="AI22" s="41">
        <f t="shared" si="25"/>
        <v>0</v>
      </c>
      <c r="AJ22" s="41">
        <f t="shared" si="25"/>
        <v>0</v>
      </c>
      <c r="AK22" s="41">
        <f t="shared" si="25"/>
        <v>0</v>
      </c>
      <c r="AL22" s="41">
        <f t="shared" si="25"/>
        <v>0</v>
      </c>
      <c r="AM22" s="41">
        <f t="shared" si="25"/>
        <v>0</v>
      </c>
      <c r="AN22" s="41">
        <f t="shared" si="25"/>
        <v>0</v>
      </c>
      <c r="AO22" s="41">
        <f t="shared" si="25"/>
        <v>0</v>
      </c>
      <c r="AP22" s="41">
        <f t="shared" si="25"/>
        <v>0</v>
      </c>
      <c r="AQ22" s="42">
        <f t="shared" si="25"/>
        <v>0</v>
      </c>
      <c r="AS22" s="95">
        <f t="shared" si="26"/>
        <v>0</v>
      </c>
      <c r="AT22" s="41">
        <f t="shared" si="26"/>
        <v>0</v>
      </c>
      <c r="AU22" s="41">
        <f t="shared" si="26"/>
        <v>0</v>
      </c>
      <c r="AV22" s="41">
        <f t="shared" si="26"/>
        <v>0</v>
      </c>
      <c r="AW22" s="41">
        <f t="shared" si="26"/>
        <v>0</v>
      </c>
      <c r="AX22" s="41">
        <f t="shared" si="26"/>
        <v>5</v>
      </c>
      <c r="AY22" s="41">
        <f t="shared" si="26"/>
        <v>1</v>
      </c>
      <c r="AZ22" s="42">
        <f t="shared" si="26"/>
        <v>5</v>
      </c>
      <c r="BA22" s="41">
        <f t="shared" si="26"/>
        <v>0</v>
      </c>
      <c r="BB22" s="41">
        <f t="shared" si="26"/>
        <v>0</v>
      </c>
      <c r="BC22" s="41">
        <f t="shared" si="26"/>
        <v>0</v>
      </c>
      <c r="BD22" s="41">
        <f t="shared" si="26"/>
        <v>0</v>
      </c>
      <c r="BE22" s="95">
        <f t="shared" si="26"/>
        <v>0</v>
      </c>
      <c r="BF22" s="41">
        <f t="shared" si="26"/>
        <v>0</v>
      </c>
      <c r="BG22" s="41">
        <f t="shared" si="26"/>
        <v>0</v>
      </c>
      <c r="BH22" s="41">
        <f t="shared" si="26"/>
        <v>0</v>
      </c>
      <c r="BI22" s="41">
        <f t="shared" si="26"/>
        <v>0</v>
      </c>
      <c r="BJ22" s="42">
        <f t="shared" si="26"/>
        <v>0</v>
      </c>
      <c r="BK22" s="41">
        <f t="shared" si="26"/>
        <v>0</v>
      </c>
      <c r="BL22" s="41">
        <f t="shared" si="26"/>
        <v>0</v>
      </c>
      <c r="BM22" s="41">
        <f t="shared" si="26"/>
        <v>0</v>
      </c>
      <c r="BN22" s="41">
        <f t="shared" si="26"/>
        <v>0</v>
      </c>
      <c r="BO22" s="41">
        <f t="shared" si="26"/>
        <v>0</v>
      </c>
      <c r="BP22" s="95">
        <f t="shared" si="26"/>
        <v>0</v>
      </c>
      <c r="BQ22" s="41">
        <f t="shared" si="26"/>
        <v>0</v>
      </c>
      <c r="BR22" s="41">
        <f t="shared" si="26"/>
        <v>0</v>
      </c>
      <c r="BS22" s="41">
        <f t="shared" si="26"/>
        <v>0</v>
      </c>
      <c r="BT22" s="41">
        <f t="shared" si="26"/>
        <v>0</v>
      </c>
      <c r="BU22" s="41">
        <f t="shared" si="26"/>
        <v>0</v>
      </c>
      <c r="BV22" s="41">
        <f t="shared" si="26"/>
        <v>0</v>
      </c>
      <c r="BW22" s="41">
        <f t="shared" si="26"/>
        <v>0</v>
      </c>
      <c r="BX22" s="41">
        <f t="shared" si="26"/>
        <v>0</v>
      </c>
      <c r="BY22" s="41">
        <f t="shared" si="26"/>
        <v>0</v>
      </c>
      <c r="BZ22" s="41">
        <f t="shared" si="26"/>
        <v>0</v>
      </c>
      <c r="CA22" s="42">
        <f t="shared" si="26"/>
        <v>0</v>
      </c>
    </row>
    <row r="23" spans="1:86" x14ac:dyDescent="0.25">
      <c r="A23" s="127" t="s">
        <v>165</v>
      </c>
      <c r="B23" s="206">
        <f t="shared" si="0"/>
        <v>10</v>
      </c>
      <c r="C23" s="46">
        <f t="shared" si="1"/>
        <v>61</v>
      </c>
      <c r="D23" s="129">
        <f t="shared" si="1"/>
        <v>95.5</v>
      </c>
      <c r="E23" s="25"/>
      <c r="F23" s="199">
        <f>F52</f>
        <v>24.158285555555555</v>
      </c>
      <c r="G23" s="200">
        <f>G52+G81</f>
        <v>173.97225933183353</v>
      </c>
      <c r="H23" s="46">
        <f>H52+H81</f>
        <v>236.21241119666666</v>
      </c>
      <c r="I23" s="45">
        <f t="shared" si="27"/>
        <v>0.35063061337640622</v>
      </c>
      <c r="J23" s="25"/>
      <c r="K23" s="95">
        <f t="shared" si="15"/>
        <v>16.910799888888889</v>
      </c>
      <c r="L23" s="41">
        <f t="shared" si="15"/>
        <v>12.079142777777777</v>
      </c>
      <c r="M23" s="247">
        <f t="shared" si="25"/>
        <v>0</v>
      </c>
      <c r="N23" s="41">
        <f t="shared" si="25"/>
        <v>0</v>
      </c>
      <c r="O23" s="247">
        <f t="shared" si="25"/>
        <v>127.69953776902008</v>
      </c>
      <c r="P23" s="42">
        <f t="shared" si="25"/>
        <v>0</v>
      </c>
      <c r="Q23" s="95">
        <f t="shared" si="25"/>
        <v>4.8316571111111113</v>
      </c>
      <c r="R23" s="41">
        <f t="shared" si="25"/>
        <v>0</v>
      </c>
      <c r="S23" s="41">
        <f t="shared" ref="S23:T23" si="29">S52+S81</f>
        <v>0</v>
      </c>
      <c r="T23" s="42">
        <f t="shared" si="29"/>
        <v>0</v>
      </c>
      <c r="U23" s="95">
        <f t="shared" si="25"/>
        <v>2.4158285555555556</v>
      </c>
      <c r="V23" s="41">
        <f t="shared" si="25"/>
        <v>0</v>
      </c>
      <c r="W23" s="41">
        <f t="shared" si="25"/>
        <v>0</v>
      </c>
      <c r="X23" s="41">
        <f t="shared" si="25"/>
        <v>0</v>
      </c>
      <c r="Y23" s="41">
        <f t="shared" si="25"/>
        <v>0</v>
      </c>
      <c r="Z23" s="42">
        <f t="shared" si="25"/>
        <v>0</v>
      </c>
      <c r="AA23" s="95">
        <f t="shared" si="25"/>
        <v>0</v>
      </c>
      <c r="AB23" s="41">
        <f t="shared" si="25"/>
        <v>0</v>
      </c>
      <c r="AC23" s="41">
        <f t="shared" si="25"/>
        <v>0</v>
      </c>
      <c r="AD23" s="41">
        <f t="shared" si="25"/>
        <v>0</v>
      </c>
      <c r="AE23" s="42">
        <f t="shared" si="25"/>
        <v>0</v>
      </c>
      <c r="AF23" s="95">
        <f t="shared" si="25"/>
        <v>0</v>
      </c>
      <c r="AG23" s="41">
        <f t="shared" si="25"/>
        <v>0</v>
      </c>
      <c r="AH23" s="41">
        <f t="shared" si="25"/>
        <v>0</v>
      </c>
      <c r="AI23" s="41">
        <f t="shared" si="25"/>
        <v>0</v>
      </c>
      <c r="AJ23" s="41">
        <f t="shared" si="25"/>
        <v>0</v>
      </c>
      <c r="AK23" s="41">
        <f t="shared" si="25"/>
        <v>12.079142777777777</v>
      </c>
      <c r="AL23" s="41">
        <f t="shared" si="25"/>
        <v>0</v>
      </c>
      <c r="AM23" s="41">
        <f t="shared" si="25"/>
        <v>0</v>
      </c>
      <c r="AN23" s="41">
        <f t="shared" si="25"/>
        <v>0</v>
      </c>
      <c r="AO23" s="41">
        <f t="shared" si="25"/>
        <v>0</v>
      </c>
      <c r="AP23" s="41">
        <f t="shared" si="25"/>
        <v>0</v>
      </c>
      <c r="AQ23" s="42">
        <f t="shared" si="25"/>
        <v>2.4158285555555556</v>
      </c>
      <c r="AS23" s="95">
        <f t="shared" si="26"/>
        <v>10</v>
      </c>
      <c r="AT23" s="41">
        <f t="shared" si="26"/>
        <v>5</v>
      </c>
      <c r="AU23" s="41">
        <f t="shared" si="26"/>
        <v>0</v>
      </c>
      <c r="AV23" s="41">
        <f t="shared" si="26"/>
        <v>0</v>
      </c>
      <c r="AW23" s="41">
        <f t="shared" si="26"/>
        <v>0</v>
      </c>
      <c r="AX23" s="41">
        <f t="shared" si="26"/>
        <v>0</v>
      </c>
      <c r="AY23" s="41">
        <f t="shared" si="26"/>
        <v>63</v>
      </c>
      <c r="AZ23" s="42">
        <f t="shared" si="26"/>
        <v>0</v>
      </c>
      <c r="BA23" s="41">
        <f t="shared" si="26"/>
        <v>0</v>
      </c>
      <c r="BB23" s="41">
        <f t="shared" si="26"/>
        <v>0</v>
      </c>
      <c r="BC23" s="41">
        <f t="shared" si="26"/>
        <v>0</v>
      </c>
      <c r="BD23" s="41">
        <f t="shared" si="26"/>
        <v>0</v>
      </c>
      <c r="BE23" s="95">
        <f t="shared" si="26"/>
        <v>0</v>
      </c>
      <c r="BF23" s="41">
        <f t="shared" si="26"/>
        <v>0</v>
      </c>
      <c r="BG23" s="41">
        <f t="shared" si="26"/>
        <v>0</v>
      </c>
      <c r="BH23" s="41">
        <f t="shared" si="26"/>
        <v>0</v>
      </c>
      <c r="BI23" s="41">
        <f t="shared" si="26"/>
        <v>0</v>
      </c>
      <c r="BJ23" s="42">
        <f t="shared" si="26"/>
        <v>0</v>
      </c>
      <c r="BK23" s="41">
        <f t="shared" si="26"/>
        <v>0</v>
      </c>
      <c r="BL23" s="41">
        <f t="shared" si="26"/>
        <v>0</v>
      </c>
      <c r="BM23" s="41">
        <f t="shared" si="26"/>
        <v>0</v>
      </c>
      <c r="BN23" s="41">
        <f t="shared" si="26"/>
        <v>0</v>
      </c>
      <c r="BO23" s="41">
        <f t="shared" si="26"/>
        <v>0</v>
      </c>
      <c r="BP23" s="95">
        <f t="shared" si="26"/>
        <v>0</v>
      </c>
      <c r="BQ23" s="41">
        <f t="shared" si="26"/>
        <v>0</v>
      </c>
      <c r="BR23" s="41">
        <f t="shared" si="26"/>
        <v>0</v>
      </c>
      <c r="BS23" s="41">
        <f t="shared" si="26"/>
        <v>0</v>
      </c>
      <c r="BT23" s="41">
        <f t="shared" si="26"/>
        <v>7</v>
      </c>
      <c r="BU23" s="41">
        <f t="shared" si="26"/>
        <v>0</v>
      </c>
      <c r="BV23" s="41">
        <f t="shared" si="26"/>
        <v>0</v>
      </c>
      <c r="BW23" s="41">
        <f t="shared" si="26"/>
        <v>0</v>
      </c>
      <c r="BX23" s="41">
        <f t="shared" si="26"/>
        <v>0</v>
      </c>
      <c r="BY23" s="41">
        <f t="shared" si="26"/>
        <v>0</v>
      </c>
      <c r="BZ23" s="41">
        <f t="shared" si="26"/>
        <v>0</v>
      </c>
      <c r="CA23" s="42">
        <f t="shared" si="26"/>
        <v>2</v>
      </c>
    </row>
    <row r="24" spans="1:86" x14ac:dyDescent="0.25">
      <c r="A24" s="127" t="s">
        <v>166</v>
      </c>
      <c r="B24" s="206">
        <f t="shared" si="0"/>
        <v>26</v>
      </c>
      <c r="C24" s="46">
        <f t="shared" si="1"/>
        <v>76</v>
      </c>
      <c r="D24" s="129">
        <f t="shared" si="1"/>
        <v>267.57000000000005</v>
      </c>
      <c r="E24" s="25"/>
      <c r="F24" s="199">
        <f>F53</f>
        <v>183.42599999999999</v>
      </c>
      <c r="G24" s="200">
        <f>G53+G82</f>
        <v>483.4587779689727</v>
      </c>
      <c r="H24" s="46">
        <f>H53+H82</f>
        <v>1756.5330423076925</v>
      </c>
      <c r="I24" s="45">
        <f t="shared" si="27"/>
        <v>0.15720057937365139</v>
      </c>
      <c r="J24" s="25"/>
      <c r="K24" s="95">
        <f>K44+K73</f>
        <v>0</v>
      </c>
      <c r="L24" s="41">
        <f t="shared" ref="L24:AQ26" si="30">L44+L73</f>
        <v>0</v>
      </c>
      <c r="M24" s="41">
        <f t="shared" si="30"/>
        <v>7.2377946663897168</v>
      </c>
      <c r="N24" s="41">
        <f t="shared" si="30"/>
        <v>0</v>
      </c>
      <c r="O24" s="41">
        <f t="shared" si="30"/>
        <v>9.0021189088139586</v>
      </c>
      <c r="P24" s="42">
        <f t="shared" si="30"/>
        <v>0</v>
      </c>
      <c r="Q24" s="95">
        <f t="shared" ref="Q24:T24" si="31">Q53+Q82</f>
        <v>0</v>
      </c>
      <c r="R24" s="41">
        <f t="shared" si="31"/>
        <v>0</v>
      </c>
      <c r="S24" s="41">
        <f t="shared" si="31"/>
        <v>0</v>
      </c>
      <c r="T24" s="42">
        <f t="shared" si="31"/>
        <v>0</v>
      </c>
      <c r="U24" s="95">
        <f t="shared" si="30"/>
        <v>3.5286484848484849</v>
      </c>
      <c r="V24" s="41">
        <f t="shared" si="30"/>
        <v>3.5286484848484849</v>
      </c>
      <c r="W24" s="41">
        <f t="shared" si="30"/>
        <v>0</v>
      </c>
      <c r="X24" s="41">
        <f t="shared" si="30"/>
        <v>0</v>
      </c>
      <c r="Y24" s="41">
        <f t="shared" si="30"/>
        <v>0</v>
      </c>
      <c r="Z24" s="42">
        <f t="shared" si="30"/>
        <v>0</v>
      </c>
      <c r="AA24" s="95">
        <f t="shared" si="30"/>
        <v>0</v>
      </c>
      <c r="AB24" s="41">
        <f t="shared" si="30"/>
        <v>0</v>
      </c>
      <c r="AC24" s="41">
        <f t="shared" si="30"/>
        <v>0</v>
      </c>
      <c r="AD24" s="41">
        <f t="shared" si="30"/>
        <v>0</v>
      </c>
      <c r="AE24" s="42">
        <f t="shared" si="30"/>
        <v>0</v>
      </c>
      <c r="AF24" s="95">
        <f t="shared" si="30"/>
        <v>0</v>
      </c>
      <c r="AG24" s="41">
        <f t="shared" si="30"/>
        <v>0</v>
      </c>
      <c r="AH24" s="41">
        <f t="shared" si="30"/>
        <v>0</v>
      </c>
      <c r="AI24" s="41">
        <f t="shared" si="30"/>
        <v>0</v>
      </c>
      <c r="AJ24" s="41">
        <f t="shared" si="30"/>
        <v>0</v>
      </c>
      <c r="AK24" s="41">
        <f t="shared" si="30"/>
        <v>0</v>
      </c>
      <c r="AL24" s="41">
        <f t="shared" si="30"/>
        <v>0</v>
      </c>
      <c r="AM24" s="41">
        <f t="shared" si="30"/>
        <v>0</v>
      </c>
      <c r="AN24" s="41">
        <f t="shared" si="30"/>
        <v>0</v>
      </c>
      <c r="AO24" s="41">
        <f t="shared" si="30"/>
        <v>0</v>
      </c>
      <c r="AP24" s="41">
        <f t="shared" si="30"/>
        <v>0</v>
      </c>
      <c r="AQ24" s="42">
        <f t="shared" si="30"/>
        <v>0</v>
      </c>
      <c r="AS24" s="95">
        <f t="shared" ref="AS24:AZ25" si="32">AS53+AS82</f>
        <v>4</v>
      </c>
      <c r="AT24" s="41">
        <f t="shared" si="32"/>
        <v>1</v>
      </c>
      <c r="AU24" s="41">
        <f t="shared" si="32"/>
        <v>0</v>
      </c>
      <c r="AV24" s="41">
        <f t="shared" si="32"/>
        <v>0</v>
      </c>
      <c r="AW24" s="41">
        <f t="shared" si="32"/>
        <v>0</v>
      </c>
      <c r="AX24" s="41">
        <f t="shared" si="32"/>
        <v>0</v>
      </c>
      <c r="AY24" s="41">
        <f t="shared" si="32"/>
        <v>16</v>
      </c>
      <c r="AZ24" s="42">
        <f t="shared" si="32"/>
        <v>0</v>
      </c>
      <c r="BA24" s="41">
        <f t="shared" si="26"/>
        <v>0</v>
      </c>
      <c r="BB24" s="41">
        <f t="shared" si="26"/>
        <v>0</v>
      </c>
      <c r="BC24" s="41">
        <f t="shared" si="26"/>
        <v>0</v>
      </c>
      <c r="BD24" s="41">
        <f t="shared" si="26"/>
        <v>0</v>
      </c>
      <c r="BE24" s="95">
        <f t="shared" si="26"/>
        <v>0</v>
      </c>
      <c r="BF24" s="41">
        <f t="shared" si="26"/>
        <v>0</v>
      </c>
      <c r="BG24" s="41">
        <f t="shared" si="26"/>
        <v>0</v>
      </c>
      <c r="BH24" s="41">
        <f t="shared" si="26"/>
        <v>0</v>
      </c>
      <c r="BI24" s="41">
        <f t="shared" si="26"/>
        <v>0</v>
      </c>
      <c r="BJ24" s="42">
        <f t="shared" si="26"/>
        <v>0</v>
      </c>
      <c r="BK24" s="41">
        <f t="shared" si="26"/>
        <v>0</v>
      </c>
      <c r="BL24" s="41">
        <f t="shared" si="26"/>
        <v>0</v>
      </c>
      <c r="BM24" s="41">
        <f t="shared" si="26"/>
        <v>0</v>
      </c>
      <c r="BN24" s="41">
        <f t="shared" si="26"/>
        <v>0</v>
      </c>
      <c r="BO24" s="41">
        <f t="shared" si="26"/>
        <v>0</v>
      </c>
      <c r="BP24" s="95">
        <f t="shared" si="26"/>
        <v>0</v>
      </c>
      <c r="BQ24" s="41">
        <f t="shared" si="26"/>
        <v>0</v>
      </c>
      <c r="BR24" s="41">
        <f t="shared" si="26"/>
        <v>0</v>
      </c>
      <c r="BS24" s="41">
        <f t="shared" si="26"/>
        <v>0</v>
      </c>
      <c r="BT24" s="41">
        <f t="shared" si="26"/>
        <v>0</v>
      </c>
      <c r="BU24" s="41">
        <f t="shared" si="26"/>
        <v>0</v>
      </c>
      <c r="BV24" s="41">
        <f t="shared" si="26"/>
        <v>0</v>
      </c>
      <c r="BW24" s="41">
        <f t="shared" si="26"/>
        <v>0</v>
      </c>
      <c r="BX24" s="41">
        <f t="shared" si="26"/>
        <v>0</v>
      </c>
      <c r="BY24" s="41">
        <f t="shared" si="26"/>
        <v>0</v>
      </c>
      <c r="BZ24" s="41">
        <f t="shared" si="26"/>
        <v>0</v>
      </c>
      <c r="CA24" s="42">
        <f t="shared" si="26"/>
        <v>0</v>
      </c>
      <c r="CC24" s="2">
        <f t="shared" ref="CC24:CC29" si="33">SUM(AS24:AZ24)</f>
        <v>21</v>
      </c>
      <c r="CD24" s="232">
        <f t="shared" ref="CD24:CD29" si="34">D24/CC24</f>
        <v>12.741428571428575</v>
      </c>
      <c r="CE24">
        <f t="shared" ref="CE24:CE29" si="35">CC24/B24</f>
        <v>0.80769230769230771</v>
      </c>
      <c r="CF24" s="2">
        <f>SUM(AS24:AX24)</f>
        <v>5</v>
      </c>
      <c r="CG24" s="2">
        <f>SUM(AY24:AZ24)</f>
        <v>16</v>
      </c>
      <c r="CH24" s="238">
        <f>CF24/(CG24+CF24)</f>
        <v>0.23809523809523808</v>
      </c>
    </row>
    <row r="25" spans="1:86" x14ac:dyDescent="0.25">
      <c r="A25" s="127" t="s">
        <v>167</v>
      </c>
      <c r="B25" s="206">
        <f t="shared" si="0"/>
        <v>4</v>
      </c>
      <c r="C25" s="46">
        <f t="shared" si="1"/>
        <v>20</v>
      </c>
      <c r="D25" s="129">
        <f t="shared" si="1"/>
        <v>70.45</v>
      </c>
      <c r="E25" s="25"/>
      <c r="F25" s="199">
        <f t="shared" si="2"/>
        <v>52.375500000000002</v>
      </c>
      <c r="G25" s="200">
        <f t="shared" si="3"/>
        <v>111.04769727690991</v>
      </c>
      <c r="H25" s="46">
        <f t="shared" si="3"/>
        <v>452.5783816666667</v>
      </c>
      <c r="I25" s="45">
        <f t="shared" si="27"/>
        <v>0.18010278907565055</v>
      </c>
      <c r="J25" s="25"/>
      <c r="K25" s="95">
        <f t="shared" ref="K25:Z26" si="36">K45+K74</f>
        <v>0</v>
      </c>
      <c r="L25" s="41">
        <f t="shared" si="36"/>
        <v>0</v>
      </c>
      <c r="M25" s="41">
        <f t="shared" si="36"/>
        <v>0</v>
      </c>
      <c r="N25" s="41">
        <f t="shared" si="36"/>
        <v>0</v>
      </c>
      <c r="O25" s="41">
        <f t="shared" si="36"/>
        <v>0</v>
      </c>
      <c r="P25" s="42">
        <f t="shared" si="36"/>
        <v>0</v>
      </c>
      <c r="Q25" s="95">
        <f t="shared" ref="Q25:T26" si="37">Q54+Q83</f>
        <v>1.8075941289087429</v>
      </c>
      <c r="R25" s="41">
        <f t="shared" si="37"/>
        <v>0</v>
      </c>
      <c r="S25" s="41">
        <f t="shared" si="37"/>
        <v>0</v>
      </c>
      <c r="T25" s="42">
        <f t="shared" si="37"/>
        <v>0</v>
      </c>
      <c r="U25" s="95">
        <f t="shared" si="36"/>
        <v>0</v>
      </c>
      <c r="V25" s="41">
        <f t="shared" si="36"/>
        <v>0</v>
      </c>
      <c r="W25" s="41">
        <f t="shared" si="36"/>
        <v>0</v>
      </c>
      <c r="X25" s="41">
        <f t="shared" si="36"/>
        <v>0</v>
      </c>
      <c r="Y25" s="41">
        <f t="shared" si="36"/>
        <v>0</v>
      </c>
      <c r="Z25" s="42">
        <f t="shared" si="36"/>
        <v>0</v>
      </c>
      <c r="AA25" s="95">
        <f t="shared" si="30"/>
        <v>0</v>
      </c>
      <c r="AB25" s="41">
        <f t="shared" si="30"/>
        <v>0</v>
      </c>
      <c r="AC25" s="41">
        <f t="shared" si="30"/>
        <v>0</v>
      </c>
      <c r="AD25" s="41">
        <f t="shared" si="30"/>
        <v>0</v>
      </c>
      <c r="AE25" s="42">
        <f t="shared" si="30"/>
        <v>0</v>
      </c>
      <c r="AF25" s="95">
        <f t="shared" si="30"/>
        <v>0</v>
      </c>
      <c r="AG25" s="41">
        <f t="shared" si="30"/>
        <v>0</v>
      </c>
      <c r="AH25" s="41">
        <f t="shared" si="30"/>
        <v>0</v>
      </c>
      <c r="AI25" s="41">
        <f t="shared" si="30"/>
        <v>0</v>
      </c>
      <c r="AJ25" s="41">
        <f t="shared" si="30"/>
        <v>0</v>
      </c>
      <c r="AK25" s="41">
        <f t="shared" si="30"/>
        <v>17.588365292668794</v>
      </c>
      <c r="AL25" s="41">
        <f t="shared" si="30"/>
        <v>0</v>
      </c>
      <c r="AM25" s="41">
        <f t="shared" si="30"/>
        <v>0</v>
      </c>
      <c r="AN25" s="41">
        <f t="shared" si="30"/>
        <v>0</v>
      </c>
      <c r="AO25" s="41">
        <f t="shared" si="30"/>
        <v>0</v>
      </c>
      <c r="AP25" s="41">
        <f t="shared" si="30"/>
        <v>0</v>
      </c>
      <c r="AQ25" s="42">
        <f t="shared" si="30"/>
        <v>24.666000002988397</v>
      </c>
      <c r="AS25" s="95">
        <f t="shared" si="26"/>
        <v>2</v>
      </c>
      <c r="AT25" s="41">
        <f t="shared" si="32"/>
        <v>0</v>
      </c>
      <c r="AU25" s="41">
        <f t="shared" si="32"/>
        <v>0</v>
      </c>
      <c r="AV25" s="41">
        <f t="shared" si="32"/>
        <v>0</v>
      </c>
      <c r="AW25" s="41">
        <f t="shared" si="32"/>
        <v>0</v>
      </c>
      <c r="AX25" s="41">
        <f t="shared" si="32"/>
        <v>0</v>
      </c>
      <c r="AY25" s="41">
        <f t="shared" si="32"/>
        <v>7</v>
      </c>
      <c r="AZ25" s="42">
        <f t="shared" si="32"/>
        <v>0</v>
      </c>
      <c r="BA25" s="41">
        <f t="shared" si="26"/>
        <v>1</v>
      </c>
      <c r="BB25" s="41">
        <f t="shared" si="26"/>
        <v>0</v>
      </c>
      <c r="BC25" s="41">
        <f t="shared" ref="BC25:CA25" si="38">BC54+BC83</f>
        <v>0</v>
      </c>
      <c r="BD25" s="41">
        <f t="shared" si="38"/>
        <v>0</v>
      </c>
      <c r="BE25" s="95">
        <f t="shared" si="38"/>
        <v>0</v>
      </c>
      <c r="BF25" s="41">
        <f t="shared" si="38"/>
        <v>0</v>
      </c>
      <c r="BG25" s="41">
        <f t="shared" si="38"/>
        <v>1</v>
      </c>
      <c r="BH25" s="41">
        <f t="shared" si="38"/>
        <v>1</v>
      </c>
      <c r="BI25" s="41">
        <f t="shared" si="38"/>
        <v>0</v>
      </c>
      <c r="BJ25" s="42">
        <f t="shared" si="38"/>
        <v>0</v>
      </c>
      <c r="BK25" s="41">
        <f t="shared" si="38"/>
        <v>0</v>
      </c>
      <c r="BL25" s="41">
        <f t="shared" si="38"/>
        <v>0</v>
      </c>
      <c r="BM25" s="41">
        <f t="shared" si="38"/>
        <v>0</v>
      </c>
      <c r="BN25" s="41">
        <f t="shared" si="38"/>
        <v>0</v>
      </c>
      <c r="BO25" s="41">
        <f t="shared" si="38"/>
        <v>0</v>
      </c>
      <c r="BP25" s="95">
        <f t="shared" si="38"/>
        <v>0</v>
      </c>
      <c r="BQ25" s="41">
        <f t="shared" si="38"/>
        <v>0</v>
      </c>
      <c r="BR25" s="41">
        <f t="shared" si="38"/>
        <v>0</v>
      </c>
      <c r="BS25" s="41">
        <f t="shared" si="38"/>
        <v>0</v>
      </c>
      <c r="BT25" s="41">
        <f t="shared" si="38"/>
        <v>0</v>
      </c>
      <c r="BU25" s="41">
        <f t="shared" si="38"/>
        <v>0</v>
      </c>
      <c r="BV25" s="41">
        <f t="shared" si="38"/>
        <v>0</v>
      </c>
      <c r="BW25" s="41">
        <f t="shared" si="38"/>
        <v>0</v>
      </c>
      <c r="BX25" s="41">
        <f t="shared" si="38"/>
        <v>0</v>
      </c>
      <c r="BY25" s="41">
        <f t="shared" si="38"/>
        <v>0</v>
      </c>
      <c r="BZ25" s="41">
        <f t="shared" si="38"/>
        <v>0</v>
      </c>
      <c r="CA25" s="42">
        <f t="shared" si="38"/>
        <v>1</v>
      </c>
      <c r="CC25" s="2">
        <f t="shared" si="33"/>
        <v>9</v>
      </c>
      <c r="CD25" s="232">
        <f t="shared" si="34"/>
        <v>7.8277777777777784</v>
      </c>
      <c r="CE25">
        <f t="shared" si="35"/>
        <v>2.25</v>
      </c>
      <c r="CF25" s="2">
        <f>SUM(AS25:AX25)</f>
        <v>2</v>
      </c>
      <c r="CG25" s="2">
        <f>SUM(AY25:AZ25)</f>
        <v>7</v>
      </c>
      <c r="CH25" s="238">
        <f>CF25/(CG25+CF25)</f>
        <v>0.22222222222222221</v>
      </c>
    </row>
    <row r="26" spans="1:86" x14ac:dyDescent="0.25">
      <c r="A26" s="127" t="s">
        <v>168</v>
      </c>
      <c r="B26" s="206">
        <f t="shared" si="0"/>
        <v>15</v>
      </c>
      <c r="C26" s="46">
        <f t="shared" si="1"/>
        <v>63</v>
      </c>
      <c r="D26" s="129">
        <f t="shared" si="1"/>
        <v>213.39</v>
      </c>
      <c r="E26" s="25"/>
      <c r="F26" s="199">
        <f t="shared" si="2"/>
        <v>62.405000000000001</v>
      </c>
      <c r="G26" s="200">
        <f t="shared" si="3"/>
        <v>218.44410927211248</v>
      </c>
      <c r="H26" s="46">
        <f t="shared" si="3"/>
        <v>758.66401999999994</v>
      </c>
      <c r="I26" s="45">
        <f t="shared" si="27"/>
        <v>0.28840329093755446</v>
      </c>
      <c r="J26" s="25"/>
      <c r="K26" s="95">
        <f t="shared" si="36"/>
        <v>0</v>
      </c>
      <c r="L26" s="41">
        <f t="shared" si="36"/>
        <v>0</v>
      </c>
      <c r="M26" s="41">
        <f t="shared" si="36"/>
        <v>0</v>
      </c>
      <c r="N26" s="41">
        <f t="shared" si="36"/>
        <v>0</v>
      </c>
      <c r="O26" s="41">
        <f t="shared" si="36"/>
        <v>2.0388448275862068</v>
      </c>
      <c r="P26" s="42">
        <f t="shared" si="36"/>
        <v>0</v>
      </c>
      <c r="Q26" s="95">
        <f t="shared" si="37"/>
        <v>49.923999999999999</v>
      </c>
      <c r="R26" s="41">
        <f t="shared" si="37"/>
        <v>0</v>
      </c>
      <c r="S26" s="41">
        <f t="shared" si="37"/>
        <v>0</v>
      </c>
      <c r="T26" s="42">
        <f t="shared" si="37"/>
        <v>0</v>
      </c>
      <c r="U26" s="95">
        <f t="shared" si="36"/>
        <v>0</v>
      </c>
      <c r="V26" s="41">
        <f t="shared" si="36"/>
        <v>4.0776896551724136</v>
      </c>
      <c r="W26" s="41">
        <f t="shared" si="36"/>
        <v>0</v>
      </c>
      <c r="X26" s="41">
        <f t="shared" si="36"/>
        <v>2.0388448275862068</v>
      </c>
      <c r="Y26" s="41">
        <f t="shared" si="36"/>
        <v>0</v>
      </c>
      <c r="Z26" s="42">
        <f t="shared" si="36"/>
        <v>0</v>
      </c>
      <c r="AA26" s="95">
        <f t="shared" si="30"/>
        <v>0</v>
      </c>
      <c r="AB26" s="41">
        <f t="shared" si="30"/>
        <v>0</v>
      </c>
      <c r="AC26" s="41">
        <f t="shared" si="30"/>
        <v>0</v>
      </c>
      <c r="AD26" s="41">
        <f t="shared" si="30"/>
        <v>0</v>
      </c>
      <c r="AE26" s="42">
        <f t="shared" si="30"/>
        <v>0</v>
      </c>
      <c r="AF26" s="95">
        <f t="shared" si="30"/>
        <v>0</v>
      </c>
      <c r="AG26" s="41">
        <f t="shared" si="30"/>
        <v>0</v>
      </c>
      <c r="AH26" s="41">
        <f t="shared" si="30"/>
        <v>0</v>
      </c>
      <c r="AI26" s="41">
        <f t="shared" si="30"/>
        <v>0</v>
      </c>
      <c r="AJ26" s="41">
        <f t="shared" si="30"/>
        <v>0</v>
      </c>
      <c r="AK26" s="41">
        <f t="shared" si="30"/>
        <v>2.0388448275862068</v>
      </c>
      <c r="AL26" s="41">
        <f t="shared" si="30"/>
        <v>0</v>
      </c>
      <c r="AM26" s="41">
        <f t="shared" si="30"/>
        <v>0</v>
      </c>
      <c r="AN26" s="41">
        <f t="shared" si="30"/>
        <v>0</v>
      </c>
      <c r="AO26" s="41">
        <f t="shared" si="30"/>
        <v>0</v>
      </c>
      <c r="AP26" s="41">
        <f t="shared" si="30"/>
        <v>0</v>
      </c>
      <c r="AQ26" s="42">
        <f t="shared" si="30"/>
        <v>0</v>
      </c>
      <c r="AS26" s="95">
        <f t="shared" ref="AS26:AZ26" si="39">AS55+AS84</f>
        <v>0</v>
      </c>
      <c r="AT26" s="41">
        <f t="shared" si="39"/>
        <v>0</v>
      </c>
      <c r="AU26" s="41">
        <f t="shared" si="39"/>
        <v>0</v>
      </c>
      <c r="AV26" s="41">
        <f t="shared" si="39"/>
        <v>0</v>
      </c>
      <c r="AW26" s="41">
        <f t="shared" si="39"/>
        <v>0</v>
      </c>
      <c r="AX26" s="41">
        <f t="shared" si="39"/>
        <v>0</v>
      </c>
      <c r="AY26" s="41">
        <f t="shared" si="39"/>
        <v>0</v>
      </c>
      <c r="AZ26" s="42">
        <f t="shared" si="39"/>
        <v>0</v>
      </c>
      <c r="BA26" s="41">
        <f t="shared" ref="BA26:CA26" si="40">BA55+BA84</f>
        <v>0</v>
      </c>
      <c r="BB26" s="41">
        <f t="shared" si="40"/>
        <v>0</v>
      </c>
      <c r="BC26" s="41">
        <f t="shared" si="40"/>
        <v>0</v>
      </c>
      <c r="BD26" s="41">
        <f t="shared" si="40"/>
        <v>0</v>
      </c>
      <c r="BE26" s="95">
        <f t="shared" si="40"/>
        <v>0</v>
      </c>
      <c r="BF26" s="41">
        <f t="shared" si="40"/>
        <v>0</v>
      </c>
      <c r="BG26" s="41">
        <f t="shared" si="40"/>
        <v>0</v>
      </c>
      <c r="BH26" s="41">
        <f t="shared" si="40"/>
        <v>0</v>
      </c>
      <c r="BI26" s="41">
        <f t="shared" si="40"/>
        <v>0</v>
      </c>
      <c r="BJ26" s="42">
        <f t="shared" si="40"/>
        <v>0</v>
      </c>
      <c r="BK26" s="41">
        <f t="shared" si="40"/>
        <v>0</v>
      </c>
      <c r="BL26" s="41">
        <f t="shared" si="40"/>
        <v>0</v>
      </c>
      <c r="BM26" s="41">
        <f t="shared" si="40"/>
        <v>0</v>
      </c>
      <c r="BN26" s="41">
        <f t="shared" si="40"/>
        <v>0</v>
      </c>
      <c r="BO26" s="41">
        <f t="shared" si="40"/>
        <v>0</v>
      </c>
      <c r="BP26" s="95">
        <f t="shared" si="40"/>
        <v>0</v>
      </c>
      <c r="BQ26" s="41">
        <f t="shared" si="40"/>
        <v>0</v>
      </c>
      <c r="BR26" s="41">
        <f t="shared" si="40"/>
        <v>0</v>
      </c>
      <c r="BS26" s="41">
        <f t="shared" si="40"/>
        <v>0</v>
      </c>
      <c r="BT26" s="41">
        <f t="shared" si="40"/>
        <v>0</v>
      </c>
      <c r="BU26" s="41">
        <f t="shared" si="40"/>
        <v>1</v>
      </c>
      <c r="BV26" s="41">
        <f t="shared" si="40"/>
        <v>0</v>
      </c>
      <c r="BW26" s="41">
        <f t="shared" si="40"/>
        <v>0</v>
      </c>
      <c r="BX26" s="41">
        <f t="shared" si="40"/>
        <v>0</v>
      </c>
      <c r="BY26" s="41">
        <f t="shared" si="40"/>
        <v>0</v>
      </c>
      <c r="BZ26" s="41">
        <f t="shared" si="40"/>
        <v>0</v>
      </c>
      <c r="CA26" s="42">
        <f t="shared" si="40"/>
        <v>0</v>
      </c>
      <c r="CC26" s="2">
        <f t="shared" si="33"/>
        <v>0</v>
      </c>
      <c r="CD26" s="232" t="e">
        <f t="shared" si="34"/>
        <v>#DIV/0!</v>
      </c>
      <c r="CE26">
        <f t="shared" si="35"/>
        <v>0</v>
      </c>
      <c r="CF26" s="2">
        <f>SUM(AS26:AX26)</f>
        <v>0</v>
      </c>
      <c r="CG26" s="2">
        <f>SUM(AY26:AZ26)</f>
        <v>0</v>
      </c>
      <c r="CH26" s="238" t="e">
        <f>CF26/(CG26+CF26)</f>
        <v>#DIV/0!</v>
      </c>
    </row>
    <row r="27" spans="1:86" x14ac:dyDescent="0.25">
      <c r="A27" s="127" t="s">
        <v>169</v>
      </c>
      <c r="B27" s="206">
        <f t="shared" ref="B27:B31" si="41">B56</f>
        <v>19</v>
      </c>
      <c r="C27" s="46">
        <f t="shared" ref="C27:D31" si="42">C56+C85</f>
        <v>57</v>
      </c>
      <c r="D27" s="129">
        <f t="shared" si="42"/>
        <v>287.3</v>
      </c>
      <c r="E27" s="25"/>
      <c r="F27" s="199">
        <f t="shared" ref="F27:F31" si="43">F56</f>
        <v>95.991500000000002</v>
      </c>
      <c r="G27" s="200">
        <f t="shared" ref="G27:H31" si="44">G56+G85</f>
        <v>229.66272371391233</v>
      </c>
      <c r="H27" s="46">
        <f t="shared" si="44"/>
        <v>1193.171354736842</v>
      </c>
      <c r="I27" s="45">
        <f t="shared" ref="I27" si="45">C27/G27</f>
        <v>0.24819003745250409</v>
      </c>
      <c r="J27" s="25"/>
      <c r="K27" s="95">
        <f t="shared" ref="K27:AQ27" si="46">K56+K85</f>
        <v>6.8203668656542851</v>
      </c>
      <c r="L27" s="41">
        <f t="shared" si="46"/>
        <v>15.156552631578947</v>
      </c>
      <c r="M27" s="247">
        <f t="shared" si="46"/>
        <v>0</v>
      </c>
      <c r="N27" s="41">
        <f t="shared" si="46"/>
        <v>0</v>
      </c>
      <c r="O27" s="247">
        <f t="shared" si="46"/>
        <v>37.525242689808024</v>
      </c>
      <c r="P27" s="42">
        <f t="shared" si="46"/>
        <v>40.417473684210528</v>
      </c>
      <c r="Q27" s="95">
        <f t="shared" si="46"/>
        <v>0</v>
      </c>
      <c r="R27" s="41">
        <f t="shared" si="46"/>
        <v>0</v>
      </c>
      <c r="S27" s="41">
        <f t="shared" si="46"/>
        <v>0</v>
      </c>
      <c r="T27" s="42">
        <f t="shared" si="46"/>
        <v>0</v>
      </c>
      <c r="U27" s="95">
        <f t="shared" si="46"/>
        <v>0</v>
      </c>
      <c r="V27" s="41">
        <f t="shared" si="46"/>
        <v>0</v>
      </c>
      <c r="W27" s="41">
        <f t="shared" si="46"/>
        <v>0</v>
      </c>
      <c r="X27" s="41">
        <f t="shared" si="46"/>
        <v>0</v>
      </c>
      <c r="Y27" s="41">
        <f t="shared" si="46"/>
        <v>0</v>
      </c>
      <c r="Z27" s="42">
        <f t="shared" si="46"/>
        <v>0</v>
      </c>
      <c r="AA27" s="95">
        <f t="shared" si="46"/>
        <v>0</v>
      </c>
      <c r="AB27" s="41">
        <f t="shared" si="46"/>
        <v>0</v>
      </c>
      <c r="AC27" s="41">
        <f t="shared" si="46"/>
        <v>0</v>
      </c>
      <c r="AD27" s="41">
        <f t="shared" si="46"/>
        <v>0</v>
      </c>
      <c r="AE27" s="42">
        <f t="shared" si="46"/>
        <v>0</v>
      </c>
      <c r="AF27" s="95">
        <f t="shared" si="46"/>
        <v>0</v>
      </c>
      <c r="AG27" s="41">
        <f t="shared" si="46"/>
        <v>0</v>
      </c>
      <c r="AH27" s="41">
        <f t="shared" si="46"/>
        <v>0</v>
      </c>
      <c r="AI27" s="41">
        <f t="shared" si="46"/>
        <v>0</v>
      </c>
      <c r="AJ27" s="41">
        <f t="shared" si="46"/>
        <v>0</v>
      </c>
      <c r="AK27" s="41">
        <f t="shared" si="46"/>
        <v>0</v>
      </c>
      <c r="AL27" s="41">
        <f t="shared" si="46"/>
        <v>0</v>
      </c>
      <c r="AM27" s="41">
        <f t="shared" si="46"/>
        <v>0</v>
      </c>
      <c r="AN27" s="41">
        <f t="shared" si="46"/>
        <v>0</v>
      </c>
      <c r="AO27" s="41">
        <f t="shared" si="46"/>
        <v>0</v>
      </c>
      <c r="AP27" s="41">
        <f t="shared" si="46"/>
        <v>0</v>
      </c>
      <c r="AQ27" s="42">
        <f t="shared" si="46"/>
        <v>0</v>
      </c>
      <c r="AS27" s="95">
        <f t="shared" ref="AS27:CA27" si="47">AS56+AS85</f>
        <v>1</v>
      </c>
      <c r="AT27" s="41">
        <f t="shared" si="47"/>
        <v>0</v>
      </c>
      <c r="AU27" s="41">
        <f t="shared" si="47"/>
        <v>0</v>
      </c>
      <c r="AV27" s="41">
        <f t="shared" si="47"/>
        <v>0</v>
      </c>
      <c r="AW27" s="41">
        <f t="shared" si="47"/>
        <v>0</v>
      </c>
      <c r="AX27" s="41">
        <f t="shared" si="47"/>
        <v>0</v>
      </c>
      <c r="AY27" s="41">
        <f t="shared" si="47"/>
        <v>4</v>
      </c>
      <c r="AZ27" s="42">
        <f t="shared" si="47"/>
        <v>0</v>
      </c>
      <c r="BA27" s="41">
        <f t="shared" si="47"/>
        <v>0</v>
      </c>
      <c r="BB27" s="41">
        <f t="shared" si="47"/>
        <v>0</v>
      </c>
      <c r="BC27" s="41">
        <f t="shared" si="47"/>
        <v>0</v>
      </c>
      <c r="BD27" s="41">
        <f t="shared" si="47"/>
        <v>0</v>
      </c>
      <c r="BE27" s="95">
        <f t="shared" si="47"/>
        <v>0</v>
      </c>
      <c r="BF27" s="41">
        <f t="shared" si="47"/>
        <v>0</v>
      </c>
      <c r="BG27" s="41">
        <f t="shared" si="47"/>
        <v>0</v>
      </c>
      <c r="BH27" s="41">
        <f t="shared" si="47"/>
        <v>0</v>
      </c>
      <c r="BI27" s="41">
        <f t="shared" si="47"/>
        <v>0</v>
      </c>
      <c r="BJ27" s="42">
        <f t="shared" si="47"/>
        <v>0</v>
      </c>
      <c r="BK27" s="41">
        <f t="shared" si="47"/>
        <v>0</v>
      </c>
      <c r="BL27" s="41">
        <f t="shared" si="47"/>
        <v>0</v>
      </c>
      <c r="BM27" s="41">
        <f t="shared" si="47"/>
        <v>0</v>
      </c>
      <c r="BN27" s="41">
        <f t="shared" si="47"/>
        <v>0</v>
      </c>
      <c r="BO27" s="41">
        <f t="shared" si="47"/>
        <v>0</v>
      </c>
      <c r="BP27" s="95">
        <f t="shared" si="47"/>
        <v>0</v>
      </c>
      <c r="BQ27" s="41">
        <f t="shared" si="47"/>
        <v>0</v>
      </c>
      <c r="BR27" s="41">
        <f t="shared" si="47"/>
        <v>0</v>
      </c>
      <c r="BS27" s="41">
        <f t="shared" si="47"/>
        <v>0</v>
      </c>
      <c r="BT27" s="41">
        <f t="shared" si="47"/>
        <v>0</v>
      </c>
      <c r="BU27" s="41">
        <f t="shared" si="47"/>
        <v>0</v>
      </c>
      <c r="BV27" s="41">
        <f t="shared" si="47"/>
        <v>0</v>
      </c>
      <c r="BW27" s="41">
        <f t="shared" si="47"/>
        <v>0</v>
      </c>
      <c r="BX27" s="41">
        <f t="shared" si="47"/>
        <v>0</v>
      </c>
      <c r="BY27" s="41">
        <f t="shared" si="47"/>
        <v>0</v>
      </c>
      <c r="BZ27" s="41">
        <f t="shared" si="47"/>
        <v>0</v>
      </c>
      <c r="CA27" s="42">
        <f t="shared" si="47"/>
        <v>0</v>
      </c>
      <c r="CC27" s="2">
        <f t="shared" si="33"/>
        <v>5</v>
      </c>
      <c r="CD27" s="232">
        <f t="shared" si="34"/>
        <v>57.46</v>
      </c>
      <c r="CE27">
        <f t="shared" si="35"/>
        <v>0.26315789473684209</v>
      </c>
      <c r="CF27" s="2">
        <f>SUM(AS27:AX27)</f>
        <v>1</v>
      </c>
      <c r="CG27" s="2">
        <f>SUM(AY27:AZ27)</f>
        <v>4</v>
      </c>
      <c r="CH27" s="238">
        <f>CF27/(CG27+CF27)</f>
        <v>0.2</v>
      </c>
    </row>
    <row r="28" spans="1:86" x14ac:dyDescent="0.25">
      <c r="A28" s="127" t="s">
        <v>170</v>
      </c>
      <c r="B28" s="206">
        <f t="shared" si="41"/>
        <v>0</v>
      </c>
      <c r="C28" s="46">
        <f t="shared" si="42"/>
        <v>0</v>
      </c>
      <c r="D28" s="129">
        <f t="shared" si="42"/>
        <v>0</v>
      </c>
      <c r="E28" s="25"/>
      <c r="F28" s="199">
        <f t="shared" si="43"/>
        <v>0</v>
      </c>
      <c r="G28" s="200" t="e">
        <f t="shared" si="44"/>
        <v>#DIV/0!</v>
      </c>
      <c r="H28" s="46" t="e">
        <f t="shared" si="44"/>
        <v>#DIV/0!</v>
      </c>
      <c r="I28" s="45" t="e">
        <f t="shared" ref="I28" si="48">C28/G28</f>
        <v>#DIV/0!</v>
      </c>
      <c r="J28" s="25"/>
      <c r="K28" s="95" t="e">
        <f t="shared" ref="K28:AQ28" si="49">K57+K86</f>
        <v>#DIV/0!</v>
      </c>
      <c r="L28" s="41" t="e">
        <f t="shared" si="49"/>
        <v>#DIV/0!</v>
      </c>
      <c r="M28" s="247" t="e">
        <f t="shared" si="49"/>
        <v>#DIV/0!</v>
      </c>
      <c r="N28" s="41" t="e">
        <f t="shared" si="49"/>
        <v>#DIV/0!</v>
      </c>
      <c r="O28" s="247" t="e">
        <f t="shared" si="49"/>
        <v>#DIV/0!</v>
      </c>
      <c r="P28" s="42" t="e">
        <f t="shared" si="49"/>
        <v>#DIV/0!</v>
      </c>
      <c r="Q28" s="95" t="e">
        <f t="shared" si="49"/>
        <v>#DIV/0!</v>
      </c>
      <c r="R28" s="41" t="e">
        <f t="shared" si="49"/>
        <v>#DIV/0!</v>
      </c>
      <c r="S28" s="41" t="e">
        <f t="shared" si="49"/>
        <v>#DIV/0!</v>
      </c>
      <c r="T28" s="42" t="e">
        <f t="shared" si="49"/>
        <v>#DIV/0!</v>
      </c>
      <c r="U28" s="95" t="e">
        <f t="shared" si="49"/>
        <v>#DIV/0!</v>
      </c>
      <c r="V28" s="41" t="e">
        <f t="shared" si="49"/>
        <v>#DIV/0!</v>
      </c>
      <c r="W28" s="41" t="e">
        <f t="shared" si="49"/>
        <v>#DIV/0!</v>
      </c>
      <c r="X28" s="41" t="e">
        <f t="shared" si="49"/>
        <v>#DIV/0!</v>
      </c>
      <c r="Y28" s="41" t="e">
        <f t="shared" si="49"/>
        <v>#DIV/0!</v>
      </c>
      <c r="Z28" s="42" t="e">
        <f t="shared" si="49"/>
        <v>#DIV/0!</v>
      </c>
      <c r="AA28" s="95" t="e">
        <f t="shared" si="49"/>
        <v>#DIV/0!</v>
      </c>
      <c r="AB28" s="41" t="e">
        <f t="shared" si="49"/>
        <v>#DIV/0!</v>
      </c>
      <c r="AC28" s="41" t="e">
        <f t="shared" si="49"/>
        <v>#DIV/0!</v>
      </c>
      <c r="AD28" s="41" t="e">
        <f t="shared" si="49"/>
        <v>#DIV/0!</v>
      </c>
      <c r="AE28" s="42" t="e">
        <f t="shared" si="49"/>
        <v>#DIV/0!</v>
      </c>
      <c r="AF28" s="95" t="e">
        <f t="shared" si="49"/>
        <v>#DIV/0!</v>
      </c>
      <c r="AG28" s="41" t="e">
        <f t="shared" si="49"/>
        <v>#DIV/0!</v>
      </c>
      <c r="AH28" s="41" t="e">
        <f t="shared" si="49"/>
        <v>#DIV/0!</v>
      </c>
      <c r="AI28" s="41" t="e">
        <f t="shared" si="49"/>
        <v>#DIV/0!</v>
      </c>
      <c r="AJ28" s="41" t="e">
        <f t="shared" si="49"/>
        <v>#DIV/0!</v>
      </c>
      <c r="AK28" s="41" t="e">
        <f t="shared" si="49"/>
        <v>#DIV/0!</v>
      </c>
      <c r="AL28" s="41" t="e">
        <f t="shared" si="49"/>
        <v>#DIV/0!</v>
      </c>
      <c r="AM28" s="41" t="e">
        <f t="shared" si="49"/>
        <v>#DIV/0!</v>
      </c>
      <c r="AN28" s="41" t="e">
        <f t="shared" si="49"/>
        <v>#DIV/0!</v>
      </c>
      <c r="AO28" s="41" t="e">
        <f t="shared" si="49"/>
        <v>#DIV/0!</v>
      </c>
      <c r="AP28" s="41" t="e">
        <f t="shared" si="49"/>
        <v>#DIV/0!</v>
      </c>
      <c r="AQ28" s="42" t="e">
        <f t="shared" si="49"/>
        <v>#DIV/0!</v>
      </c>
      <c r="AS28" s="95">
        <f t="shared" ref="AS28:CA28" si="50">AS57+AS86</f>
        <v>0</v>
      </c>
      <c r="AT28" s="41">
        <f t="shared" si="50"/>
        <v>0</v>
      </c>
      <c r="AU28" s="41">
        <f t="shared" si="50"/>
        <v>0</v>
      </c>
      <c r="AV28" s="41">
        <f t="shared" si="50"/>
        <v>0</v>
      </c>
      <c r="AW28" s="41">
        <f t="shared" si="50"/>
        <v>0</v>
      </c>
      <c r="AX28" s="41">
        <f t="shared" si="50"/>
        <v>0</v>
      </c>
      <c r="AY28" s="41">
        <f t="shared" si="50"/>
        <v>0</v>
      </c>
      <c r="AZ28" s="42">
        <f t="shared" si="50"/>
        <v>0</v>
      </c>
      <c r="BA28" s="41">
        <f t="shared" si="50"/>
        <v>0</v>
      </c>
      <c r="BB28" s="41">
        <f t="shared" si="50"/>
        <v>0</v>
      </c>
      <c r="BC28" s="41">
        <f t="shared" si="50"/>
        <v>0</v>
      </c>
      <c r="BD28" s="41">
        <f t="shared" si="50"/>
        <v>0</v>
      </c>
      <c r="BE28" s="95">
        <f t="shared" si="50"/>
        <v>0</v>
      </c>
      <c r="BF28" s="41">
        <f t="shared" si="50"/>
        <v>0</v>
      </c>
      <c r="BG28" s="41">
        <f t="shared" si="50"/>
        <v>0</v>
      </c>
      <c r="BH28" s="41">
        <f t="shared" si="50"/>
        <v>0</v>
      </c>
      <c r="BI28" s="41">
        <f t="shared" si="50"/>
        <v>0</v>
      </c>
      <c r="BJ28" s="42">
        <f t="shared" si="50"/>
        <v>0</v>
      </c>
      <c r="BK28" s="41">
        <f t="shared" si="50"/>
        <v>0</v>
      </c>
      <c r="BL28" s="41">
        <f t="shared" si="50"/>
        <v>0</v>
      </c>
      <c r="BM28" s="41">
        <f t="shared" si="50"/>
        <v>0</v>
      </c>
      <c r="BN28" s="41">
        <f t="shared" si="50"/>
        <v>0</v>
      </c>
      <c r="BO28" s="41">
        <f t="shared" si="50"/>
        <v>0</v>
      </c>
      <c r="BP28" s="95">
        <f t="shared" si="50"/>
        <v>0</v>
      </c>
      <c r="BQ28" s="41">
        <f t="shared" si="50"/>
        <v>0</v>
      </c>
      <c r="BR28" s="41">
        <f t="shared" si="50"/>
        <v>0</v>
      </c>
      <c r="BS28" s="41">
        <f t="shared" si="50"/>
        <v>0</v>
      </c>
      <c r="BT28" s="41">
        <f t="shared" si="50"/>
        <v>0</v>
      </c>
      <c r="BU28" s="41">
        <f t="shared" si="50"/>
        <v>0</v>
      </c>
      <c r="BV28" s="41">
        <f t="shared" si="50"/>
        <v>0</v>
      </c>
      <c r="BW28" s="41">
        <f t="shared" si="50"/>
        <v>0</v>
      </c>
      <c r="BX28" s="41">
        <f t="shared" si="50"/>
        <v>0</v>
      </c>
      <c r="BY28" s="41">
        <f t="shared" si="50"/>
        <v>0</v>
      </c>
      <c r="BZ28" s="41">
        <f t="shared" si="50"/>
        <v>0</v>
      </c>
      <c r="CA28" s="42">
        <f t="shared" si="50"/>
        <v>0</v>
      </c>
      <c r="CC28" s="2">
        <f t="shared" si="33"/>
        <v>0</v>
      </c>
      <c r="CD28" s="232" t="e">
        <f t="shared" si="34"/>
        <v>#DIV/0!</v>
      </c>
      <c r="CE28" t="e">
        <f t="shared" si="35"/>
        <v>#DIV/0!</v>
      </c>
      <c r="CF28" s="2">
        <f>SUM(AS28:AX28)</f>
        <v>0</v>
      </c>
      <c r="CG28" s="2">
        <f>SUM(AY28:AZ28)</f>
        <v>0</v>
      </c>
      <c r="CH28" s="238" t="e">
        <f>CF28/(CG28+CF28)</f>
        <v>#DIV/0!</v>
      </c>
    </row>
    <row r="29" spans="1:86" x14ac:dyDescent="0.25">
      <c r="A29" s="127" t="s">
        <v>101</v>
      </c>
      <c r="B29" s="206">
        <f t="shared" si="41"/>
        <v>0</v>
      </c>
      <c r="C29" s="46">
        <f t="shared" si="42"/>
        <v>0</v>
      </c>
      <c r="D29" s="129">
        <f t="shared" si="42"/>
        <v>0</v>
      </c>
      <c r="E29" s="25"/>
      <c r="F29" s="199">
        <f t="shared" si="43"/>
        <v>0</v>
      </c>
      <c r="G29" s="200" t="e">
        <f t="shared" si="44"/>
        <v>#DIV/0!</v>
      </c>
      <c r="H29" s="46" t="e">
        <f t="shared" si="44"/>
        <v>#DIV/0!</v>
      </c>
      <c r="I29" s="45" t="e">
        <f t="shared" ref="I29" si="51">C29/G29</f>
        <v>#DIV/0!</v>
      </c>
      <c r="J29" s="25"/>
      <c r="K29" s="95" t="e">
        <f t="shared" ref="K29:AQ31" si="52">K58+K87</f>
        <v>#DIV/0!</v>
      </c>
      <c r="L29" s="41" t="e">
        <f t="shared" si="52"/>
        <v>#DIV/0!</v>
      </c>
      <c r="M29" s="247" t="e">
        <f t="shared" si="52"/>
        <v>#DIV/0!</v>
      </c>
      <c r="N29" s="41" t="e">
        <f t="shared" si="52"/>
        <v>#DIV/0!</v>
      </c>
      <c r="O29" s="247" t="e">
        <f t="shared" si="52"/>
        <v>#DIV/0!</v>
      </c>
      <c r="P29" s="42" t="e">
        <f t="shared" si="52"/>
        <v>#DIV/0!</v>
      </c>
      <c r="Q29" s="95" t="e">
        <f t="shared" si="52"/>
        <v>#DIV/0!</v>
      </c>
      <c r="R29" s="41" t="e">
        <f t="shared" si="52"/>
        <v>#DIV/0!</v>
      </c>
      <c r="S29" s="41" t="e">
        <f t="shared" si="52"/>
        <v>#DIV/0!</v>
      </c>
      <c r="T29" s="42" t="e">
        <f t="shared" si="52"/>
        <v>#DIV/0!</v>
      </c>
      <c r="U29" s="95" t="e">
        <f t="shared" si="52"/>
        <v>#DIV/0!</v>
      </c>
      <c r="V29" s="41" t="e">
        <f t="shared" si="52"/>
        <v>#DIV/0!</v>
      </c>
      <c r="W29" s="41" t="e">
        <f t="shared" si="52"/>
        <v>#DIV/0!</v>
      </c>
      <c r="X29" s="41" t="e">
        <f t="shared" si="52"/>
        <v>#DIV/0!</v>
      </c>
      <c r="Y29" s="41" t="e">
        <f t="shared" si="52"/>
        <v>#DIV/0!</v>
      </c>
      <c r="Z29" s="42" t="e">
        <f t="shared" si="52"/>
        <v>#DIV/0!</v>
      </c>
      <c r="AA29" s="95" t="e">
        <f t="shared" si="52"/>
        <v>#DIV/0!</v>
      </c>
      <c r="AB29" s="41" t="e">
        <f t="shared" si="52"/>
        <v>#DIV/0!</v>
      </c>
      <c r="AC29" s="41" t="e">
        <f t="shared" si="52"/>
        <v>#DIV/0!</v>
      </c>
      <c r="AD29" s="41" t="e">
        <f t="shared" si="52"/>
        <v>#DIV/0!</v>
      </c>
      <c r="AE29" s="42" t="e">
        <f t="shared" si="52"/>
        <v>#DIV/0!</v>
      </c>
      <c r="AF29" s="95" t="e">
        <f t="shared" si="52"/>
        <v>#DIV/0!</v>
      </c>
      <c r="AG29" s="41" t="e">
        <f t="shared" si="52"/>
        <v>#DIV/0!</v>
      </c>
      <c r="AH29" s="41" t="e">
        <f t="shared" si="52"/>
        <v>#DIV/0!</v>
      </c>
      <c r="AI29" s="41" t="e">
        <f t="shared" si="52"/>
        <v>#DIV/0!</v>
      </c>
      <c r="AJ29" s="41" t="e">
        <f t="shared" si="52"/>
        <v>#DIV/0!</v>
      </c>
      <c r="AK29" s="41" t="e">
        <f t="shared" si="52"/>
        <v>#DIV/0!</v>
      </c>
      <c r="AL29" s="41" t="e">
        <f t="shared" si="52"/>
        <v>#DIV/0!</v>
      </c>
      <c r="AM29" s="41" t="e">
        <f t="shared" si="52"/>
        <v>#DIV/0!</v>
      </c>
      <c r="AN29" s="41" t="e">
        <f t="shared" si="52"/>
        <v>#DIV/0!</v>
      </c>
      <c r="AO29" s="41" t="e">
        <f t="shared" si="52"/>
        <v>#DIV/0!</v>
      </c>
      <c r="AP29" s="41" t="e">
        <f t="shared" si="52"/>
        <v>#DIV/0!</v>
      </c>
      <c r="AQ29" s="42" t="e">
        <f t="shared" si="52"/>
        <v>#DIV/0!</v>
      </c>
      <c r="AS29" s="95">
        <f t="shared" ref="AS29:CA31" si="53">AS58+AS87</f>
        <v>0</v>
      </c>
      <c r="AT29" s="41">
        <f t="shared" si="53"/>
        <v>0</v>
      </c>
      <c r="AU29" s="41">
        <f t="shared" si="53"/>
        <v>0</v>
      </c>
      <c r="AV29" s="41">
        <f t="shared" si="53"/>
        <v>0</v>
      </c>
      <c r="AW29" s="41">
        <f t="shared" si="53"/>
        <v>0</v>
      </c>
      <c r="AX29" s="41">
        <f t="shared" si="53"/>
        <v>0</v>
      </c>
      <c r="AY29" s="41">
        <f t="shared" si="53"/>
        <v>0</v>
      </c>
      <c r="AZ29" s="42">
        <f t="shared" si="53"/>
        <v>0</v>
      </c>
      <c r="BA29" s="41">
        <f t="shared" si="53"/>
        <v>0</v>
      </c>
      <c r="BB29" s="41">
        <f t="shared" si="53"/>
        <v>0</v>
      </c>
      <c r="BC29" s="41">
        <f t="shared" si="53"/>
        <v>0</v>
      </c>
      <c r="BD29" s="41">
        <f t="shared" si="53"/>
        <v>0</v>
      </c>
      <c r="BE29" s="95">
        <f t="shared" si="53"/>
        <v>0</v>
      </c>
      <c r="BF29" s="41">
        <f t="shared" si="53"/>
        <v>0</v>
      </c>
      <c r="BG29" s="41">
        <f t="shared" si="53"/>
        <v>0</v>
      </c>
      <c r="BH29" s="41">
        <f t="shared" si="53"/>
        <v>0</v>
      </c>
      <c r="BI29" s="41">
        <f t="shared" si="53"/>
        <v>0</v>
      </c>
      <c r="BJ29" s="42">
        <f t="shared" si="53"/>
        <v>0</v>
      </c>
      <c r="BK29" s="41">
        <f t="shared" si="53"/>
        <v>0</v>
      </c>
      <c r="BL29" s="41">
        <f t="shared" si="53"/>
        <v>0</v>
      </c>
      <c r="BM29" s="41">
        <f t="shared" si="53"/>
        <v>0</v>
      </c>
      <c r="BN29" s="41">
        <f t="shared" si="53"/>
        <v>0</v>
      </c>
      <c r="BO29" s="41">
        <f t="shared" si="53"/>
        <v>0</v>
      </c>
      <c r="BP29" s="95">
        <f t="shared" si="53"/>
        <v>0</v>
      </c>
      <c r="BQ29" s="41">
        <f t="shared" si="53"/>
        <v>0</v>
      </c>
      <c r="BR29" s="41">
        <f t="shared" si="53"/>
        <v>0</v>
      </c>
      <c r="BS29" s="41">
        <f t="shared" si="53"/>
        <v>0</v>
      </c>
      <c r="BT29" s="41">
        <f t="shared" si="53"/>
        <v>0</v>
      </c>
      <c r="BU29" s="41">
        <f t="shared" si="53"/>
        <v>0</v>
      </c>
      <c r="BV29" s="41">
        <f t="shared" si="53"/>
        <v>0</v>
      </c>
      <c r="BW29" s="41">
        <f t="shared" si="53"/>
        <v>0</v>
      </c>
      <c r="BX29" s="41">
        <f t="shared" si="53"/>
        <v>0</v>
      </c>
      <c r="BY29" s="41">
        <f t="shared" si="53"/>
        <v>0</v>
      </c>
      <c r="BZ29" s="41">
        <f t="shared" si="53"/>
        <v>0</v>
      </c>
      <c r="CA29" s="42">
        <f t="shared" si="53"/>
        <v>0</v>
      </c>
      <c r="CC29" s="2">
        <f t="shared" si="33"/>
        <v>0</v>
      </c>
      <c r="CD29" s="232" t="e">
        <f t="shared" si="34"/>
        <v>#DIV/0!</v>
      </c>
      <c r="CE29" t="e">
        <f t="shared" si="35"/>
        <v>#DIV/0!</v>
      </c>
      <c r="CF29" s="2"/>
      <c r="CG29" s="2"/>
      <c r="CH29" s="238"/>
    </row>
    <row r="30" spans="1:86" x14ac:dyDescent="0.25">
      <c r="A30" s="127" t="s">
        <v>102</v>
      </c>
      <c r="B30" s="206">
        <f t="shared" si="41"/>
        <v>0</v>
      </c>
      <c r="C30" s="46">
        <f t="shared" si="42"/>
        <v>0</v>
      </c>
      <c r="D30" s="129">
        <f t="shared" si="42"/>
        <v>0</v>
      </c>
      <c r="E30" s="25"/>
      <c r="F30" s="199">
        <f t="shared" si="43"/>
        <v>0</v>
      </c>
      <c r="G30" s="200" t="e">
        <f t="shared" si="44"/>
        <v>#DIV/0!</v>
      </c>
      <c r="H30" s="46" t="e">
        <f t="shared" si="44"/>
        <v>#DIV/0!</v>
      </c>
      <c r="I30" s="45" t="e">
        <f t="shared" ref="I30" si="54">C30/G30</f>
        <v>#DIV/0!</v>
      </c>
      <c r="J30" s="25"/>
      <c r="K30" s="95" t="e">
        <f t="shared" si="52"/>
        <v>#DIV/0!</v>
      </c>
      <c r="L30" s="41" t="e">
        <f t="shared" si="52"/>
        <v>#DIV/0!</v>
      </c>
      <c r="M30" s="247" t="e">
        <f t="shared" si="52"/>
        <v>#DIV/0!</v>
      </c>
      <c r="N30" s="41" t="e">
        <f t="shared" si="52"/>
        <v>#DIV/0!</v>
      </c>
      <c r="O30" s="247" t="e">
        <f t="shared" si="52"/>
        <v>#DIV/0!</v>
      </c>
      <c r="P30" s="42" t="e">
        <f t="shared" si="52"/>
        <v>#DIV/0!</v>
      </c>
      <c r="Q30" s="95" t="e">
        <f t="shared" si="52"/>
        <v>#DIV/0!</v>
      </c>
      <c r="R30" s="41" t="e">
        <f t="shared" si="52"/>
        <v>#DIV/0!</v>
      </c>
      <c r="S30" s="41" t="e">
        <f t="shared" si="52"/>
        <v>#DIV/0!</v>
      </c>
      <c r="T30" s="42" t="e">
        <f t="shared" si="52"/>
        <v>#DIV/0!</v>
      </c>
      <c r="U30" s="95" t="e">
        <f t="shared" si="52"/>
        <v>#DIV/0!</v>
      </c>
      <c r="V30" s="41" t="e">
        <f t="shared" si="52"/>
        <v>#DIV/0!</v>
      </c>
      <c r="W30" s="41" t="e">
        <f t="shared" si="52"/>
        <v>#DIV/0!</v>
      </c>
      <c r="X30" s="41" t="e">
        <f t="shared" si="52"/>
        <v>#DIV/0!</v>
      </c>
      <c r="Y30" s="41" t="e">
        <f t="shared" si="52"/>
        <v>#DIV/0!</v>
      </c>
      <c r="Z30" s="42" t="e">
        <f t="shared" si="52"/>
        <v>#DIV/0!</v>
      </c>
      <c r="AA30" s="95" t="e">
        <f t="shared" si="52"/>
        <v>#DIV/0!</v>
      </c>
      <c r="AB30" s="41" t="e">
        <f t="shared" si="52"/>
        <v>#DIV/0!</v>
      </c>
      <c r="AC30" s="41" t="e">
        <f t="shared" si="52"/>
        <v>#DIV/0!</v>
      </c>
      <c r="AD30" s="41" t="e">
        <f t="shared" si="52"/>
        <v>#DIV/0!</v>
      </c>
      <c r="AE30" s="42" t="e">
        <f t="shared" si="52"/>
        <v>#DIV/0!</v>
      </c>
      <c r="AF30" s="95" t="e">
        <f t="shared" si="52"/>
        <v>#DIV/0!</v>
      </c>
      <c r="AG30" s="41" t="e">
        <f t="shared" si="52"/>
        <v>#DIV/0!</v>
      </c>
      <c r="AH30" s="41" t="e">
        <f t="shared" si="52"/>
        <v>#DIV/0!</v>
      </c>
      <c r="AI30" s="41" t="e">
        <f t="shared" si="52"/>
        <v>#DIV/0!</v>
      </c>
      <c r="AJ30" s="41" t="e">
        <f t="shared" si="52"/>
        <v>#DIV/0!</v>
      </c>
      <c r="AK30" s="41" t="e">
        <f t="shared" si="52"/>
        <v>#DIV/0!</v>
      </c>
      <c r="AL30" s="41" t="e">
        <f t="shared" si="52"/>
        <v>#DIV/0!</v>
      </c>
      <c r="AM30" s="41" t="e">
        <f t="shared" si="52"/>
        <v>#DIV/0!</v>
      </c>
      <c r="AN30" s="41" t="e">
        <f t="shared" si="52"/>
        <v>#DIV/0!</v>
      </c>
      <c r="AO30" s="41" t="e">
        <f t="shared" si="52"/>
        <v>#DIV/0!</v>
      </c>
      <c r="AP30" s="41" t="e">
        <f t="shared" si="52"/>
        <v>#DIV/0!</v>
      </c>
      <c r="AQ30" s="42" t="e">
        <f t="shared" si="52"/>
        <v>#DIV/0!</v>
      </c>
      <c r="AS30" s="95" t="e">
        <f t="shared" si="53"/>
        <v>#DIV/0!</v>
      </c>
      <c r="AT30" s="41" t="e">
        <f t="shared" si="53"/>
        <v>#DIV/0!</v>
      </c>
      <c r="AU30" s="41" t="e">
        <f t="shared" si="53"/>
        <v>#DIV/0!</v>
      </c>
      <c r="AV30" s="41" t="e">
        <f t="shared" si="53"/>
        <v>#DIV/0!</v>
      </c>
      <c r="AW30" s="41" t="e">
        <f t="shared" si="53"/>
        <v>#DIV/0!</v>
      </c>
      <c r="AX30" s="41" t="e">
        <f t="shared" si="53"/>
        <v>#DIV/0!</v>
      </c>
      <c r="AY30" s="41" t="e">
        <f t="shared" si="53"/>
        <v>#DIV/0!</v>
      </c>
      <c r="AZ30" s="42" t="e">
        <f t="shared" si="53"/>
        <v>#DIV/0!</v>
      </c>
      <c r="BA30" s="41">
        <f t="shared" si="53"/>
        <v>0</v>
      </c>
      <c r="BB30" s="41">
        <f t="shared" si="53"/>
        <v>0</v>
      </c>
      <c r="BC30" s="41">
        <f t="shared" si="53"/>
        <v>0</v>
      </c>
      <c r="BD30" s="41">
        <f t="shared" si="53"/>
        <v>0</v>
      </c>
      <c r="BE30" s="95">
        <f t="shared" si="53"/>
        <v>0</v>
      </c>
      <c r="BF30" s="41">
        <f t="shared" si="53"/>
        <v>0</v>
      </c>
      <c r="BG30" s="41">
        <f t="shared" si="53"/>
        <v>0</v>
      </c>
      <c r="BH30" s="41">
        <f t="shared" si="53"/>
        <v>0</v>
      </c>
      <c r="BI30" s="41">
        <f t="shared" si="53"/>
        <v>0</v>
      </c>
      <c r="BJ30" s="42">
        <f t="shared" si="53"/>
        <v>0</v>
      </c>
      <c r="BK30" s="41">
        <f t="shared" si="53"/>
        <v>0</v>
      </c>
      <c r="BL30" s="41">
        <f t="shared" si="53"/>
        <v>0</v>
      </c>
      <c r="BM30" s="41">
        <f t="shared" si="53"/>
        <v>0</v>
      </c>
      <c r="BN30" s="41">
        <f t="shared" si="53"/>
        <v>0</v>
      </c>
      <c r="BO30" s="41">
        <f t="shared" si="53"/>
        <v>0</v>
      </c>
      <c r="BP30" s="95">
        <f t="shared" si="53"/>
        <v>0</v>
      </c>
      <c r="BQ30" s="41">
        <f t="shared" si="53"/>
        <v>0</v>
      </c>
      <c r="BR30" s="41">
        <f t="shared" si="53"/>
        <v>0</v>
      </c>
      <c r="BS30" s="41">
        <f t="shared" si="53"/>
        <v>0</v>
      </c>
      <c r="BT30" s="41">
        <f t="shared" si="53"/>
        <v>0</v>
      </c>
      <c r="BU30" s="41">
        <f t="shared" si="53"/>
        <v>0</v>
      </c>
      <c r="BV30" s="41">
        <f t="shared" si="53"/>
        <v>0</v>
      </c>
      <c r="BW30" s="41">
        <f t="shared" si="53"/>
        <v>0</v>
      </c>
      <c r="BX30" s="41">
        <f t="shared" si="53"/>
        <v>0</v>
      </c>
      <c r="BY30" s="41">
        <f t="shared" si="53"/>
        <v>0</v>
      </c>
      <c r="BZ30" s="41">
        <f t="shared" si="53"/>
        <v>0</v>
      </c>
      <c r="CA30" s="42">
        <f t="shared" si="53"/>
        <v>0</v>
      </c>
      <c r="CC30" s="2" t="e">
        <f t="shared" ref="CC30" si="55">SUM(AS30:AZ30)</f>
        <v>#DIV/0!</v>
      </c>
      <c r="CD30" s="232" t="e">
        <f t="shared" ref="CD30" si="56">D30/CC30</f>
        <v>#DIV/0!</v>
      </c>
      <c r="CE30" t="e">
        <f t="shared" ref="CE30" si="57">CC30/B30</f>
        <v>#DIV/0!</v>
      </c>
    </row>
    <row r="31" spans="1:86" ht="16.5" thickBot="1" x14ac:dyDescent="0.3">
      <c r="A31" s="192" t="s">
        <v>104</v>
      </c>
      <c r="B31" s="207">
        <f t="shared" si="41"/>
        <v>0</v>
      </c>
      <c r="C31" s="75">
        <f t="shared" si="42"/>
        <v>0</v>
      </c>
      <c r="D31" s="131">
        <f t="shared" si="42"/>
        <v>0</v>
      </c>
      <c r="E31" s="25"/>
      <c r="F31" s="201">
        <f t="shared" si="43"/>
        <v>0</v>
      </c>
      <c r="G31" s="202" t="e">
        <f t="shared" si="44"/>
        <v>#DIV/0!</v>
      </c>
      <c r="H31" s="75" t="e">
        <f t="shared" si="44"/>
        <v>#DIV/0!</v>
      </c>
      <c r="I31" s="250" t="e">
        <f t="shared" ref="I31" si="58">C31/G31</f>
        <v>#DIV/0!</v>
      </c>
      <c r="J31" s="25"/>
      <c r="K31" s="96" t="e">
        <f t="shared" si="52"/>
        <v>#DIV/0!</v>
      </c>
      <c r="L31" s="76" t="e">
        <f t="shared" si="52"/>
        <v>#DIV/0!</v>
      </c>
      <c r="M31" s="248" t="e">
        <f t="shared" si="52"/>
        <v>#DIV/0!</v>
      </c>
      <c r="N31" s="76" t="e">
        <f t="shared" si="52"/>
        <v>#DIV/0!</v>
      </c>
      <c r="O31" s="248" t="e">
        <f t="shared" si="52"/>
        <v>#DIV/0!</v>
      </c>
      <c r="P31" s="77" t="e">
        <f t="shared" si="52"/>
        <v>#DIV/0!</v>
      </c>
      <c r="Q31" s="96" t="e">
        <f t="shared" si="52"/>
        <v>#DIV/0!</v>
      </c>
      <c r="R31" s="76" t="e">
        <f t="shared" si="52"/>
        <v>#DIV/0!</v>
      </c>
      <c r="S31" s="76" t="e">
        <f t="shared" si="52"/>
        <v>#DIV/0!</v>
      </c>
      <c r="T31" s="77" t="e">
        <f t="shared" si="52"/>
        <v>#DIV/0!</v>
      </c>
      <c r="U31" s="96" t="e">
        <f t="shared" si="52"/>
        <v>#DIV/0!</v>
      </c>
      <c r="V31" s="76" t="e">
        <f t="shared" si="52"/>
        <v>#DIV/0!</v>
      </c>
      <c r="W31" s="76" t="e">
        <f t="shared" si="52"/>
        <v>#DIV/0!</v>
      </c>
      <c r="X31" s="76" t="e">
        <f t="shared" si="52"/>
        <v>#DIV/0!</v>
      </c>
      <c r="Y31" s="76" t="e">
        <f t="shared" si="52"/>
        <v>#DIV/0!</v>
      </c>
      <c r="Z31" s="77" t="e">
        <f t="shared" si="52"/>
        <v>#DIV/0!</v>
      </c>
      <c r="AA31" s="96" t="e">
        <f t="shared" si="52"/>
        <v>#DIV/0!</v>
      </c>
      <c r="AB31" s="76" t="e">
        <f t="shared" si="52"/>
        <v>#DIV/0!</v>
      </c>
      <c r="AC31" s="76" t="e">
        <f t="shared" si="52"/>
        <v>#DIV/0!</v>
      </c>
      <c r="AD31" s="76" t="e">
        <f t="shared" si="52"/>
        <v>#DIV/0!</v>
      </c>
      <c r="AE31" s="77" t="e">
        <f t="shared" si="52"/>
        <v>#DIV/0!</v>
      </c>
      <c r="AF31" s="96" t="e">
        <f t="shared" si="52"/>
        <v>#DIV/0!</v>
      </c>
      <c r="AG31" s="76" t="e">
        <f t="shared" si="52"/>
        <v>#DIV/0!</v>
      </c>
      <c r="AH31" s="76" t="e">
        <f t="shared" si="52"/>
        <v>#DIV/0!</v>
      </c>
      <c r="AI31" s="76" t="e">
        <f t="shared" si="52"/>
        <v>#DIV/0!</v>
      </c>
      <c r="AJ31" s="76" t="e">
        <f t="shared" si="52"/>
        <v>#DIV/0!</v>
      </c>
      <c r="AK31" s="76" t="e">
        <f t="shared" si="52"/>
        <v>#DIV/0!</v>
      </c>
      <c r="AL31" s="76" t="e">
        <f t="shared" si="52"/>
        <v>#DIV/0!</v>
      </c>
      <c r="AM31" s="76" t="e">
        <f t="shared" si="52"/>
        <v>#DIV/0!</v>
      </c>
      <c r="AN31" s="76" t="e">
        <f t="shared" si="52"/>
        <v>#DIV/0!</v>
      </c>
      <c r="AO31" s="76" t="e">
        <f t="shared" si="52"/>
        <v>#DIV/0!</v>
      </c>
      <c r="AP31" s="76" t="e">
        <f t="shared" si="52"/>
        <v>#DIV/0!</v>
      </c>
      <c r="AQ31" s="77" t="e">
        <f t="shared" si="52"/>
        <v>#DIV/0!</v>
      </c>
      <c r="AS31" s="96">
        <f t="shared" si="53"/>
        <v>0</v>
      </c>
      <c r="AT31" s="76">
        <f t="shared" si="53"/>
        <v>0</v>
      </c>
      <c r="AU31" s="76">
        <f t="shared" si="53"/>
        <v>0</v>
      </c>
      <c r="AV31" s="76">
        <f t="shared" si="53"/>
        <v>0</v>
      </c>
      <c r="AW31" s="76">
        <f t="shared" si="53"/>
        <v>0</v>
      </c>
      <c r="AX31" s="76">
        <f t="shared" si="53"/>
        <v>0</v>
      </c>
      <c r="AY31" s="76">
        <f t="shared" si="53"/>
        <v>0</v>
      </c>
      <c r="AZ31" s="77">
        <f t="shared" si="53"/>
        <v>0</v>
      </c>
      <c r="BA31" s="76">
        <f t="shared" si="53"/>
        <v>0</v>
      </c>
      <c r="BB31" s="76">
        <f t="shared" si="53"/>
        <v>0</v>
      </c>
      <c r="BC31" s="76">
        <f t="shared" si="53"/>
        <v>0</v>
      </c>
      <c r="BD31" s="76">
        <f t="shared" si="53"/>
        <v>0</v>
      </c>
      <c r="BE31" s="96">
        <f t="shared" si="53"/>
        <v>0</v>
      </c>
      <c r="BF31" s="76">
        <f t="shared" si="53"/>
        <v>0</v>
      </c>
      <c r="BG31" s="76">
        <f t="shared" si="53"/>
        <v>0</v>
      </c>
      <c r="BH31" s="76">
        <f t="shared" si="53"/>
        <v>0</v>
      </c>
      <c r="BI31" s="76">
        <f t="shared" si="53"/>
        <v>0</v>
      </c>
      <c r="BJ31" s="77">
        <f t="shared" si="53"/>
        <v>0</v>
      </c>
      <c r="BK31" s="76">
        <f t="shared" si="53"/>
        <v>0</v>
      </c>
      <c r="BL31" s="76">
        <f t="shared" si="53"/>
        <v>0</v>
      </c>
      <c r="BM31" s="76">
        <f t="shared" si="53"/>
        <v>0</v>
      </c>
      <c r="BN31" s="76">
        <f t="shared" si="53"/>
        <v>0</v>
      </c>
      <c r="BO31" s="76">
        <f t="shared" si="53"/>
        <v>0</v>
      </c>
      <c r="BP31" s="96">
        <f t="shared" si="53"/>
        <v>0</v>
      </c>
      <c r="BQ31" s="76">
        <f t="shared" si="53"/>
        <v>0</v>
      </c>
      <c r="BR31" s="76">
        <f t="shared" si="53"/>
        <v>0</v>
      </c>
      <c r="BS31" s="76">
        <f t="shared" si="53"/>
        <v>0</v>
      </c>
      <c r="BT31" s="76">
        <f t="shared" si="53"/>
        <v>0</v>
      </c>
      <c r="BU31" s="76">
        <f t="shared" si="53"/>
        <v>0</v>
      </c>
      <c r="BV31" s="76">
        <f t="shared" si="53"/>
        <v>0</v>
      </c>
      <c r="BW31" s="76">
        <f t="shared" si="53"/>
        <v>0</v>
      </c>
      <c r="BX31" s="76">
        <f t="shared" si="53"/>
        <v>0</v>
      </c>
      <c r="BY31" s="76">
        <f t="shared" si="53"/>
        <v>0</v>
      </c>
      <c r="BZ31" s="76">
        <f t="shared" si="53"/>
        <v>0</v>
      </c>
      <c r="CA31" s="77">
        <f t="shared" si="53"/>
        <v>0</v>
      </c>
      <c r="CC31" s="2">
        <f t="shared" ref="CC31" si="59">SUM(AS31:AZ31)</f>
        <v>0</v>
      </c>
      <c r="CD31" s="232" t="e">
        <f t="shared" ref="CD31" si="60">D31/CC31</f>
        <v>#DIV/0!</v>
      </c>
      <c r="CE31" t="e">
        <f t="shared" ref="CE31" si="61">CC31/B31</f>
        <v>#DIV/0!</v>
      </c>
    </row>
    <row r="32" spans="1:86" ht="17.25" thickTop="1" thickBot="1" x14ac:dyDescent="0.3">
      <c r="A32" s="244" t="s">
        <v>103</v>
      </c>
      <c r="B32" s="218">
        <f>SUM(B10:B31)</f>
        <v>260</v>
      </c>
      <c r="C32" s="251">
        <f>SUM(C10:C31)</f>
        <v>832</v>
      </c>
      <c r="D32" s="245">
        <f>SUM(D10:D31)</f>
        <v>2933.66</v>
      </c>
      <c r="E32" s="1"/>
      <c r="F32" s="217">
        <f>SUM(F10:F31)</f>
        <v>866.65858555555553</v>
      </c>
      <c r="G32" s="251" t="e">
        <f>SUM(G10:G31)</f>
        <v>#DIV/0!</v>
      </c>
      <c r="H32" s="251" t="e">
        <f>SUM(H10:H31)</f>
        <v>#DIV/0!</v>
      </c>
      <c r="I32" s="246" t="e">
        <f>C32/G32</f>
        <v>#DIV/0!</v>
      </c>
      <c r="K32" s="217" t="e">
        <f t="shared" ref="K32:BT32" si="62">SUM(K10:K31)</f>
        <v>#DIV/0!</v>
      </c>
      <c r="L32" s="218" t="e">
        <f t="shared" si="62"/>
        <v>#DIV/0!</v>
      </c>
      <c r="M32" s="249" t="e">
        <f t="shared" si="62"/>
        <v>#DIV/0!</v>
      </c>
      <c r="N32" s="218" t="e">
        <f t="shared" si="62"/>
        <v>#DIV/0!</v>
      </c>
      <c r="O32" s="249" t="e">
        <f t="shared" si="62"/>
        <v>#DIV/0!</v>
      </c>
      <c r="P32" s="219" t="e">
        <f t="shared" si="62"/>
        <v>#DIV/0!</v>
      </c>
      <c r="Q32" s="217" t="e">
        <f t="shared" si="62"/>
        <v>#DIV/0!</v>
      </c>
      <c r="R32" s="218" t="e">
        <f t="shared" si="62"/>
        <v>#DIV/0!</v>
      </c>
      <c r="S32" s="218" t="e">
        <f t="shared" si="62"/>
        <v>#DIV/0!</v>
      </c>
      <c r="T32" s="219" t="e">
        <f t="shared" si="62"/>
        <v>#DIV/0!</v>
      </c>
      <c r="U32" s="217" t="e">
        <f t="shared" si="62"/>
        <v>#DIV/0!</v>
      </c>
      <c r="V32" s="218" t="e">
        <f t="shared" si="62"/>
        <v>#DIV/0!</v>
      </c>
      <c r="W32" s="218" t="e">
        <f t="shared" si="62"/>
        <v>#DIV/0!</v>
      </c>
      <c r="X32" s="218" t="e">
        <f t="shared" si="62"/>
        <v>#DIV/0!</v>
      </c>
      <c r="Y32" s="218" t="e">
        <f t="shared" si="62"/>
        <v>#DIV/0!</v>
      </c>
      <c r="Z32" s="219" t="e">
        <f t="shared" si="62"/>
        <v>#DIV/0!</v>
      </c>
      <c r="AA32" s="217" t="e">
        <f t="shared" si="62"/>
        <v>#DIV/0!</v>
      </c>
      <c r="AB32" s="218" t="e">
        <f t="shared" si="62"/>
        <v>#DIV/0!</v>
      </c>
      <c r="AC32" s="218" t="e">
        <f t="shared" si="62"/>
        <v>#DIV/0!</v>
      </c>
      <c r="AD32" s="218" t="e">
        <f t="shared" si="62"/>
        <v>#DIV/0!</v>
      </c>
      <c r="AE32" s="219" t="e">
        <f t="shared" si="62"/>
        <v>#DIV/0!</v>
      </c>
      <c r="AF32" s="217" t="e">
        <f t="shared" si="62"/>
        <v>#DIV/0!</v>
      </c>
      <c r="AG32" s="218" t="e">
        <f t="shared" si="62"/>
        <v>#DIV/0!</v>
      </c>
      <c r="AH32" s="218" t="e">
        <f t="shared" si="62"/>
        <v>#DIV/0!</v>
      </c>
      <c r="AI32" s="218" t="e">
        <f t="shared" si="62"/>
        <v>#DIV/0!</v>
      </c>
      <c r="AJ32" s="218" t="e">
        <f t="shared" si="62"/>
        <v>#DIV/0!</v>
      </c>
      <c r="AK32" s="218" t="e">
        <f t="shared" si="62"/>
        <v>#DIV/0!</v>
      </c>
      <c r="AL32" s="218" t="e">
        <f t="shared" si="62"/>
        <v>#DIV/0!</v>
      </c>
      <c r="AM32" s="218" t="e">
        <f t="shared" si="62"/>
        <v>#DIV/0!</v>
      </c>
      <c r="AN32" s="218" t="e">
        <f t="shared" si="62"/>
        <v>#DIV/0!</v>
      </c>
      <c r="AO32" s="218" t="e">
        <f t="shared" si="62"/>
        <v>#DIV/0!</v>
      </c>
      <c r="AP32" s="218" t="e">
        <f t="shared" si="62"/>
        <v>#DIV/0!</v>
      </c>
      <c r="AQ32" s="219" t="e">
        <f t="shared" si="62"/>
        <v>#DIV/0!</v>
      </c>
      <c r="AR32" s="237"/>
      <c r="AS32" s="217" t="e">
        <f t="shared" si="62"/>
        <v>#DIV/0!</v>
      </c>
      <c r="AT32" s="218" t="e">
        <f t="shared" si="62"/>
        <v>#DIV/0!</v>
      </c>
      <c r="AU32" s="218" t="e">
        <f t="shared" si="62"/>
        <v>#DIV/0!</v>
      </c>
      <c r="AV32" s="218" t="e">
        <f t="shared" si="62"/>
        <v>#DIV/0!</v>
      </c>
      <c r="AW32" s="218" t="e">
        <f t="shared" si="62"/>
        <v>#DIV/0!</v>
      </c>
      <c r="AX32" s="218" t="e">
        <f t="shared" si="62"/>
        <v>#DIV/0!</v>
      </c>
      <c r="AY32" s="218" t="e">
        <f t="shared" si="62"/>
        <v>#DIV/0!</v>
      </c>
      <c r="AZ32" s="219" t="e">
        <f t="shared" si="62"/>
        <v>#DIV/0!</v>
      </c>
      <c r="BA32" s="218">
        <f t="shared" si="62"/>
        <v>2</v>
      </c>
      <c r="BB32" s="218">
        <f t="shared" si="62"/>
        <v>0</v>
      </c>
      <c r="BC32" s="218">
        <f t="shared" si="62"/>
        <v>0</v>
      </c>
      <c r="BD32" s="218">
        <f t="shared" si="62"/>
        <v>1.998396551724138</v>
      </c>
      <c r="BE32" s="217">
        <f t="shared" si="62"/>
        <v>2</v>
      </c>
      <c r="BF32" s="218">
        <f t="shared" si="62"/>
        <v>4</v>
      </c>
      <c r="BG32" s="218">
        <f t="shared" si="62"/>
        <v>2.998396551724138</v>
      </c>
      <c r="BH32" s="218">
        <f t="shared" si="62"/>
        <v>2</v>
      </c>
      <c r="BI32" s="218">
        <f t="shared" si="62"/>
        <v>0</v>
      </c>
      <c r="BJ32" s="219">
        <f t="shared" si="62"/>
        <v>1.998396551724138</v>
      </c>
      <c r="BK32" s="218">
        <f t="shared" si="62"/>
        <v>0</v>
      </c>
      <c r="BL32" s="218">
        <f t="shared" si="62"/>
        <v>0</v>
      </c>
      <c r="BM32" s="218">
        <f t="shared" si="62"/>
        <v>0</v>
      </c>
      <c r="BN32" s="218">
        <f t="shared" si="62"/>
        <v>0</v>
      </c>
      <c r="BO32" s="218">
        <f t="shared" si="62"/>
        <v>0</v>
      </c>
      <c r="BP32" s="217">
        <f t="shared" si="62"/>
        <v>0</v>
      </c>
      <c r="BQ32" s="218">
        <f t="shared" si="62"/>
        <v>0</v>
      </c>
      <c r="BR32" s="218">
        <f t="shared" si="62"/>
        <v>0</v>
      </c>
      <c r="BS32" s="218">
        <f t="shared" si="62"/>
        <v>0</v>
      </c>
      <c r="BT32" s="218">
        <f t="shared" si="62"/>
        <v>7</v>
      </c>
      <c r="BU32" s="218">
        <f t="shared" ref="BU32:CA32" si="63">SUM(BU10:BU31)</f>
        <v>8.998396551724138</v>
      </c>
      <c r="BV32" s="218">
        <f t="shared" si="63"/>
        <v>0</v>
      </c>
      <c r="BW32" s="218">
        <f t="shared" si="63"/>
        <v>0</v>
      </c>
      <c r="BX32" s="218">
        <f t="shared" si="63"/>
        <v>0</v>
      </c>
      <c r="BY32" s="218">
        <f t="shared" si="63"/>
        <v>0</v>
      </c>
      <c r="BZ32" s="218">
        <f t="shared" si="63"/>
        <v>0</v>
      </c>
      <c r="CA32" s="219">
        <f t="shared" si="63"/>
        <v>14</v>
      </c>
    </row>
    <row r="33" spans="1:83" ht="16.5" thickBot="1" x14ac:dyDescent="0.3">
      <c r="A33" s="127" t="s">
        <v>95</v>
      </c>
      <c r="I33" s="2"/>
      <c r="K33" s="430" t="e">
        <f>K32+L32</f>
        <v>#DIV/0!</v>
      </c>
      <c r="L33" s="431"/>
      <c r="M33" s="430" t="e">
        <f>SUM(M32:P32)</f>
        <v>#DIV/0!</v>
      </c>
      <c r="N33" s="431"/>
      <c r="O33" s="431"/>
      <c r="P33" s="432"/>
      <c r="R33" s="34" t="e">
        <f>K33/(M33+K33)</f>
        <v>#DIV/0!</v>
      </c>
    </row>
    <row r="34" spans="1:83" ht="16.5" thickBot="1" x14ac:dyDescent="0.3">
      <c r="F34" s="231"/>
      <c r="G34" s="231"/>
    </row>
    <row r="35" spans="1:83" ht="16.5" thickBot="1" x14ac:dyDescent="0.3">
      <c r="D35" s="13"/>
      <c r="E35" s="13"/>
      <c r="F35" s="13"/>
      <c r="G35" s="13"/>
      <c r="H35" s="13"/>
      <c r="I35" s="13"/>
      <c r="J35" s="13"/>
      <c r="K35" s="407" t="s">
        <v>12</v>
      </c>
      <c r="L35" s="408"/>
      <c r="M35" s="408"/>
      <c r="N35" s="408"/>
      <c r="O35" s="408"/>
      <c r="P35" s="409"/>
      <c r="Q35" s="393" t="s">
        <v>65</v>
      </c>
      <c r="R35" s="394"/>
      <c r="S35" s="394"/>
      <c r="T35" s="395"/>
      <c r="U35" s="433" t="s">
        <v>66</v>
      </c>
      <c r="V35" s="433"/>
      <c r="W35" s="433"/>
      <c r="X35" s="433"/>
      <c r="Y35" s="433"/>
      <c r="Z35" s="433"/>
      <c r="AA35" s="384" t="s">
        <v>59</v>
      </c>
      <c r="AB35" s="385"/>
      <c r="AC35" s="386"/>
      <c r="AD35" s="386"/>
      <c r="AE35" s="387"/>
      <c r="AF35" s="38"/>
      <c r="AG35" s="92"/>
      <c r="AH35" s="92"/>
      <c r="AI35" s="92"/>
      <c r="AJ35" s="92"/>
      <c r="AK35" s="92"/>
      <c r="AL35" s="92"/>
      <c r="AM35" s="92"/>
      <c r="AN35" s="92"/>
      <c r="AO35" s="92"/>
      <c r="AP35" s="93"/>
      <c r="AQ35" s="105"/>
      <c r="AS35" s="407" t="s">
        <v>12</v>
      </c>
      <c r="AT35" s="408"/>
      <c r="AU35" s="408"/>
      <c r="AV35" s="408"/>
      <c r="AW35" s="408"/>
      <c r="AX35" s="408"/>
      <c r="AY35" s="408"/>
      <c r="AZ35" s="409"/>
      <c r="BA35" s="394" t="s">
        <v>65</v>
      </c>
      <c r="BB35" s="394"/>
      <c r="BC35" s="394"/>
      <c r="BD35" s="394"/>
      <c r="BE35" s="381" t="s">
        <v>66</v>
      </c>
      <c r="BF35" s="382"/>
      <c r="BG35" s="382"/>
      <c r="BH35" s="382"/>
      <c r="BI35" s="382"/>
      <c r="BJ35" s="383"/>
      <c r="BK35" s="442" t="s">
        <v>59</v>
      </c>
      <c r="BL35" s="385"/>
      <c r="BM35" s="386"/>
      <c r="BN35" s="386"/>
      <c r="BO35" s="386"/>
      <c r="BP35" s="38"/>
      <c r="BQ35" s="92"/>
      <c r="BR35" s="92"/>
      <c r="BS35" s="92"/>
      <c r="BT35" s="92"/>
      <c r="BU35" s="92"/>
      <c r="BV35" s="92"/>
      <c r="BW35" s="92"/>
      <c r="BX35" s="92"/>
      <c r="BY35" s="92"/>
      <c r="BZ35" s="93"/>
      <c r="CA35" s="105"/>
    </row>
    <row r="36" spans="1:83" ht="19.5" thickBot="1" x14ac:dyDescent="0.35">
      <c r="A36" s="307" t="s">
        <v>75</v>
      </c>
      <c r="B36" s="252"/>
      <c r="E36" s="13"/>
      <c r="F36" s="13"/>
      <c r="G36" s="13"/>
      <c r="H36" s="13"/>
      <c r="I36" s="13"/>
      <c r="J36" s="13"/>
      <c r="K36" s="410" t="s">
        <v>51</v>
      </c>
      <c r="L36" s="411"/>
      <c r="M36" s="411" t="s">
        <v>68</v>
      </c>
      <c r="N36" s="411"/>
      <c r="O36" s="411"/>
      <c r="P36" s="412"/>
      <c r="Q36" s="32"/>
      <c r="R36" s="21"/>
      <c r="S36" s="21"/>
      <c r="T36" s="33"/>
      <c r="U36" s="435" t="s">
        <v>51</v>
      </c>
      <c r="V36" s="436"/>
      <c r="W36" s="436"/>
      <c r="X36" s="436"/>
      <c r="Y36" s="437" t="s">
        <v>70</v>
      </c>
      <c r="Z36" s="438"/>
      <c r="AA36" s="113"/>
      <c r="AB36" s="114"/>
      <c r="AC36" s="115"/>
      <c r="AD36" s="116"/>
      <c r="AE36" s="117"/>
      <c r="AF36" s="37"/>
      <c r="AP36" s="13"/>
      <c r="AQ36" s="52"/>
      <c r="AS36" s="410" t="s">
        <v>51</v>
      </c>
      <c r="AT36" s="411"/>
      <c r="AU36" s="411"/>
      <c r="AV36" s="411"/>
      <c r="AW36" s="411" t="s">
        <v>68</v>
      </c>
      <c r="AX36" s="411"/>
      <c r="AY36" s="411"/>
      <c r="AZ36" s="412"/>
      <c r="BA36" s="21"/>
      <c r="BB36" s="21"/>
      <c r="BC36" s="21"/>
      <c r="BD36" s="21"/>
      <c r="BE36" s="402" t="s">
        <v>51</v>
      </c>
      <c r="BF36" s="403"/>
      <c r="BG36" s="403"/>
      <c r="BH36" s="403"/>
      <c r="BI36" s="398" t="s">
        <v>70</v>
      </c>
      <c r="BJ36" s="399"/>
      <c r="BK36" s="194"/>
      <c r="BL36" s="114"/>
      <c r="BM36" s="115"/>
      <c r="BN36" s="116"/>
      <c r="BO36" s="116"/>
      <c r="BP36" s="37"/>
      <c r="BZ36" s="13"/>
      <c r="CA36" s="52"/>
      <c r="CD36" t="s">
        <v>92</v>
      </c>
    </row>
    <row r="37" spans="1:83" x14ac:dyDescent="0.25">
      <c r="A37" s="190"/>
      <c r="B37" s="424" t="s">
        <v>50</v>
      </c>
      <c r="C37" s="425"/>
      <c r="D37" s="426"/>
      <c r="E37" s="13"/>
      <c r="F37" s="427" t="s">
        <v>34</v>
      </c>
      <c r="G37" s="425"/>
      <c r="H37" s="428"/>
      <c r="I37" s="119" t="s">
        <v>77</v>
      </c>
      <c r="J37" s="13"/>
      <c r="K37" s="402" t="s">
        <v>67</v>
      </c>
      <c r="L37" s="401"/>
      <c r="M37" s="400" t="s">
        <v>67</v>
      </c>
      <c r="N37" s="401"/>
      <c r="O37" s="400" t="s">
        <v>9</v>
      </c>
      <c r="P37" s="413"/>
      <c r="Q37" s="396" t="s">
        <v>51</v>
      </c>
      <c r="R37" s="397"/>
      <c r="S37" s="398" t="s">
        <v>70</v>
      </c>
      <c r="T37" s="399"/>
      <c r="U37" s="402" t="s">
        <v>7</v>
      </c>
      <c r="V37" s="401"/>
      <c r="W37" s="400" t="s">
        <v>8</v>
      </c>
      <c r="X37" s="401"/>
      <c r="Y37" s="21"/>
      <c r="Z37" s="33"/>
      <c r="AA37" s="88"/>
      <c r="AB37" s="391" t="s">
        <v>37</v>
      </c>
      <c r="AC37" s="392"/>
      <c r="AD37" s="81"/>
      <c r="AE37" s="89"/>
      <c r="AF37" s="404" t="s">
        <v>40</v>
      </c>
      <c r="AG37" s="389"/>
      <c r="AH37" s="388" t="s">
        <v>89</v>
      </c>
      <c r="AI37" s="389"/>
      <c r="AJ37" s="388" t="s">
        <v>39</v>
      </c>
      <c r="AK37" s="389"/>
      <c r="AL37" s="388" t="s">
        <v>48</v>
      </c>
      <c r="AM37" s="389"/>
      <c r="AN37" s="388" t="s">
        <v>60</v>
      </c>
      <c r="AO37" s="389"/>
      <c r="AP37" s="388" t="s">
        <v>61</v>
      </c>
      <c r="AQ37" s="390"/>
      <c r="AS37" s="402" t="s">
        <v>67</v>
      </c>
      <c r="AT37" s="401"/>
      <c r="AU37" s="400" t="s">
        <v>28</v>
      </c>
      <c r="AV37" s="401"/>
      <c r="AW37" s="400" t="s">
        <v>67</v>
      </c>
      <c r="AX37" s="401"/>
      <c r="AY37" s="400" t="s">
        <v>9</v>
      </c>
      <c r="AZ37" s="413"/>
      <c r="BA37" s="397" t="s">
        <v>51</v>
      </c>
      <c r="BB37" s="397"/>
      <c r="BC37" s="398" t="s">
        <v>70</v>
      </c>
      <c r="BD37" s="397"/>
      <c r="BE37" s="402" t="s">
        <v>7</v>
      </c>
      <c r="BF37" s="401"/>
      <c r="BG37" s="400" t="s">
        <v>8</v>
      </c>
      <c r="BH37" s="401"/>
      <c r="BI37" s="21"/>
      <c r="BJ37" s="33"/>
      <c r="BK37" s="55"/>
      <c r="BL37" s="391" t="s">
        <v>37</v>
      </c>
      <c r="BM37" s="392"/>
      <c r="BN37" s="81"/>
      <c r="BO37" s="110"/>
      <c r="BP37" s="404" t="s">
        <v>40</v>
      </c>
      <c r="BQ37" s="389"/>
      <c r="BR37" s="388" t="s">
        <v>89</v>
      </c>
      <c r="BS37" s="389"/>
      <c r="BT37" s="388" t="s">
        <v>39</v>
      </c>
      <c r="BU37" s="389"/>
      <c r="BV37" s="388" t="s">
        <v>45</v>
      </c>
      <c r="BW37" s="389"/>
      <c r="BX37" s="388" t="s">
        <v>60</v>
      </c>
      <c r="BY37" s="389"/>
      <c r="BZ37" s="388" t="s">
        <v>61</v>
      </c>
      <c r="CA37" s="390"/>
    </row>
    <row r="38" spans="1:83" x14ac:dyDescent="0.25">
      <c r="A38" s="125" t="s">
        <v>18</v>
      </c>
      <c r="B38" s="19" t="s">
        <v>23</v>
      </c>
      <c r="C38" s="19" t="s">
        <v>30</v>
      </c>
      <c r="D38" s="124" t="s">
        <v>32</v>
      </c>
      <c r="E38" s="24"/>
      <c r="F38" s="97" t="s">
        <v>47</v>
      </c>
      <c r="G38" s="189" t="s">
        <v>30</v>
      </c>
      <c r="H38" s="196" t="s">
        <v>32</v>
      </c>
      <c r="I38" s="120" t="s">
        <v>50</v>
      </c>
      <c r="J38" s="24"/>
      <c r="K38" s="30" t="s">
        <v>94</v>
      </c>
      <c r="L38" s="23" t="s">
        <v>93</v>
      </c>
      <c r="M38" s="23" t="s">
        <v>94</v>
      </c>
      <c r="N38" s="23" t="s">
        <v>93</v>
      </c>
      <c r="O38" s="23" t="s">
        <v>94</v>
      </c>
      <c r="P38" s="84" t="s">
        <v>93</v>
      </c>
      <c r="Q38" s="30" t="s">
        <v>69</v>
      </c>
      <c r="R38" s="23" t="s">
        <v>67</v>
      </c>
      <c r="S38" s="23" t="s">
        <v>69</v>
      </c>
      <c r="T38" s="31" t="s">
        <v>67</v>
      </c>
      <c r="U38" s="30" t="s">
        <v>69</v>
      </c>
      <c r="V38" s="23" t="s">
        <v>67</v>
      </c>
      <c r="W38" s="23" t="s">
        <v>69</v>
      </c>
      <c r="X38" s="23" t="s">
        <v>67</v>
      </c>
      <c r="Y38" s="23" t="s">
        <v>7</v>
      </c>
      <c r="Z38" s="31" t="s">
        <v>8</v>
      </c>
      <c r="AA38" s="90" t="s">
        <v>49</v>
      </c>
      <c r="AB38" s="83" t="s">
        <v>11</v>
      </c>
      <c r="AC38" s="26" t="s">
        <v>10</v>
      </c>
      <c r="AD38" s="82" t="s">
        <v>38</v>
      </c>
      <c r="AE38" s="91" t="s">
        <v>62</v>
      </c>
      <c r="AF38" s="106" t="s">
        <v>10</v>
      </c>
      <c r="AG38" s="26" t="s">
        <v>11</v>
      </c>
      <c r="AH38" s="3" t="s">
        <v>10</v>
      </c>
      <c r="AI38" s="3" t="s">
        <v>11</v>
      </c>
      <c r="AJ38" s="4" t="s">
        <v>10</v>
      </c>
      <c r="AK38" s="3" t="s">
        <v>11</v>
      </c>
      <c r="AL38" s="3" t="s">
        <v>10</v>
      </c>
      <c r="AM38" s="26" t="s">
        <v>11</v>
      </c>
      <c r="AN38" s="3" t="s">
        <v>10</v>
      </c>
      <c r="AO38" s="3" t="s">
        <v>11</v>
      </c>
      <c r="AP38" s="23" t="s">
        <v>10</v>
      </c>
      <c r="AQ38" s="31" t="s">
        <v>11</v>
      </c>
      <c r="AS38" s="30" t="s">
        <v>63</v>
      </c>
      <c r="AT38" s="23" t="s">
        <v>64</v>
      </c>
      <c r="AU38" s="23" t="s">
        <v>63</v>
      </c>
      <c r="AV38" s="23" t="s">
        <v>64</v>
      </c>
      <c r="AW38" s="23" t="s">
        <v>63</v>
      </c>
      <c r="AX38" s="23" t="s">
        <v>64</v>
      </c>
      <c r="AY38" s="23" t="s">
        <v>63</v>
      </c>
      <c r="AZ38" s="31" t="s">
        <v>64</v>
      </c>
      <c r="BA38" s="84" t="s">
        <v>69</v>
      </c>
      <c r="BB38" s="23" t="s">
        <v>67</v>
      </c>
      <c r="BC38" s="23" t="s">
        <v>69</v>
      </c>
      <c r="BD38" s="29" t="s">
        <v>67</v>
      </c>
      <c r="BE38" s="30" t="s">
        <v>69</v>
      </c>
      <c r="BF38" s="23" t="s">
        <v>67</v>
      </c>
      <c r="BG38" s="23" t="s">
        <v>69</v>
      </c>
      <c r="BH38" s="23" t="s">
        <v>67</v>
      </c>
      <c r="BI38" s="23" t="s">
        <v>7</v>
      </c>
      <c r="BJ38" s="31" t="s">
        <v>8</v>
      </c>
      <c r="BK38" s="195" t="s">
        <v>49</v>
      </c>
      <c r="BL38" s="83" t="s">
        <v>11</v>
      </c>
      <c r="BM38" s="26" t="s">
        <v>10</v>
      </c>
      <c r="BN38" s="82" t="s">
        <v>38</v>
      </c>
      <c r="BO38" s="193" t="s">
        <v>62</v>
      </c>
      <c r="BP38" s="106" t="s">
        <v>10</v>
      </c>
      <c r="BQ38" s="26" t="s">
        <v>11</v>
      </c>
      <c r="BR38" s="3" t="s">
        <v>10</v>
      </c>
      <c r="BS38" s="3" t="s">
        <v>11</v>
      </c>
      <c r="BT38" s="4" t="s">
        <v>10</v>
      </c>
      <c r="BU38" s="3" t="s">
        <v>11</v>
      </c>
      <c r="BV38" s="3" t="s">
        <v>10</v>
      </c>
      <c r="BW38" s="26" t="s">
        <v>11</v>
      </c>
      <c r="BX38" s="3" t="s">
        <v>10</v>
      </c>
      <c r="BY38" s="3" t="s">
        <v>11</v>
      </c>
      <c r="BZ38" s="23" t="s">
        <v>10</v>
      </c>
      <c r="CA38" s="31" t="s">
        <v>11</v>
      </c>
    </row>
    <row r="39" spans="1:83" x14ac:dyDescent="0.25">
      <c r="A39" s="127" t="s">
        <v>153</v>
      </c>
      <c r="B39" s="205">
        <f>Boat!E22</f>
        <v>0</v>
      </c>
      <c r="C39" s="109">
        <f>Boat!F22</f>
        <v>0</v>
      </c>
      <c r="D39" s="128">
        <f>Boat!G22</f>
        <v>0</v>
      </c>
      <c r="E39" s="25"/>
      <c r="F39" s="199">
        <f>Boat!H22</f>
        <v>0</v>
      </c>
      <c r="G39" s="200" t="e">
        <f t="shared" ref="G39:G44" si="64">C39/I39</f>
        <v>#DIV/0!</v>
      </c>
      <c r="H39" s="46" t="e">
        <f t="shared" ref="H39:H44" si="65">D39/I39</f>
        <v>#DIV/0!</v>
      </c>
      <c r="I39" s="197" t="e">
        <f>Boat!I22</f>
        <v>#DIV/0!</v>
      </c>
      <c r="J39" s="25"/>
      <c r="K39" s="95" t="e">
        <f>Boat!K23</f>
        <v>#DIV/0!</v>
      </c>
      <c r="L39" s="41" t="e">
        <f>Boat!L23</f>
        <v>#DIV/0!</v>
      </c>
      <c r="M39" s="41" t="e">
        <f>Boat!O23</f>
        <v>#DIV/0!</v>
      </c>
      <c r="N39" s="41" t="e">
        <f>Boat!P23</f>
        <v>#DIV/0!</v>
      </c>
      <c r="O39" s="41" t="e">
        <f>Boat!Q23</f>
        <v>#DIV/0!</v>
      </c>
      <c r="P39" s="42" t="e">
        <f>Boat!R23</f>
        <v>#DIV/0!</v>
      </c>
      <c r="Q39" s="95" t="e">
        <f>Boat!S23</f>
        <v>#DIV/0!</v>
      </c>
      <c r="R39" s="41" t="e">
        <f>Boat!T23</f>
        <v>#DIV/0!</v>
      </c>
      <c r="S39" s="41" t="e">
        <f>Boat!U23</f>
        <v>#DIV/0!</v>
      </c>
      <c r="T39" s="42" t="e">
        <f>Boat!V23</f>
        <v>#DIV/0!</v>
      </c>
      <c r="U39" s="95" t="e">
        <f>Boat!W23</f>
        <v>#DIV/0!</v>
      </c>
      <c r="V39" s="41" t="e">
        <f>Boat!X23</f>
        <v>#DIV/0!</v>
      </c>
      <c r="W39" s="41" t="e">
        <f>Boat!Y23</f>
        <v>#DIV/0!</v>
      </c>
      <c r="X39" s="41" t="e">
        <f>Boat!Z23</f>
        <v>#DIV/0!</v>
      </c>
      <c r="Y39" s="41" t="e">
        <f>Boat!AA23</f>
        <v>#DIV/0!</v>
      </c>
      <c r="Z39" s="42" t="e">
        <f>Boat!AB23</f>
        <v>#DIV/0!</v>
      </c>
      <c r="AA39" s="95" t="e">
        <f>Boat!AC23</f>
        <v>#DIV/0!</v>
      </c>
      <c r="AB39" s="41" t="e">
        <f>Boat!AD23</f>
        <v>#DIV/0!</v>
      </c>
      <c r="AC39" s="41" t="e">
        <f>Boat!AE23</f>
        <v>#DIV/0!</v>
      </c>
      <c r="AD39" s="41" t="e">
        <f>Boat!AF23</f>
        <v>#DIV/0!</v>
      </c>
      <c r="AE39" s="42" t="e">
        <f>Boat!AG23</f>
        <v>#DIV/0!</v>
      </c>
      <c r="AF39" s="95" t="e">
        <f>Boat!AH23</f>
        <v>#DIV/0!</v>
      </c>
      <c r="AG39" s="41" t="e">
        <f>Boat!AI23</f>
        <v>#DIV/0!</v>
      </c>
      <c r="AH39" s="41" t="e">
        <f>Boat!AJ23</f>
        <v>#DIV/0!</v>
      </c>
      <c r="AI39" s="41" t="e">
        <f>Boat!AK23</f>
        <v>#DIV/0!</v>
      </c>
      <c r="AJ39" s="41" t="e">
        <f>Boat!AL23</f>
        <v>#DIV/0!</v>
      </c>
      <c r="AK39" s="41" t="e">
        <f>Boat!AM23</f>
        <v>#DIV/0!</v>
      </c>
      <c r="AL39" s="41" t="e">
        <f>Boat!AN23</f>
        <v>#DIV/0!</v>
      </c>
      <c r="AM39" s="41" t="e">
        <f>Boat!AO23</f>
        <v>#DIV/0!</v>
      </c>
      <c r="AN39" s="41" t="e">
        <f>Boat!AR23</f>
        <v>#DIV/0!</v>
      </c>
      <c r="AO39" s="41" t="e">
        <f>Boat!AS23</f>
        <v>#DIV/0!</v>
      </c>
      <c r="AP39" s="41" t="e">
        <f>Boat!AT23</f>
        <v>#DIV/0!</v>
      </c>
      <c r="AQ39" s="42" t="e">
        <f>Boat!AU23</f>
        <v>#DIV/0!</v>
      </c>
      <c r="AS39" s="107" t="e">
        <f>Boat!K23</f>
        <v>#DIV/0!</v>
      </c>
      <c r="AT39" s="62" t="e">
        <f>Boat!L23</f>
        <v>#DIV/0!</v>
      </c>
      <c r="AU39" s="62" t="e">
        <f>Boat!M23</f>
        <v>#DIV/0!</v>
      </c>
      <c r="AV39" s="62" t="e">
        <f>Boat!N23</f>
        <v>#DIV/0!</v>
      </c>
      <c r="AW39" s="62" t="e">
        <f>Boat!O23</f>
        <v>#DIV/0!</v>
      </c>
      <c r="AX39" s="62" t="e">
        <f>Boat!P23</f>
        <v>#DIV/0!</v>
      </c>
      <c r="AY39" s="62" t="e">
        <f>Boat!Q23</f>
        <v>#DIV/0!</v>
      </c>
      <c r="AZ39" s="108" t="e">
        <f>Boat!R23</f>
        <v>#DIV/0!</v>
      </c>
      <c r="BA39" s="107">
        <f>Boat!S22</f>
        <v>0</v>
      </c>
      <c r="BB39" s="62">
        <f>Boat!T22</f>
        <v>0</v>
      </c>
      <c r="BC39" s="62">
        <f>Boat!U22</f>
        <v>0</v>
      </c>
      <c r="BD39" s="108">
        <f>Boat!V22</f>
        <v>0</v>
      </c>
      <c r="BE39" s="41">
        <f>Boat!W22</f>
        <v>0</v>
      </c>
      <c r="BF39" s="41">
        <f>Boat!X22</f>
        <v>0</v>
      </c>
      <c r="BG39" s="41">
        <f>Boat!Y22</f>
        <v>0</v>
      </c>
      <c r="BH39" s="41">
        <f>Boat!Z22</f>
        <v>0</v>
      </c>
      <c r="BI39" s="41">
        <f>Boat!AA22</f>
        <v>0</v>
      </c>
      <c r="BJ39" s="42">
        <f>Boat!AB22</f>
        <v>0</v>
      </c>
      <c r="BK39" s="41">
        <f>Boat!AC22</f>
        <v>0</v>
      </c>
      <c r="BL39" s="41">
        <f>Boat!AD22</f>
        <v>0</v>
      </c>
      <c r="BM39" s="41">
        <f>Boat!AE22</f>
        <v>0</v>
      </c>
      <c r="BN39" s="41">
        <f>Boat!AF22</f>
        <v>0</v>
      </c>
      <c r="BO39" s="41">
        <f>Boat!AG22</f>
        <v>0</v>
      </c>
      <c r="BP39" s="95">
        <f>Boat!AH22</f>
        <v>0</v>
      </c>
      <c r="BQ39" s="41">
        <f>Boat!AI22</f>
        <v>0</v>
      </c>
      <c r="BR39" s="41">
        <f>Boat!AJ22</f>
        <v>0</v>
      </c>
      <c r="BS39" s="41">
        <f>Boat!AK22</f>
        <v>0</v>
      </c>
      <c r="BT39" s="41">
        <f>Boat!AL22</f>
        <v>0</v>
      </c>
      <c r="BU39" s="41">
        <f>Boat!AM22</f>
        <v>0</v>
      </c>
      <c r="BV39" s="41">
        <f>Boat!AN22</f>
        <v>0</v>
      </c>
      <c r="BW39" s="41">
        <f>Boat!AO22</f>
        <v>0</v>
      </c>
      <c r="BX39" s="41">
        <f>Boat!AR22</f>
        <v>0</v>
      </c>
      <c r="BY39" s="41">
        <f>Boat!AS22</f>
        <v>0</v>
      </c>
      <c r="BZ39" s="41">
        <f>Boat!AT22</f>
        <v>0</v>
      </c>
      <c r="CA39" s="42">
        <f>Boat!AU22</f>
        <v>0</v>
      </c>
    </row>
    <row r="40" spans="1:83" x14ac:dyDescent="0.25">
      <c r="A40" s="127" t="s">
        <v>154</v>
      </c>
      <c r="B40" s="206">
        <f>Boat!E32</f>
        <v>0</v>
      </c>
      <c r="C40" s="46">
        <f>Boat!F32</f>
        <v>0</v>
      </c>
      <c r="D40" s="129">
        <f>Boat!G32</f>
        <v>0</v>
      </c>
      <c r="E40" s="25"/>
      <c r="F40" s="199">
        <f>Boat!H32</f>
        <v>1.4135</v>
      </c>
      <c r="G40" s="200">
        <v>0</v>
      </c>
      <c r="H40" s="46">
        <v>0</v>
      </c>
      <c r="I40" s="45">
        <f>Boat!I32</f>
        <v>0</v>
      </c>
      <c r="J40" s="25"/>
      <c r="K40" s="95">
        <f>Boat!K33</f>
        <v>0</v>
      </c>
      <c r="L40" s="41">
        <f>Boat!L33</f>
        <v>0</v>
      </c>
      <c r="M40" s="41">
        <f>Boat!O33</f>
        <v>0</v>
      </c>
      <c r="N40" s="41">
        <f>Boat!P33</f>
        <v>0</v>
      </c>
      <c r="O40" s="41">
        <f>Boat!Q33</f>
        <v>0</v>
      </c>
      <c r="P40" s="42">
        <f>Boat!R33</f>
        <v>0</v>
      </c>
      <c r="Q40" s="95">
        <f>Boat!S33</f>
        <v>0</v>
      </c>
      <c r="R40" s="41">
        <f>Boat!T33</f>
        <v>0</v>
      </c>
      <c r="S40" s="41">
        <f>Boat!U33</f>
        <v>0</v>
      </c>
      <c r="T40" s="42">
        <f>Boat!V33</f>
        <v>0</v>
      </c>
      <c r="U40" s="95">
        <f>Boat!W33</f>
        <v>0</v>
      </c>
      <c r="V40" s="41">
        <f>Boat!X33</f>
        <v>0</v>
      </c>
      <c r="W40" s="41">
        <f>Boat!Y33</f>
        <v>0</v>
      </c>
      <c r="X40" s="41">
        <f>Boat!Z33</f>
        <v>0</v>
      </c>
      <c r="Y40" s="41">
        <f>Boat!AA33</f>
        <v>0</v>
      </c>
      <c r="Z40" s="42">
        <f>Boat!AB33</f>
        <v>0</v>
      </c>
      <c r="AA40" s="95">
        <f>Boat!AC33</f>
        <v>0</v>
      </c>
      <c r="AB40" s="41">
        <f>Boat!AD33</f>
        <v>0</v>
      </c>
      <c r="AC40" s="41">
        <f>Boat!AE33</f>
        <v>0</v>
      </c>
      <c r="AD40" s="41">
        <f>Boat!AF33</f>
        <v>0</v>
      </c>
      <c r="AE40" s="42">
        <f>Boat!AG33</f>
        <v>0</v>
      </c>
      <c r="AF40" s="95">
        <f>Boat!AH33</f>
        <v>0</v>
      </c>
      <c r="AG40" s="41">
        <f>Boat!AI33</f>
        <v>0</v>
      </c>
      <c r="AH40" s="41">
        <f>Boat!AJ33</f>
        <v>0</v>
      </c>
      <c r="AI40" s="41">
        <f>Boat!AK33</f>
        <v>0</v>
      </c>
      <c r="AJ40" s="41">
        <f>Boat!AL33</f>
        <v>0</v>
      </c>
      <c r="AK40" s="41">
        <f>Boat!AM33</f>
        <v>0</v>
      </c>
      <c r="AL40" s="41">
        <f>Boat!AN33</f>
        <v>0</v>
      </c>
      <c r="AM40" s="41">
        <f>Boat!AO33</f>
        <v>0</v>
      </c>
      <c r="AN40" s="41">
        <f>Boat!AR33</f>
        <v>0</v>
      </c>
      <c r="AO40" s="41">
        <f>Boat!AS33</f>
        <v>0</v>
      </c>
      <c r="AP40" s="41">
        <f>Boat!AT33</f>
        <v>0</v>
      </c>
      <c r="AQ40" s="42">
        <f>Boat!AU33</f>
        <v>0</v>
      </c>
      <c r="AS40" s="95">
        <f>Boat!K24</f>
        <v>0</v>
      </c>
      <c r="AT40" s="41">
        <f>Boat!L24</f>
        <v>0</v>
      </c>
      <c r="AU40" s="41">
        <f>Boat!M24</f>
        <v>0</v>
      </c>
      <c r="AV40" s="41">
        <f>Boat!N24</f>
        <v>0</v>
      </c>
      <c r="AW40" s="41">
        <f>Boat!O24</f>
        <v>0</v>
      </c>
      <c r="AX40" s="41">
        <f>Boat!P24</f>
        <v>0</v>
      </c>
      <c r="AY40" s="41">
        <f>Boat!Q24</f>
        <v>0</v>
      </c>
      <c r="AZ40" s="42">
        <f>Boat!R24</f>
        <v>0</v>
      </c>
      <c r="BA40" s="95">
        <f>Boat!S32</f>
        <v>0</v>
      </c>
      <c r="BB40" s="41">
        <f>Boat!T32</f>
        <v>0</v>
      </c>
      <c r="BC40" s="41">
        <f>Boat!U32</f>
        <v>0</v>
      </c>
      <c r="BD40" s="42">
        <f>Boat!V32</f>
        <v>0</v>
      </c>
      <c r="BE40" s="41">
        <f>Boat!W32</f>
        <v>0</v>
      </c>
      <c r="BF40" s="41">
        <f>Boat!X32</f>
        <v>0</v>
      </c>
      <c r="BG40" s="41">
        <f>Boat!Y32</f>
        <v>0</v>
      </c>
      <c r="BH40" s="41">
        <f>Boat!Z32</f>
        <v>0</v>
      </c>
      <c r="BI40" s="41">
        <f>Boat!AA32</f>
        <v>0</v>
      </c>
      <c r="BJ40" s="42">
        <f>Boat!AB32</f>
        <v>0</v>
      </c>
      <c r="BK40" s="41">
        <f>Boat!AC32</f>
        <v>0</v>
      </c>
      <c r="BL40" s="41">
        <f>Boat!AD32</f>
        <v>0</v>
      </c>
      <c r="BM40" s="41">
        <f>Boat!AE32</f>
        <v>0</v>
      </c>
      <c r="BN40" s="41">
        <f>Boat!AF32</f>
        <v>0</v>
      </c>
      <c r="BO40" s="41">
        <f>Boat!AG32</f>
        <v>0</v>
      </c>
      <c r="BP40" s="95">
        <f>Boat!AH32</f>
        <v>0</v>
      </c>
      <c r="BQ40" s="41">
        <f>Boat!AI32</f>
        <v>0</v>
      </c>
      <c r="BR40" s="41">
        <f>Boat!AJ32</f>
        <v>0</v>
      </c>
      <c r="BS40" s="41">
        <f>Boat!AK32</f>
        <v>0</v>
      </c>
      <c r="BT40" s="41">
        <f>Boat!AL32</f>
        <v>0</v>
      </c>
      <c r="BU40" s="41">
        <f>Boat!AM32</f>
        <v>0</v>
      </c>
      <c r="BV40" s="41">
        <f>Boat!AN32</f>
        <v>0</v>
      </c>
      <c r="BW40" s="41">
        <f>Boat!AO32</f>
        <v>0</v>
      </c>
      <c r="BX40" s="41">
        <f>Boat!AR32</f>
        <v>0</v>
      </c>
      <c r="BY40" s="41">
        <f>Boat!AS32</f>
        <v>0</v>
      </c>
      <c r="BZ40" s="41">
        <f>Boat!AT32</f>
        <v>0</v>
      </c>
      <c r="CA40" s="42">
        <f>Boat!AU32</f>
        <v>0</v>
      </c>
    </row>
    <row r="41" spans="1:83" x14ac:dyDescent="0.25">
      <c r="A41" s="127" t="s">
        <v>155</v>
      </c>
      <c r="B41" s="206">
        <f>Boat!E42</f>
        <v>0</v>
      </c>
      <c r="C41" s="46">
        <f>Boat!F42</f>
        <v>0</v>
      </c>
      <c r="D41" s="129">
        <f>Boat!G42</f>
        <v>0</v>
      </c>
      <c r="E41" s="25"/>
      <c r="F41" s="199">
        <f>Boat!H42</f>
        <v>0</v>
      </c>
      <c r="G41" s="200" t="e">
        <f t="shared" si="64"/>
        <v>#DIV/0!</v>
      </c>
      <c r="H41" s="46" t="e">
        <f t="shared" si="65"/>
        <v>#DIV/0!</v>
      </c>
      <c r="I41" s="45" t="e">
        <f>Boat!I42</f>
        <v>#DIV/0!</v>
      </c>
      <c r="J41" s="25"/>
      <c r="K41" s="95" t="e">
        <f>Boat!K43</f>
        <v>#DIV/0!</v>
      </c>
      <c r="L41" s="41" t="e">
        <f>Boat!L43</f>
        <v>#DIV/0!</v>
      </c>
      <c r="M41" s="41" t="e">
        <f>Boat!O43</f>
        <v>#DIV/0!</v>
      </c>
      <c r="N41" s="41" t="e">
        <f>Boat!P43</f>
        <v>#DIV/0!</v>
      </c>
      <c r="O41" s="41" t="e">
        <f>Boat!Q43</f>
        <v>#DIV/0!</v>
      </c>
      <c r="P41" s="42" t="e">
        <f>Boat!R43</f>
        <v>#DIV/0!</v>
      </c>
      <c r="Q41" s="95" t="e">
        <f>Boat!S43</f>
        <v>#DIV/0!</v>
      </c>
      <c r="R41" s="41" t="e">
        <f>Boat!T43</f>
        <v>#DIV/0!</v>
      </c>
      <c r="S41" s="41" t="e">
        <f>Boat!U43</f>
        <v>#DIV/0!</v>
      </c>
      <c r="T41" s="42" t="e">
        <f>Boat!V43</f>
        <v>#DIV/0!</v>
      </c>
      <c r="U41" s="95" t="e">
        <f>Boat!W43</f>
        <v>#DIV/0!</v>
      </c>
      <c r="V41" s="41" t="e">
        <f>Boat!X43</f>
        <v>#DIV/0!</v>
      </c>
      <c r="W41" s="41" t="e">
        <f>Boat!Y43</f>
        <v>#DIV/0!</v>
      </c>
      <c r="X41" s="41" t="e">
        <f>Boat!Z43</f>
        <v>#DIV/0!</v>
      </c>
      <c r="Y41" s="41" t="e">
        <f>Boat!AA43</f>
        <v>#DIV/0!</v>
      </c>
      <c r="Z41" s="42" t="e">
        <f>Boat!AB43</f>
        <v>#DIV/0!</v>
      </c>
      <c r="AA41" s="95" t="e">
        <f>Boat!AC43</f>
        <v>#DIV/0!</v>
      </c>
      <c r="AB41" s="41" t="e">
        <f>Boat!AD43</f>
        <v>#DIV/0!</v>
      </c>
      <c r="AC41" s="41" t="e">
        <f>Boat!AE43</f>
        <v>#DIV/0!</v>
      </c>
      <c r="AD41" s="41" t="e">
        <f>Boat!AF43</f>
        <v>#DIV/0!</v>
      </c>
      <c r="AE41" s="42" t="e">
        <f>Boat!AG43</f>
        <v>#DIV/0!</v>
      </c>
      <c r="AF41" s="95" t="e">
        <f>Boat!AH43</f>
        <v>#DIV/0!</v>
      </c>
      <c r="AG41" s="41" t="e">
        <f>Boat!AI43</f>
        <v>#DIV/0!</v>
      </c>
      <c r="AH41" s="41" t="e">
        <f>Boat!AJ43</f>
        <v>#DIV/0!</v>
      </c>
      <c r="AI41" s="41" t="e">
        <f>Boat!AK43</f>
        <v>#DIV/0!</v>
      </c>
      <c r="AJ41" s="41" t="e">
        <f>Boat!AL43</f>
        <v>#DIV/0!</v>
      </c>
      <c r="AK41" s="41" t="e">
        <f>Boat!AM43</f>
        <v>#DIV/0!</v>
      </c>
      <c r="AL41" s="41" t="e">
        <f>Boat!AN43</f>
        <v>#DIV/0!</v>
      </c>
      <c r="AM41" s="41" t="e">
        <f>Boat!AO43</f>
        <v>#DIV/0!</v>
      </c>
      <c r="AN41" s="41" t="e">
        <f>Boat!AR43</f>
        <v>#DIV/0!</v>
      </c>
      <c r="AO41" s="41" t="e">
        <f>Boat!AS43</f>
        <v>#DIV/0!</v>
      </c>
      <c r="AP41" s="41" t="e">
        <f>Boat!AT43</f>
        <v>#DIV/0!</v>
      </c>
      <c r="AQ41" s="42" t="e">
        <f>Boat!AU43</f>
        <v>#DIV/0!</v>
      </c>
      <c r="AS41" s="95">
        <f>Boat!K25</f>
        <v>0</v>
      </c>
      <c r="AT41" s="41">
        <f>Boat!L25</f>
        <v>0</v>
      </c>
      <c r="AU41" s="41">
        <f>Boat!M25</f>
        <v>0</v>
      </c>
      <c r="AV41" s="41">
        <f>Boat!N25</f>
        <v>0</v>
      </c>
      <c r="AW41" s="41">
        <f>Boat!O25</f>
        <v>0</v>
      </c>
      <c r="AX41" s="41">
        <f>Boat!P25</f>
        <v>0</v>
      </c>
      <c r="AY41" s="41">
        <f>Boat!Q25</f>
        <v>0</v>
      </c>
      <c r="AZ41" s="42">
        <f>Boat!R25</f>
        <v>0</v>
      </c>
      <c r="BA41" s="95">
        <f>Boat!S42</f>
        <v>0</v>
      </c>
      <c r="BB41" s="41">
        <f>Boat!T42</f>
        <v>0</v>
      </c>
      <c r="BC41" s="41">
        <f>Boat!U42</f>
        <v>0</v>
      </c>
      <c r="BD41" s="42">
        <f>Boat!V42</f>
        <v>0</v>
      </c>
      <c r="BE41" s="41">
        <f>Boat!W42</f>
        <v>0</v>
      </c>
      <c r="BF41" s="41">
        <f>Boat!X42</f>
        <v>0</v>
      </c>
      <c r="BG41" s="41">
        <f>Boat!Y42</f>
        <v>0</v>
      </c>
      <c r="BH41" s="41">
        <f>Boat!Z42</f>
        <v>0</v>
      </c>
      <c r="BI41" s="41">
        <f>Boat!AA42</f>
        <v>0</v>
      </c>
      <c r="BJ41" s="42">
        <f>Boat!AB42</f>
        <v>0</v>
      </c>
      <c r="BK41" s="41">
        <f>Boat!AC42</f>
        <v>0</v>
      </c>
      <c r="BL41" s="41">
        <f>Boat!AD42</f>
        <v>0</v>
      </c>
      <c r="BM41" s="41">
        <f>Boat!AE42</f>
        <v>0</v>
      </c>
      <c r="BN41" s="41">
        <f>Boat!AF42</f>
        <v>0</v>
      </c>
      <c r="BO41" s="41">
        <f>Boat!AG42</f>
        <v>0</v>
      </c>
      <c r="BP41" s="95">
        <f>Boat!AH42</f>
        <v>0</v>
      </c>
      <c r="BQ41" s="41">
        <f>Boat!AI42</f>
        <v>0</v>
      </c>
      <c r="BR41" s="41">
        <f>Boat!AJ42</f>
        <v>0</v>
      </c>
      <c r="BS41" s="41">
        <f>Boat!AK42</f>
        <v>0</v>
      </c>
      <c r="BT41" s="41">
        <f>Boat!AL42</f>
        <v>0</v>
      </c>
      <c r="BU41" s="41">
        <f>Boat!AM42</f>
        <v>0</v>
      </c>
      <c r="BV41" s="41">
        <f>Boat!AN42</f>
        <v>0</v>
      </c>
      <c r="BW41" s="41">
        <f>Boat!AO42</f>
        <v>0</v>
      </c>
      <c r="BX41" s="41">
        <f>Boat!AR42</f>
        <v>0</v>
      </c>
      <c r="BY41" s="41">
        <f>Boat!AS42</f>
        <v>0</v>
      </c>
      <c r="BZ41" s="41">
        <f>Boat!AT42</f>
        <v>0</v>
      </c>
      <c r="CA41" s="42">
        <f>Boat!AU42</f>
        <v>0</v>
      </c>
    </row>
    <row r="42" spans="1:83" x14ac:dyDescent="0.25">
      <c r="A42" s="127" t="s">
        <v>156</v>
      </c>
      <c r="B42" s="206">
        <f>Boat!E52</f>
        <v>0</v>
      </c>
      <c r="C42" s="46">
        <f>Boat!F52</f>
        <v>0</v>
      </c>
      <c r="D42" s="129">
        <f>Boat!G52</f>
        <v>0</v>
      </c>
      <c r="E42" s="25"/>
      <c r="F42" s="199">
        <f>Boat!H52</f>
        <v>0</v>
      </c>
      <c r="G42" s="200" t="e">
        <f t="shared" si="64"/>
        <v>#DIV/0!</v>
      </c>
      <c r="H42" s="46" t="e">
        <f t="shared" si="65"/>
        <v>#DIV/0!</v>
      </c>
      <c r="I42" s="45" t="e">
        <f>Boat!I52</f>
        <v>#DIV/0!</v>
      </c>
      <c r="J42" s="25"/>
      <c r="K42" s="95" t="e">
        <f>Boat!K53</f>
        <v>#DIV/0!</v>
      </c>
      <c r="L42" s="41" t="e">
        <f>Boat!L53</f>
        <v>#DIV/0!</v>
      </c>
      <c r="M42" s="41" t="e">
        <f>Boat!O53</f>
        <v>#DIV/0!</v>
      </c>
      <c r="N42" s="41" t="e">
        <f>Boat!P53</f>
        <v>#DIV/0!</v>
      </c>
      <c r="O42" s="41" t="e">
        <f>Boat!Q53</f>
        <v>#DIV/0!</v>
      </c>
      <c r="P42" s="42" t="e">
        <f>Boat!R53</f>
        <v>#DIV/0!</v>
      </c>
      <c r="Q42" s="95" t="e">
        <f>Boat!S53</f>
        <v>#DIV/0!</v>
      </c>
      <c r="R42" s="41" t="e">
        <f>Boat!T53</f>
        <v>#DIV/0!</v>
      </c>
      <c r="S42" s="41" t="e">
        <f>Boat!U53</f>
        <v>#DIV/0!</v>
      </c>
      <c r="T42" s="42" t="e">
        <f>Boat!V53</f>
        <v>#DIV/0!</v>
      </c>
      <c r="U42" s="95" t="e">
        <f>Boat!W53</f>
        <v>#DIV/0!</v>
      </c>
      <c r="V42" s="41" t="e">
        <f>Boat!X53</f>
        <v>#DIV/0!</v>
      </c>
      <c r="W42" s="41" t="e">
        <f>Boat!Y53</f>
        <v>#DIV/0!</v>
      </c>
      <c r="X42" s="41" t="e">
        <f>Boat!Z53</f>
        <v>#DIV/0!</v>
      </c>
      <c r="Y42" s="41" t="e">
        <f>Boat!AA53</f>
        <v>#DIV/0!</v>
      </c>
      <c r="Z42" s="42" t="e">
        <f>Boat!AB53</f>
        <v>#DIV/0!</v>
      </c>
      <c r="AA42" s="95" t="e">
        <f>Boat!AC53</f>
        <v>#DIV/0!</v>
      </c>
      <c r="AB42" s="41" t="e">
        <f>Boat!AD53</f>
        <v>#DIV/0!</v>
      </c>
      <c r="AC42" s="41" t="e">
        <f>Boat!AE53</f>
        <v>#DIV/0!</v>
      </c>
      <c r="AD42" s="41" t="e">
        <f>Boat!AF53</f>
        <v>#DIV/0!</v>
      </c>
      <c r="AE42" s="42" t="e">
        <f>Boat!AG53</f>
        <v>#DIV/0!</v>
      </c>
      <c r="AF42" s="95" t="e">
        <f>Boat!AH53</f>
        <v>#DIV/0!</v>
      </c>
      <c r="AG42" s="41" t="e">
        <f>Boat!AI53</f>
        <v>#DIV/0!</v>
      </c>
      <c r="AH42" s="41" t="e">
        <f>Boat!AJ53</f>
        <v>#DIV/0!</v>
      </c>
      <c r="AI42" s="41" t="e">
        <f>Boat!AK53</f>
        <v>#DIV/0!</v>
      </c>
      <c r="AJ42" s="41" t="e">
        <f>Boat!AL53</f>
        <v>#DIV/0!</v>
      </c>
      <c r="AK42" s="41" t="e">
        <f>Boat!AM53</f>
        <v>#DIV/0!</v>
      </c>
      <c r="AL42" s="41" t="e">
        <f>Boat!AN53</f>
        <v>#DIV/0!</v>
      </c>
      <c r="AM42" s="41" t="e">
        <f>Boat!AO53</f>
        <v>#DIV/0!</v>
      </c>
      <c r="AN42" s="41" t="e">
        <f>Boat!AR53</f>
        <v>#DIV/0!</v>
      </c>
      <c r="AO42" s="41" t="e">
        <f>Boat!AS53</f>
        <v>#DIV/0!</v>
      </c>
      <c r="AP42" s="41" t="e">
        <f>Boat!AT53</f>
        <v>#DIV/0!</v>
      </c>
      <c r="AQ42" s="42" t="e">
        <f>Boat!AU53</f>
        <v>#DIV/0!</v>
      </c>
      <c r="AS42" s="95">
        <f>Boat!K26</f>
        <v>0</v>
      </c>
      <c r="AT42" s="41">
        <f>Boat!L26</f>
        <v>0</v>
      </c>
      <c r="AU42" s="41">
        <f>Boat!M26</f>
        <v>0</v>
      </c>
      <c r="AV42" s="41">
        <f>Boat!N26</f>
        <v>0</v>
      </c>
      <c r="AW42" s="41">
        <f>Boat!O26</f>
        <v>0</v>
      </c>
      <c r="AX42" s="41">
        <f>Boat!P26</f>
        <v>0</v>
      </c>
      <c r="AY42" s="41">
        <f>Boat!Q26</f>
        <v>0</v>
      </c>
      <c r="AZ42" s="42">
        <f>Boat!R26</f>
        <v>0</v>
      </c>
      <c r="BA42" s="95">
        <f>Boat!S52</f>
        <v>0</v>
      </c>
      <c r="BB42" s="41">
        <f>Boat!T52</f>
        <v>0</v>
      </c>
      <c r="BC42" s="41">
        <f>Boat!U52</f>
        <v>0</v>
      </c>
      <c r="BD42" s="42">
        <f>Boat!V52</f>
        <v>0</v>
      </c>
      <c r="BE42" s="41">
        <f>Boat!W52</f>
        <v>0</v>
      </c>
      <c r="BF42" s="41">
        <f>Boat!X52</f>
        <v>0</v>
      </c>
      <c r="BG42" s="41">
        <f>Boat!Y52</f>
        <v>0</v>
      </c>
      <c r="BH42" s="41">
        <f>Boat!Z52</f>
        <v>0</v>
      </c>
      <c r="BI42" s="41">
        <f>Boat!AA52</f>
        <v>0</v>
      </c>
      <c r="BJ42" s="42">
        <f>Boat!AB52</f>
        <v>0</v>
      </c>
      <c r="BK42" s="41">
        <f>Boat!AC52</f>
        <v>0</v>
      </c>
      <c r="BL42" s="41">
        <f>Boat!AD52</f>
        <v>0</v>
      </c>
      <c r="BM42" s="41">
        <f>Boat!AE52</f>
        <v>0</v>
      </c>
      <c r="BN42" s="41">
        <f>Boat!AF52</f>
        <v>0</v>
      </c>
      <c r="BO42" s="41">
        <f>Boat!AG52</f>
        <v>0</v>
      </c>
      <c r="BP42" s="95">
        <f>Boat!AH52</f>
        <v>0</v>
      </c>
      <c r="BQ42" s="41">
        <f>Boat!AI52</f>
        <v>0</v>
      </c>
      <c r="BR42" s="41">
        <f>Boat!AJ52</f>
        <v>0</v>
      </c>
      <c r="BS42" s="41">
        <f>Boat!AK52</f>
        <v>0</v>
      </c>
      <c r="BT42" s="41">
        <f>Boat!AL52</f>
        <v>0</v>
      </c>
      <c r="BU42" s="41">
        <f>Boat!AM52</f>
        <v>0</v>
      </c>
      <c r="BV42" s="41">
        <f>Boat!AN52</f>
        <v>0</v>
      </c>
      <c r="BW42" s="41">
        <f>Boat!AO52</f>
        <v>0</v>
      </c>
      <c r="BX42" s="41">
        <f>Boat!AR52</f>
        <v>0</v>
      </c>
      <c r="BY42" s="41">
        <f>Boat!AS52</f>
        <v>0</v>
      </c>
      <c r="BZ42" s="41">
        <f>Boat!AT52</f>
        <v>0</v>
      </c>
      <c r="CA42" s="42">
        <f>Boat!AU52</f>
        <v>0</v>
      </c>
    </row>
    <row r="43" spans="1:83" x14ac:dyDescent="0.25">
      <c r="A43" s="127" t="s">
        <v>157</v>
      </c>
      <c r="B43" s="206">
        <f>Boat!E62</f>
        <v>0</v>
      </c>
      <c r="C43" s="46">
        <f>Boat!F62</f>
        <v>0</v>
      </c>
      <c r="D43" s="129">
        <f>Boat!G62</f>
        <v>0</v>
      </c>
      <c r="E43" s="25"/>
      <c r="F43" s="199">
        <f>Boat!H62</f>
        <v>46.645499999999998</v>
      </c>
      <c r="G43" s="200" t="e">
        <f t="shared" si="64"/>
        <v>#DIV/0!</v>
      </c>
      <c r="H43" s="46" t="e">
        <f t="shared" si="65"/>
        <v>#DIV/0!</v>
      </c>
      <c r="I43" s="45">
        <f>Boat!I62</f>
        <v>0</v>
      </c>
      <c r="J43" s="25"/>
      <c r="K43" s="95" t="e">
        <f>Boat!K63</f>
        <v>#DIV/0!</v>
      </c>
      <c r="L43" s="41" t="e">
        <f>Boat!L63</f>
        <v>#DIV/0!</v>
      </c>
      <c r="M43" s="41" t="e">
        <f>Boat!O63</f>
        <v>#DIV/0!</v>
      </c>
      <c r="N43" s="41" t="e">
        <f>Boat!P63</f>
        <v>#DIV/0!</v>
      </c>
      <c r="O43" s="41" t="e">
        <f>Boat!Q63</f>
        <v>#DIV/0!</v>
      </c>
      <c r="P43" s="42" t="e">
        <f>Boat!R63</f>
        <v>#DIV/0!</v>
      </c>
      <c r="Q43" s="95" t="e">
        <f>Boat!S63</f>
        <v>#DIV/0!</v>
      </c>
      <c r="R43" s="41" t="e">
        <f>Boat!T63</f>
        <v>#DIV/0!</v>
      </c>
      <c r="S43" s="41" t="e">
        <f>Boat!U63</f>
        <v>#DIV/0!</v>
      </c>
      <c r="T43" s="42" t="e">
        <f>Boat!V63</f>
        <v>#DIV/0!</v>
      </c>
      <c r="U43" s="95" t="e">
        <f>Boat!W63</f>
        <v>#DIV/0!</v>
      </c>
      <c r="V43" s="41" t="e">
        <f>Boat!X63</f>
        <v>#DIV/0!</v>
      </c>
      <c r="W43" s="41" t="e">
        <f>Boat!Y63</f>
        <v>#DIV/0!</v>
      </c>
      <c r="X43" s="41" t="e">
        <f>Boat!Z63</f>
        <v>#DIV/0!</v>
      </c>
      <c r="Y43" s="41" t="e">
        <f>Boat!AA63</f>
        <v>#DIV/0!</v>
      </c>
      <c r="Z43" s="42" t="e">
        <f>Boat!AB63</f>
        <v>#DIV/0!</v>
      </c>
      <c r="AA43" s="95" t="e">
        <f>Boat!AC63</f>
        <v>#DIV/0!</v>
      </c>
      <c r="AB43" s="41" t="e">
        <f>Boat!AD63</f>
        <v>#DIV/0!</v>
      </c>
      <c r="AC43" s="41" t="e">
        <f>Boat!AE63</f>
        <v>#DIV/0!</v>
      </c>
      <c r="AD43" s="41" t="e">
        <f>Boat!AF63</f>
        <v>#DIV/0!</v>
      </c>
      <c r="AE43" s="42" t="e">
        <f>Boat!AG63</f>
        <v>#DIV/0!</v>
      </c>
      <c r="AF43" s="95" t="e">
        <f>Boat!AH63</f>
        <v>#DIV/0!</v>
      </c>
      <c r="AG43" s="41" t="e">
        <f>Boat!AI63</f>
        <v>#DIV/0!</v>
      </c>
      <c r="AH43" s="41" t="e">
        <f>Boat!AJ63</f>
        <v>#DIV/0!</v>
      </c>
      <c r="AI43" s="41" t="e">
        <f>Boat!AK63</f>
        <v>#DIV/0!</v>
      </c>
      <c r="AJ43" s="41" t="e">
        <f>Boat!AL63</f>
        <v>#DIV/0!</v>
      </c>
      <c r="AK43" s="41" t="e">
        <f>Boat!AM63</f>
        <v>#DIV/0!</v>
      </c>
      <c r="AL43" s="41" t="e">
        <f>Boat!AN63</f>
        <v>#DIV/0!</v>
      </c>
      <c r="AM43" s="41" t="e">
        <f>Boat!AO63</f>
        <v>#DIV/0!</v>
      </c>
      <c r="AN43" s="41" t="e">
        <f>Boat!AR63</f>
        <v>#DIV/0!</v>
      </c>
      <c r="AO43" s="41" t="e">
        <f>Boat!AS63</f>
        <v>#DIV/0!</v>
      </c>
      <c r="AP43" s="41" t="e">
        <f>Boat!AT63</f>
        <v>#DIV/0!</v>
      </c>
      <c r="AQ43" s="42" t="e">
        <f>Boat!AU63</f>
        <v>#DIV/0!</v>
      </c>
      <c r="AS43" s="95">
        <f>Boat!K27</f>
        <v>0</v>
      </c>
      <c r="AT43" s="41">
        <f>Boat!L27</f>
        <v>0</v>
      </c>
      <c r="AU43" s="41">
        <f>Boat!M27</f>
        <v>0</v>
      </c>
      <c r="AV43" s="41">
        <f>Boat!N27</f>
        <v>0</v>
      </c>
      <c r="AW43" s="41">
        <f>Boat!O27</f>
        <v>0</v>
      </c>
      <c r="AX43" s="41">
        <f>Boat!P27</f>
        <v>0</v>
      </c>
      <c r="AY43" s="41">
        <f>Boat!Q27</f>
        <v>0</v>
      </c>
      <c r="AZ43" s="42">
        <f>Boat!R27</f>
        <v>0</v>
      </c>
      <c r="BA43" s="95">
        <f>Boat!S62</f>
        <v>0</v>
      </c>
      <c r="BB43" s="41">
        <f>Boat!T62</f>
        <v>0</v>
      </c>
      <c r="BC43" s="41">
        <f>Boat!U62</f>
        <v>0</v>
      </c>
      <c r="BD43" s="42">
        <f>Boat!V62</f>
        <v>0</v>
      </c>
      <c r="BE43" s="41">
        <f>Boat!W62</f>
        <v>0</v>
      </c>
      <c r="BF43" s="41">
        <f>Boat!X62</f>
        <v>0</v>
      </c>
      <c r="BG43" s="41">
        <f>Boat!Y62</f>
        <v>0</v>
      </c>
      <c r="BH43" s="41">
        <f>Boat!Z62</f>
        <v>0</v>
      </c>
      <c r="BI43" s="41">
        <f>Boat!AA62</f>
        <v>0</v>
      </c>
      <c r="BJ43" s="42">
        <f>Boat!AB62</f>
        <v>0</v>
      </c>
      <c r="BK43" s="41">
        <f>Boat!AC62</f>
        <v>0</v>
      </c>
      <c r="BL43" s="41">
        <f>Boat!AD62</f>
        <v>0</v>
      </c>
      <c r="BM43" s="41">
        <f>Boat!AE62</f>
        <v>0</v>
      </c>
      <c r="BN43" s="41">
        <f>Boat!AF62</f>
        <v>0</v>
      </c>
      <c r="BO43" s="41">
        <f>Boat!AG62</f>
        <v>0</v>
      </c>
      <c r="BP43" s="95">
        <f>Boat!AH62</f>
        <v>0</v>
      </c>
      <c r="BQ43" s="41">
        <f>Boat!AI62</f>
        <v>0</v>
      </c>
      <c r="BR43" s="41">
        <f>Boat!AJ62</f>
        <v>0</v>
      </c>
      <c r="BS43" s="41">
        <f>Boat!AK62</f>
        <v>0</v>
      </c>
      <c r="BT43" s="41">
        <f>Boat!AL62</f>
        <v>0</v>
      </c>
      <c r="BU43" s="41">
        <f>Boat!AM62</f>
        <v>0</v>
      </c>
      <c r="BV43" s="41">
        <f>Boat!AN62</f>
        <v>0</v>
      </c>
      <c r="BW43" s="41">
        <f>Boat!AO62</f>
        <v>0</v>
      </c>
      <c r="BX43" s="41">
        <f>Boat!AR62</f>
        <v>0</v>
      </c>
      <c r="BY43" s="41">
        <f>Boat!AS62</f>
        <v>0</v>
      </c>
      <c r="BZ43" s="41">
        <f>Boat!AT62</f>
        <v>0</v>
      </c>
      <c r="CA43" s="42">
        <f>Boat!AU62</f>
        <v>0</v>
      </c>
    </row>
    <row r="44" spans="1:83" x14ac:dyDescent="0.25">
      <c r="A44" s="127" t="s">
        <v>158</v>
      </c>
      <c r="B44" s="206">
        <f>Boat!E72</f>
        <v>33</v>
      </c>
      <c r="C44" s="46">
        <f>Boat!F72</f>
        <v>61</v>
      </c>
      <c r="D44" s="129">
        <f>Boat!G72</f>
        <v>322.41999999999996</v>
      </c>
      <c r="E44" s="25"/>
      <c r="F44" s="199">
        <f>Boat!H72</f>
        <v>58.222700000000003</v>
      </c>
      <c r="G44" s="200">
        <f t="shared" si="64"/>
        <v>107.62377878787879</v>
      </c>
      <c r="H44" s="46">
        <f t="shared" si="65"/>
        <v>568.85342224242424</v>
      </c>
      <c r="I44" s="45">
        <f>Boat!I72</f>
        <v>0.56678924199667824</v>
      </c>
      <c r="J44" s="25"/>
      <c r="K44" s="95">
        <f>Boat!K73</f>
        <v>0</v>
      </c>
      <c r="L44" s="41">
        <f>Boat!L73</f>
        <v>0</v>
      </c>
      <c r="M44" s="41">
        <f>Boat!O73</f>
        <v>1.7643242424242425</v>
      </c>
      <c r="N44" s="41">
        <f>Boat!P73</f>
        <v>0</v>
      </c>
      <c r="O44" s="41">
        <f>Boat!Q73</f>
        <v>3.5286484848484849</v>
      </c>
      <c r="P44" s="42">
        <f>Boat!R73</f>
        <v>0</v>
      </c>
      <c r="Q44" s="95">
        <f>Boat!S73</f>
        <v>0</v>
      </c>
      <c r="R44" s="41">
        <f>Boat!T73</f>
        <v>0</v>
      </c>
      <c r="S44" s="41">
        <f>Boat!U73</f>
        <v>0</v>
      </c>
      <c r="T44" s="42">
        <f>Boat!V73</f>
        <v>0</v>
      </c>
      <c r="U44" s="95">
        <f>Boat!W73</f>
        <v>3.5286484848484849</v>
      </c>
      <c r="V44" s="41">
        <f>Boat!X73</f>
        <v>3.5286484848484849</v>
      </c>
      <c r="W44" s="41">
        <f>Boat!Y73</f>
        <v>0</v>
      </c>
      <c r="X44" s="41">
        <f>Boat!Z73</f>
        <v>0</v>
      </c>
      <c r="Y44" s="41">
        <f>Boat!AA73</f>
        <v>0</v>
      </c>
      <c r="Z44" s="42">
        <f>Boat!AB73</f>
        <v>0</v>
      </c>
      <c r="AA44" s="95">
        <f>Boat!AC73</f>
        <v>0</v>
      </c>
      <c r="AB44" s="41">
        <f>Boat!AD73</f>
        <v>0</v>
      </c>
      <c r="AC44" s="41">
        <f>Boat!AE73</f>
        <v>0</v>
      </c>
      <c r="AD44" s="41">
        <f>Boat!AF73</f>
        <v>0</v>
      </c>
      <c r="AE44" s="42">
        <f>Boat!AG73</f>
        <v>0</v>
      </c>
      <c r="AF44" s="95">
        <f>Boat!AH73</f>
        <v>0</v>
      </c>
      <c r="AG44" s="41">
        <f>Boat!AI73</f>
        <v>0</v>
      </c>
      <c r="AH44" s="41">
        <f>Boat!AJ73</f>
        <v>0</v>
      </c>
      <c r="AI44" s="41">
        <f>Boat!AK73</f>
        <v>0</v>
      </c>
      <c r="AJ44" s="41">
        <f>Boat!AL73</f>
        <v>0</v>
      </c>
      <c r="AK44" s="41">
        <f>Boat!AM73</f>
        <v>0</v>
      </c>
      <c r="AL44" s="41">
        <f>Boat!AN73</f>
        <v>0</v>
      </c>
      <c r="AM44" s="41">
        <f>Boat!AO73</f>
        <v>0</v>
      </c>
      <c r="AN44" s="41">
        <f>Boat!AR73</f>
        <v>0</v>
      </c>
      <c r="AO44" s="41">
        <f>Boat!AS73</f>
        <v>0</v>
      </c>
      <c r="AP44" s="41">
        <f>Boat!AT73</f>
        <v>0</v>
      </c>
      <c r="AQ44" s="42">
        <f>Boat!AU73</f>
        <v>0</v>
      </c>
      <c r="AS44" s="95">
        <f>Boat!K72</f>
        <v>0</v>
      </c>
      <c r="AT44" s="41">
        <f>Boat!L72</f>
        <v>0</v>
      </c>
      <c r="AU44" s="41">
        <f>Boat!M72</f>
        <v>0</v>
      </c>
      <c r="AV44" s="41">
        <f>Boat!N72</f>
        <v>0</v>
      </c>
      <c r="AW44" s="41">
        <f>Boat!O72</f>
        <v>1</v>
      </c>
      <c r="AX44" s="41">
        <f>Boat!P72</f>
        <v>0</v>
      </c>
      <c r="AY44" s="41">
        <f>Boat!Q72</f>
        <v>2</v>
      </c>
      <c r="AZ44" s="42">
        <f>Boat!R72</f>
        <v>0</v>
      </c>
      <c r="BA44" s="95">
        <f>Boat!S72</f>
        <v>0</v>
      </c>
      <c r="BB44" s="41">
        <f>Boat!T72</f>
        <v>0</v>
      </c>
      <c r="BC44" s="41">
        <f>Boat!U72</f>
        <v>0</v>
      </c>
      <c r="BD44" s="42">
        <f>Boat!V72</f>
        <v>0</v>
      </c>
      <c r="BE44" s="95">
        <f>Boat!W72</f>
        <v>2</v>
      </c>
      <c r="BF44" s="41">
        <f>Boat!X72</f>
        <v>2</v>
      </c>
      <c r="BG44" s="41">
        <f>Boat!Y72</f>
        <v>0</v>
      </c>
      <c r="BH44" s="41">
        <f>Boat!Z72</f>
        <v>0</v>
      </c>
      <c r="BI44" s="41">
        <f>Boat!AA72</f>
        <v>0</v>
      </c>
      <c r="BJ44" s="42">
        <f>Boat!AB72</f>
        <v>0</v>
      </c>
      <c r="BK44" s="95">
        <f>Boat!AC72</f>
        <v>0</v>
      </c>
      <c r="BL44" s="41">
        <f>Boat!AD72</f>
        <v>0</v>
      </c>
      <c r="BM44" s="41">
        <f>Boat!AE72</f>
        <v>0</v>
      </c>
      <c r="BN44" s="41">
        <f>Boat!AF72</f>
        <v>0</v>
      </c>
      <c r="BO44" s="42">
        <f>Boat!AG72</f>
        <v>0</v>
      </c>
      <c r="BP44" s="95">
        <f>Boat!AH72</f>
        <v>0</v>
      </c>
      <c r="BQ44" s="41">
        <f>Boat!AI72</f>
        <v>0</v>
      </c>
      <c r="BR44" s="41">
        <f>Boat!AJ72</f>
        <v>0</v>
      </c>
      <c r="BS44" s="41">
        <f>Boat!AK72</f>
        <v>0</v>
      </c>
      <c r="BT44" s="41">
        <f>Boat!AL72</f>
        <v>0</v>
      </c>
      <c r="BU44" s="41">
        <f>Boat!AM72</f>
        <v>0</v>
      </c>
      <c r="BV44" s="41">
        <f>Boat!AN72</f>
        <v>0</v>
      </c>
      <c r="BW44" s="41">
        <f>Boat!AO72</f>
        <v>0</v>
      </c>
      <c r="BX44" s="41">
        <f>Boat!AP72</f>
        <v>0</v>
      </c>
      <c r="BY44" s="41">
        <f>Boat!AQ72</f>
        <v>0</v>
      </c>
      <c r="BZ44" s="41">
        <f>Boat!AR72</f>
        <v>0</v>
      </c>
      <c r="CA44" s="42">
        <f>Boat!AS72</f>
        <v>0</v>
      </c>
    </row>
    <row r="45" spans="1:83" x14ac:dyDescent="0.25">
      <c r="A45" s="127" t="s">
        <v>159</v>
      </c>
      <c r="B45" s="206">
        <f>Boat!E82</f>
        <v>34</v>
      </c>
      <c r="C45" s="46">
        <f>Boat!F82</f>
        <v>81</v>
      </c>
      <c r="D45" s="129">
        <f>Boat!G82</f>
        <v>293.09000000000003</v>
      </c>
      <c r="E45" s="25"/>
      <c r="F45" s="199">
        <f>Boat!H82</f>
        <v>86.223500000000001</v>
      </c>
      <c r="G45" s="200">
        <f t="shared" ref="G45" si="66">C45/I45</f>
        <v>205.41480882352943</v>
      </c>
      <c r="H45" s="46">
        <f t="shared" ref="H45" si="67">D45/I45</f>
        <v>743.2719298529413</v>
      </c>
      <c r="I45" s="45">
        <f>Boat!I82</f>
        <v>0.39432405318735608</v>
      </c>
      <c r="J45" s="25"/>
      <c r="K45" s="95">
        <f>Boat!K83</f>
        <v>0</v>
      </c>
      <c r="L45" s="41">
        <f>Boat!L83</f>
        <v>0</v>
      </c>
      <c r="M45" s="41">
        <f>Boat!O83</f>
        <v>0</v>
      </c>
      <c r="N45" s="41">
        <f>Boat!P83</f>
        <v>0</v>
      </c>
      <c r="O45" s="41">
        <f>Boat!Q83</f>
        <v>0</v>
      </c>
      <c r="P45" s="42">
        <f>Boat!R83</f>
        <v>0</v>
      </c>
      <c r="Q45" s="95">
        <f>Boat!S83</f>
        <v>0</v>
      </c>
      <c r="R45" s="41">
        <f>Boat!T83</f>
        <v>0</v>
      </c>
      <c r="S45" s="41">
        <f>Boat!U83</f>
        <v>0</v>
      </c>
      <c r="T45" s="42">
        <f>Boat!V83</f>
        <v>0</v>
      </c>
      <c r="U45" s="95">
        <f>Boat!W83</f>
        <v>0</v>
      </c>
      <c r="V45" s="41">
        <f>Boat!X83</f>
        <v>0</v>
      </c>
      <c r="W45" s="41">
        <f>Boat!Y83</f>
        <v>0</v>
      </c>
      <c r="X45" s="41">
        <f>Boat!Z83</f>
        <v>0</v>
      </c>
      <c r="Y45" s="41">
        <f>Boat!AA83</f>
        <v>0</v>
      </c>
      <c r="Z45" s="42">
        <f>Boat!AB83</f>
        <v>0</v>
      </c>
      <c r="AA45" s="95">
        <f>Boat!AC83</f>
        <v>0</v>
      </c>
      <c r="AB45" s="41">
        <f>Boat!AD83</f>
        <v>0</v>
      </c>
      <c r="AC45" s="41">
        <f>Boat!AE83</f>
        <v>0</v>
      </c>
      <c r="AD45" s="41">
        <f>Boat!AF83</f>
        <v>0</v>
      </c>
      <c r="AE45" s="42">
        <f>Boat!AG83</f>
        <v>0</v>
      </c>
      <c r="AF45" s="95">
        <f>Boat!AH83</f>
        <v>0</v>
      </c>
      <c r="AG45" s="41">
        <f>Boat!AI83</f>
        <v>0</v>
      </c>
      <c r="AH45" s="41">
        <f>Boat!AJ83</f>
        <v>0</v>
      </c>
      <c r="AI45" s="41">
        <f>Boat!AK83</f>
        <v>0</v>
      </c>
      <c r="AJ45" s="41">
        <f>Boat!AL83</f>
        <v>0</v>
      </c>
      <c r="AK45" s="41">
        <f>Boat!AM83</f>
        <v>5.0719705882352946</v>
      </c>
      <c r="AL45" s="41">
        <f>Boat!AN83</f>
        <v>0</v>
      </c>
      <c r="AM45" s="41">
        <f>Boat!AO83</f>
        <v>0</v>
      </c>
      <c r="AN45" s="41">
        <f>Boat!AR83</f>
        <v>0</v>
      </c>
      <c r="AO45" s="41">
        <f>Boat!AS83</f>
        <v>0</v>
      </c>
      <c r="AP45" s="41">
        <f>Boat!AT83</f>
        <v>0</v>
      </c>
      <c r="AQ45" s="42">
        <f>Boat!AU83</f>
        <v>5.0719705882352946</v>
      </c>
      <c r="AS45" s="95">
        <f>Boat!K82</f>
        <v>0</v>
      </c>
      <c r="AT45" s="41">
        <f>Boat!L82</f>
        <v>0</v>
      </c>
      <c r="AU45" s="41">
        <f>Boat!M82</f>
        <v>0</v>
      </c>
      <c r="AV45" s="41">
        <f>Boat!N82</f>
        <v>0</v>
      </c>
      <c r="AW45" s="41">
        <f>Boat!O82</f>
        <v>0</v>
      </c>
      <c r="AX45" s="41">
        <f>Boat!P82</f>
        <v>0</v>
      </c>
      <c r="AY45" s="41">
        <f>Boat!Q82</f>
        <v>0</v>
      </c>
      <c r="AZ45" s="42">
        <f>Boat!R82</f>
        <v>0</v>
      </c>
      <c r="BA45" s="95">
        <f>Boat!S82</f>
        <v>0</v>
      </c>
      <c r="BB45" s="41">
        <f>Boat!T82</f>
        <v>0</v>
      </c>
      <c r="BC45" s="41">
        <f>Boat!U82</f>
        <v>0</v>
      </c>
      <c r="BD45" s="42">
        <f>Boat!V82</f>
        <v>0</v>
      </c>
      <c r="BE45" s="95">
        <f>Boat!W82</f>
        <v>0</v>
      </c>
      <c r="BF45" s="41">
        <f>Boat!X82</f>
        <v>0</v>
      </c>
      <c r="BG45" s="41">
        <f>Boat!Y82</f>
        <v>0</v>
      </c>
      <c r="BH45" s="41">
        <f>Boat!Z82</f>
        <v>0</v>
      </c>
      <c r="BI45" s="41">
        <f>Boat!AA82</f>
        <v>0</v>
      </c>
      <c r="BJ45" s="42">
        <f>Boat!AB82</f>
        <v>0</v>
      </c>
      <c r="BK45" s="95">
        <f>Boat!AC82</f>
        <v>0</v>
      </c>
      <c r="BL45" s="41">
        <f>Boat!AD82</f>
        <v>0</v>
      </c>
      <c r="BM45" s="41">
        <f>Boat!AE82</f>
        <v>0</v>
      </c>
      <c r="BN45" s="41">
        <f>Boat!AF82</f>
        <v>0</v>
      </c>
      <c r="BO45" s="42">
        <f>Boat!AG82</f>
        <v>0</v>
      </c>
      <c r="BP45" s="95">
        <f>Boat!AH82</f>
        <v>0</v>
      </c>
      <c r="BQ45" s="41">
        <f>Boat!AI82</f>
        <v>0</v>
      </c>
      <c r="BR45" s="41">
        <f>Boat!AJ82</f>
        <v>0</v>
      </c>
      <c r="BS45" s="41">
        <f>Boat!AK82</f>
        <v>0</v>
      </c>
      <c r="BT45" s="41">
        <f>Boat!AL82</f>
        <v>0</v>
      </c>
      <c r="BU45" s="41">
        <f>Boat!AM82</f>
        <v>2</v>
      </c>
      <c r="BV45" s="41">
        <f>Boat!AN82</f>
        <v>0</v>
      </c>
      <c r="BW45" s="41">
        <f>Boat!AO82</f>
        <v>0</v>
      </c>
      <c r="BX45" s="41">
        <f>Boat!AP82</f>
        <v>0</v>
      </c>
      <c r="BY45" s="41">
        <f>Boat!AQ82</f>
        <v>0</v>
      </c>
      <c r="BZ45" s="41">
        <f>Boat!AR82</f>
        <v>0</v>
      </c>
      <c r="CA45" s="42">
        <f>Boat!AS82</f>
        <v>0</v>
      </c>
    </row>
    <row r="46" spans="1:83" x14ac:dyDescent="0.25">
      <c r="A46" s="127" t="s">
        <v>172</v>
      </c>
      <c r="B46" s="206">
        <f>Boat!E92</f>
        <v>29</v>
      </c>
      <c r="C46" s="46">
        <f>Boat!F92</f>
        <v>49</v>
      </c>
      <c r="D46" s="129">
        <f>Boat!G92</f>
        <v>235.91000000000003</v>
      </c>
      <c r="E46" s="25"/>
      <c r="F46" s="199">
        <f>Boat!H92</f>
        <v>59.1265</v>
      </c>
      <c r="G46" s="200">
        <f t="shared" ref="G46" si="68">C46/I46</f>
        <v>99.903396551724128</v>
      </c>
      <c r="H46" s="46">
        <f t="shared" ref="H46" si="69">D46/I46</f>
        <v>480.98388327586213</v>
      </c>
      <c r="I46" s="45">
        <f>Boat!I92</f>
        <v>0.49047381461781098</v>
      </c>
      <c r="J46" s="25"/>
      <c r="K46" s="95">
        <f>Boat!K93</f>
        <v>0</v>
      </c>
      <c r="L46" s="41">
        <f>Boat!L93</f>
        <v>0</v>
      </c>
      <c r="M46" s="41">
        <f>Boat!O93</f>
        <v>0</v>
      </c>
      <c r="N46" s="41">
        <f>Boat!P93</f>
        <v>0</v>
      </c>
      <c r="O46" s="41">
        <f>Boat!Q93</f>
        <v>2.0388448275862068</v>
      </c>
      <c r="P46" s="42">
        <f>Boat!R93</f>
        <v>0</v>
      </c>
      <c r="Q46" s="95">
        <f>Boat!S93</f>
        <v>0</v>
      </c>
      <c r="R46" s="41">
        <f>Boat!T93</f>
        <v>0</v>
      </c>
      <c r="S46" s="41">
        <f>Boat!U93</f>
        <v>0</v>
      </c>
      <c r="T46" s="42">
        <f>Boat!V93</f>
        <v>0</v>
      </c>
      <c r="U46" s="95">
        <f>Boat!W93</f>
        <v>0</v>
      </c>
      <c r="V46" s="41">
        <f>Boat!X93</f>
        <v>4.0776896551724136</v>
      </c>
      <c r="W46" s="41">
        <f>Boat!Y93</f>
        <v>0</v>
      </c>
      <c r="X46" s="41">
        <f>Boat!Z93</f>
        <v>2.0388448275862068</v>
      </c>
      <c r="Y46" s="41">
        <f>Boat!AA93</f>
        <v>0</v>
      </c>
      <c r="Z46" s="42">
        <f>Boat!AB93</f>
        <v>0</v>
      </c>
      <c r="AA46" s="95">
        <f>Boat!AC93</f>
        <v>0</v>
      </c>
      <c r="AB46" s="41">
        <f>Boat!AD93</f>
        <v>0</v>
      </c>
      <c r="AC46" s="41">
        <f>Boat!AE93</f>
        <v>0</v>
      </c>
      <c r="AD46" s="41">
        <f>Boat!AF93</f>
        <v>0</v>
      </c>
      <c r="AE46" s="42">
        <f>Boat!AG93</f>
        <v>0</v>
      </c>
      <c r="AF46" s="95">
        <f>Boat!AH93</f>
        <v>0</v>
      </c>
      <c r="AG46" s="41">
        <f>Boat!AI93</f>
        <v>0</v>
      </c>
      <c r="AH46" s="41">
        <f>Boat!AJ93</f>
        <v>0</v>
      </c>
      <c r="AI46" s="41">
        <f>Boat!AK93</f>
        <v>0</v>
      </c>
      <c r="AJ46" s="41">
        <f>Boat!AL93</f>
        <v>0</v>
      </c>
      <c r="AK46" s="41">
        <f>Boat!AM93</f>
        <v>2.0388448275862068</v>
      </c>
      <c r="AL46" s="41">
        <f>Boat!AN93</f>
        <v>0</v>
      </c>
      <c r="AM46" s="41">
        <f>Boat!AO93</f>
        <v>0</v>
      </c>
      <c r="AN46" s="41">
        <f>Boat!AR93</f>
        <v>0</v>
      </c>
      <c r="AO46" s="41">
        <f>Boat!AS93</f>
        <v>0</v>
      </c>
      <c r="AP46" s="41">
        <f>Boat!AT93</f>
        <v>0</v>
      </c>
      <c r="AQ46" s="42">
        <f>Boat!AU93</f>
        <v>0</v>
      </c>
      <c r="AS46" s="95">
        <f>Boat!K92</f>
        <v>0</v>
      </c>
      <c r="AT46" s="41">
        <f>Boat!L92</f>
        <v>0</v>
      </c>
      <c r="AU46" s="41">
        <f>Boat!M92</f>
        <v>0</v>
      </c>
      <c r="AV46" s="41">
        <f>Boat!N92</f>
        <v>0</v>
      </c>
      <c r="AW46" s="41">
        <f>Boat!O92</f>
        <v>0</v>
      </c>
      <c r="AX46" s="41">
        <f>Boat!P92</f>
        <v>0</v>
      </c>
      <c r="AY46" s="41">
        <f>Boat!Q92</f>
        <v>1</v>
      </c>
      <c r="AZ46" s="42">
        <f>Boat!R92</f>
        <v>0</v>
      </c>
      <c r="BA46" s="95">
        <f>Boat!S92</f>
        <v>0</v>
      </c>
      <c r="BB46" s="41">
        <f>Boat!T92</f>
        <v>0</v>
      </c>
      <c r="BC46" s="41">
        <f>Boat!U92</f>
        <v>0</v>
      </c>
      <c r="BD46" s="42">
        <f>Boat!V92</f>
        <v>0</v>
      </c>
      <c r="BE46" s="95">
        <f>Boat!W92</f>
        <v>0</v>
      </c>
      <c r="BF46" s="41">
        <f>Boat!X92</f>
        <v>2</v>
      </c>
      <c r="BG46" s="41">
        <f>Boat!Y92</f>
        <v>0</v>
      </c>
      <c r="BH46" s="41">
        <f>Boat!Z92</f>
        <v>1</v>
      </c>
      <c r="BI46" s="41">
        <f>Boat!AA92</f>
        <v>0</v>
      </c>
      <c r="BJ46" s="42">
        <f>Boat!AB92</f>
        <v>0</v>
      </c>
      <c r="BK46" s="95">
        <f>Boat!AC92</f>
        <v>0</v>
      </c>
      <c r="BL46" s="41">
        <f>Boat!AD92</f>
        <v>0</v>
      </c>
      <c r="BM46" s="41">
        <f>Boat!AE92</f>
        <v>0</v>
      </c>
      <c r="BN46" s="41">
        <f>Boat!AF92</f>
        <v>0</v>
      </c>
      <c r="BO46" s="42">
        <f>Boat!AG92</f>
        <v>0</v>
      </c>
      <c r="BP46" s="95">
        <f>Boat!AH92</f>
        <v>0</v>
      </c>
      <c r="BQ46" s="41">
        <f>Boat!AI92</f>
        <v>0</v>
      </c>
      <c r="BR46" s="41">
        <f>Boat!AJ92</f>
        <v>0</v>
      </c>
      <c r="BS46" s="41">
        <f>Boat!AK92</f>
        <v>0</v>
      </c>
      <c r="BT46" s="41">
        <f>Boat!AL92</f>
        <v>0</v>
      </c>
      <c r="BU46" s="41">
        <f>Boat!AM92</f>
        <v>1</v>
      </c>
      <c r="BV46" s="41">
        <f>Boat!AN92</f>
        <v>0</v>
      </c>
      <c r="BW46" s="41">
        <f>Boat!AO92</f>
        <v>0</v>
      </c>
      <c r="BX46" s="41">
        <f>Boat!AP92</f>
        <v>0</v>
      </c>
      <c r="BY46" s="41">
        <f>Boat!AQ92</f>
        <v>0</v>
      </c>
      <c r="BZ46" s="41">
        <f>Boat!AR92</f>
        <v>0</v>
      </c>
      <c r="CA46" s="42">
        <f>Boat!AS92</f>
        <v>0</v>
      </c>
    </row>
    <row r="47" spans="1:83" x14ac:dyDescent="0.25">
      <c r="A47" s="127" t="s">
        <v>160</v>
      </c>
      <c r="B47" s="206">
        <f>Boat!E102</f>
        <v>29</v>
      </c>
      <c r="C47" s="46">
        <f>Boat!F102</f>
        <v>55</v>
      </c>
      <c r="D47" s="129">
        <f>Boat!G102</f>
        <v>248.54000000000002</v>
      </c>
      <c r="E47" s="25"/>
      <c r="F47" s="199">
        <f>Boat!H102</f>
        <v>57.953499999999998</v>
      </c>
      <c r="G47" s="200">
        <f t="shared" ref="G47" si="70">C47/I47</f>
        <v>109.91181034482759</v>
      </c>
      <c r="H47" s="46">
        <f t="shared" ref="H47" si="71">D47/I47</f>
        <v>496.68147896551727</v>
      </c>
      <c r="I47" s="45">
        <f>Boat!I102</f>
        <v>0.50040118370762765</v>
      </c>
      <c r="J47" s="25"/>
      <c r="K47" s="95">
        <f>Boat!K103</f>
        <v>0</v>
      </c>
      <c r="L47" s="41">
        <f>Boat!L103</f>
        <v>0</v>
      </c>
      <c r="M47" s="41">
        <f>Boat!O103</f>
        <v>0</v>
      </c>
      <c r="N47" s="41">
        <f>Boat!P103</f>
        <v>0</v>
      </c>
      <c r="O47" s="41">
        <f>Boat!Q103</f>
        <v>0</v>
      </c>
      <c r="P47" s="42">
        <f>Boat!R103</f>
        <v>0</v>
      </c>
      <c r="Q47" s="95">
        <f>Boat!S103</f>
        <v>0</v>
      </c>
      <c r="R47" s="41">
        <f>Boat!T103</f>
        <v>0</v>
      </c>
      <c r="S47" s="41">
        <f>Boat!U103</f>
        <v>0</v>
      </c>
      <c r="T47" s="42">
        <f>Boat!V103</f>
        <v>1.998396551724138</v>
      </c>
      <c r="U47" s="95">
        <f>Boat!W103</f>
        <v>1.998396551724138</v>
      </c>
      <c r="V47" s="41">
        <f>Boat!X103</f>
        <v>0</v>
      </c>
      <c r="W47" s="41">
        <f>Boat!Y103</f>
        <v>1.998396551724138</v>
      </c>
      <c r="X47" s="41">
        <f>Boat!Z103</f>
        <v>0</v>
      </c>
      <c r="Y47" s="41">
        <f>Boat!AA103</f>
        <v>0</v>
      </c>
      <c r="Z47" s="42">
        <f>Boat!AB103</f>
        <v>1.998396551724138</v>
      </c>
      <c r="AA47" s="95">
        <f>Boat!AC103</f>
        <v>0</v>
      </c>
      <c r="AB47" s="41">
        <f>Boat!AD103</f>
        <v>0</v>
      </c>
      <c r="AC47" s="41">
        <f>Boat!AE103</f>
        <v>0</v>
      </c>
      <c r="AD47" s="41">
        <f>Boat!AF103</f>
        <v>0</v>
      </c>
      <c r="AE47" s="42">
        <f>Boat!AG103</f>
        <v>0</v>
      </c>
      <c r="AF47" s="95">
        <f>Boat!AH103</f>
        <v>0</v>
      </c>
      <c r="AG47" s="41">
        <f>Boat!AI103</f>
        <v>0</v>
      </c>
      <c r="AH47" s="41">
        <f>Boat!AJ103</f>
        <v>0</v>
      </c>
      <c r="AI47" s="41">
        <f>Boat!AK103</f>
        <v>0</v>
      </c>
      <c r="AJ47" s="41">
        <f>Boat!AL103</f>
        <v>0</v>
      </c>
      <c r="AK47" s="41">
        <f>Boat!AM103</f>
        <v>1.998396551724138</v>
      </c>
      <c r="AL47" s="41">
        <f>Boat!AN103</f>
        <v>0</v>
      </c>
      <c r="AM47" s="41">
        <f>Boat!AO103</f>
        <v>0</v>
      </c>
      <c r="AN47" s="41">
        <f>Boat!AR103</f>
        <v>0</v>
      </c>
      <c r="AO47" s="41">
        <f>Boat!AS103</f>
        <v>0</v>
      </c>
      <c r="AP47" s="41">
        <f>Boat!AT103</f>
        <v>0</v>
      </c>
      <c r="AQ47" s="42">
        <f>Boat!AU103</f>
        <v>0</v>
      </c>
      <c r="AS47" s="95">
        <f>Boat!K102</f>
        <v>0</v>
      </c>
      <c r="AT47" s="41">
        <f>Boat!L102</f>
        <v>0</v>
      </c>
      <c r="AU47" s="41">
        <f>Boat!M102</f>
        <v>0</v>
      </c>
      <c r="AV47" s="41">
        <f>Boat!N102</f>
        <v>0</v>
      </c>
      <c r="AW47" s="41">
        <f>Boat!O102</f>
        <v>0</v>
      </c>
      <c r="AX47" s="41">
        <f>Boat!P102</f>
        <v>0</v>
      </c>
      <c r="AY47" s="41">
        <f>Boat!Q102</f>
        <v>0</v>
      </c>
      <c r="AZ47" s="42">
        <f>Boat!R102</f>
        <v>0</v>
      </c>
      <c r="BA47" s="95">
        <f>Boat!S101</f>
        <v>0</v>
      </c>
      <c r="BB47" s="41">
        <f>Boat!T101</f>
        <v>0</v>
      </c>
      <c r="BC47" s="41">
        <f>Boat!U101</f>
        <v>0</v>
      </c>
      <c r="BD47" s="42">
        <f>Boat!V101</f>
        <v>0</v>
      </c>
      <c r="BE47" s="95">
        <f>Boat!W101</f>
        <v>0</v>
      </c>
      <c r="BF47" s="41">
        <f>Boat!X101</f>
        <v>0</v>
      </c>
      <c r="BG47" s="41">
        <f>Boat!Y101</f>
        <v>0</v>
      </c>
      <c r="BH47" s="41">
        <f>Boat!Z101</f>
        <v>0</v>
      </c>
      <c r="BI47" s="41">
        <f>Boat!AA101</f>
        <v>0</v>
      </c>
      <c r="BJ47" s="42">
        <f>Boat!AB101</f>
        <v>0</v>
      </c>
      <c r="BK47" s="95">
        <f>Boat!AC101</f>
        <v>0</v>
      </c>
      <c r="BL47" s="41">
        <f>Boat!AD101</f>
        <v>0</v>
      </c>
      <c r="BM47" s="41">
        <f>Boat!AE101</f>
        <v>0</v>
      </c>
      <c r="BN47" s="41">
        <f>Boat!AF101</f>
        <v>0</v>
      </c>
      <c r="BO47" s="42">
        <f>Boat!AG101</f>
        <v>0</v>
      </c>
      <c r="BP47" s="95">
        <f>Boat!AH101</f>
        <v>0</v>
      </c>
      <c r="BQ47" s="41">
        <f>Boat!AI101</f>
        <v>0</v>
      </c>
      <c r="BR47" s="41">
        <f>Boat!AJ101</f>
        <v>0</v>
      </c>
      <c r="BS47" s="41">
        <f>Boat!AK101</f>
        <v>0</v>
      </c>
      <c r="BT47" s="41">
        <f>Boat!AL101</f>
        <v>0</v>
      </c>
      <c r="BU47" s="41">
        <f>Boat!AM101</f>
        <v>0</v>
      </c>
      <c r="BV47" s="41">
        <f>Boat!AN101</f>
        <v>0</v>
      </c>
      <c r="BW47" s="41">
        <f>Boat!AO101</f>
        <v>0</v>
      </c>
      <c r="BX47" s="41">
        <f>Boat!AP101</f>
        <v>0</v>
      </c>
      <c r="BY47" s="41">
        <f>Boat!AQ101</f>
        <v>0</v>
      </c>
      <c r="BZ47" s="41">
        <f>Boat!AR101</f>
        <v>0</v>
      </c>
      <c r="CA47" s="42">
        <f>Boat!AS101</f>
        <v>0</v>
      </c>
      <c r="CC47" s="2">
        <f>SUM(AS47:AZ47)</f>
        <v>0</v>
      </c>
      <c r="CD47" s="232" t="e">
        <f>D47/CC47</f>
        <v>#DIV/0!</v>
      </c>
      <c r="CE47">
        <f>CC47/B47</f>
        <v>0</v>
      </c>
    </row>
    <row r="48" spans="1:83" x14ac:dyDescent="0.25">
      <c r="A48" s="127" t="s">
        <v>161</v>
      </c>
      <c r="B48" s="206">
        <f>Boat!E112</f>
        <v>17</v>
      </c>
      <c r="C48" s="46">
        <f>Boat!F112</f>
        <v>32</v>
      </c>
      <c r="D48" s="129">
        <f>Boat!G112</f>
        <v>143.36000000000001</v>
      </c>
      <c r="E48" s="25"/>
      <c r="F48" s="199">
        <f>Boat!H112</f>
        <v>43.818500000000007</v>
      </c>
      <c r="G48" s="200">
        <f t="shared" ref="G48:G51" si="72">C48/I48</f>
        <v>82.481882352941184</v>
      </c>
      <c r="H48" s="46">
        <f t="shared" ref="H48:H51" si="73">D48/I48</f>
        <v>369.51883294117658</v>
      </c>
      <c r="I48" s="45">
        <f>Boat!I112</f>
        <v>0.38796398781336644</v>
      </c>
      <c r="J48" s="25"/>
      <c r="K48" s="95">
        <f>Boat!K113</f>
        <v>0</v>
      </c>
      <c r="L48" s="41">
        <f>Boat!L113</f>
        <v>0</v>
      </c>
      <c r="M48" s="41">
        <f>Boat!O113</f>
        <v>0</v>
      </c>
      <c r="N48" s="41">
        <f>Boat!P113</f>
        <v>0</v>
      </c>
      <c r="O48" s="41">
        <f>Boat!Q113</f>
        <v>5.155117647058824</v>
      </c>
      <c r="P48" s="42">
        <f>Boat!R113</f>
        <v>0</v>
      </c>
      <c r="Q48" s="95">
        <f>Boat!S113</f>
        <v>0</v>
      </c>
      <c r="R48" s="41">
        <f>Boat!T113</f>
        <v>0</v>
      </c>
      <c r="S48" s="41">
        <f>Boat!U113</f>
        <v>0</v>
      </c>
      <c r="T48" s="42">
        <f>Boat!V113</f>
        <v>0</v>
      </c>
      <c r="U48" s="95">
        <f>Boat!W113</f>
        <v>0</v>
      </c>
      <c r="V48" s="41">
        <f>Boat!X113</f>
        <v>0</v>
      </c>
      <c r="W48" s="41">
        <f>Boat!Y113</f>
        <v>2.577558823529412</v>
      </c>
      <c r="X48" s="41">
        <f>Boat!Z113</f>
        <v>2.577558823529412</v>
      </c>
      <c r="Y48" s="41">
        <f>Boat!AA113</f>
        <v>0</v>
      </c>
      <c r="Z48" s="42">
        <f>Boat!AB113</f>
        <v>0</v>
      </c>
      <c r="AA48" s="95">
        <f>Boat!AC113</f>
        <v>0</v>
      </c>
      <c r="AB48" s="41">
        <f>Boat!AD113</f>
        <v>0</v>
      </c>
      <c r="AC48" s="41">
        <f>Boat!AE113</f>
        <v>0</v>
      </c>
      <c r="AD48" s="41">
        <f>Boat!AF113</f>
        <v>0</v>
      </c>
      <c r="AE48" s="42">
        <f>Boat!AG113</f>
        <v>0</v>
      </c>
      <c r="AF48" s="95">
        <f>Boat!AH113</f>
        <v>0</v>
      </c>
      <c r="AG48" s="41">
        <f>Boat!AI113</f>
        <v>0</v>
      </c>
      <c r="AH48" s="41">
        <f>Boat!AJ113</f>
        <v>0</v>
      </c>
      <c r="AI48" s="41">
        <f>Boat!AK113</f>
        <v>0</v>
      </c>
      <c r="AJ48" s="41">
        <f>Boat!AL113</f>
        <v>0</v>
      </c>
      <c r="AK48" s="41">
        <f>Boat!AM113</f>
        <v>2.577558823529412</v>
      </c>
      <c r="AL48" s="41">
        <f>Boat!AN113</f>
        <v>0</v>
      </c>
      <c r="AM48" s="41">
        <f>Boat!AO113</f>
        <v>0</v>
      </c>
      <c r="AN48" s="41">
        <f>Boat!AR113</f>
        <v>0</v>
      </c>
      <c r="AO48" s="41">
        <f>Boat!AS113</f>
        <v>0</v>
      </c>
      <c r="AP48" s="41">
        <f>Boat!AT113</f>
        <v>0</v>
      </c>
      <c r="AQ48" s="42">
        <f>Boat!AU113</f>
        <v>2.577558823529412</v>
      </c>
      <c r="AS48" s="95">
        <f>Boat!K112</f>
        <v>0</v>
      </c>
      <c r="AT48" s="41">
        <f>Boat!L112</f>
        <v>0</v>
      </c>
      <c r="AU48" s="41">
        <f>Boat!M112</f>
        <v>0</v>
      </c>
      <c r="AV48" s="41">
        <f>Boat!N112</f>
        <v>0</v>
      </c>
      <c r="AW48" s="41">
        <f>Boat!O112</f>
        <v>0</v>
      </c>
      <c r="AX48" s="41">
        <f>Boat!P112</f>
        <v>0</v>
      </c>
      <c r="AY48" s="41">
        <f>Boat!Q112</f>
        <v>2</v>
      </c>
      <c r="AZ48" s="42">
        <f>Boat!R112</f>
        <v>0</v>
      </c>
      <c r="BA48" s="95">
        <f>Boat!S103</f>
        <v>0</v>
      </c>
      <c r="BB48" s="41">
        <f>Boat!T103</f>
        <v>0</v>
      </c>
      <c r="BC48" s="41">
        <f>Boat!U103</f>
        <v>0</v>
      </c>
      <c r="BD48" s="42">
        <f>Boat!V103</f>
        <v>1.998396551724138</v>
      </c>
      <c r="BE48" s="95">
        <f>Boat!W113</f>
        <v>0</v>
      </c>
      <c r="BF48" s="41">
        <f>Boat!X103</f>
        <v>0</v>
      </c>
      <c r="BG48" s="41">
        <f>Boat!Y103</f>
        <v>1.998396551724138</v>
      </c>
      <c r="BH48" s="41">
        <f>Boat!Z103</f>
        <v>0</v>
      </c>
      <c r="BI48" s="41">
        <f>Boat!AA103</f>
        <v>0</v>
      </c>
      <c r="BJ48" s="42">
        <f>Boat!AB103</f>
        <v>1.998396551724138</v>
      </c>
      <c r="BK48" s="41">
        <f>Boat!AC103</f>
        <v>0</v>
      </c>
      <c r="BL48" s="41">
        <f>Boat!AD103</f>
        <v>0</v>
      </c>
      <c r="BM48" s="41">
        <f>Boat!AE103</f>
        <v>0</v>
      </c>
      <c r="BN48" s="41">
        <f>Boat!AF103</f>
        <v>0</v>
      </c>
      <c r="BO48" s="41">
        <f>Boat!AG103</f>
        <v>0</v>
      </c>
      <c r="BP48" s="95">
        <f>Boat!AH103</f>
        <v>0</v>
      </c>
      <c r="BQ48" s="41">
        <f>Boat!AI103</f>
        <v>0</v>
      </c>
      <c r="BR48" s="41">
        <f>Boat!AJ103</f>
        <v>0</v>
      </c>
      <c r="BS48" s="41">
        <f>Boat!AK103</f>
        <v>0</v>
      </c>
      <c r="BT48" s="41">
        <f>Boat!AL103</f>
        <v>0</v>
      </c>
      <c r="BU48" s="41">
        <f>Boat!AM103</f>
        <v>1.998396551724138</v>
      </c>
      <c r="BV48" s="41">
        <f>Boat!AN103</f>
        <v>0</v>
      </c>
      <c r="BW48" s="41">
        <f>Boat!AO103</f>
        <v>0</v>
      </c>
      <c r="BX48" s="41">
        <f>Boat!AR103</f>
        <v>0</v>
      </c>
      <c r="BY48" s="41">
        <f>Boat!AS103</f>
        <v>0</v>
      </c>
      <c r="BZ48" s="41">
        <f>Boat!AT103</f>
        <v>0</v>
      </c>
      <c r="CA48" s="42">
        <f>Boat!AU103</f>
        <v>0</v>
      </c>
      <c r="CC48" s="2"/>
      <c r="CD48" s="232"/>
    </row>
    <row r="49" spans="1:83" x14ac:dyDescent="0.25">
      <c r="A49" s="127" t="s">
        <v>162</v>
      </c>
      <c r="B49" s="206">
        <f>Boat!E122</f>
        <v>26</v>
      </c>
      <c r="C49" s="46">
        <f>Boat!F122</f>
        <v>56</v>
      </c>
      <c r="D49" s="129">
        <f>Boat!G122</f>
        <v>302.31</v>
      </c>
      <c r="E49" s="25"/>
      <c r="F49" s="199">
        <f>Boat!H122</f>
        <v>37.5991</v>
      </c>
      <c r="G49" s="200">
        <f t="shared" si="72"/>
        <v>80.982676923076923</v>
      </c>
      <c r="H49" s="46">
        <f t="shared" si="73"/>
        <v>437.17630465384616</v>
      </c>
      <c r="I49" s="45">
        <f>Boat!I122</f>
        <v>0.69150591370538128</v>
      </c>
      <c r="J49" s="25"/>
      <c r="K49" s="95">
        <f>Boat!K123</f>
        <v>1.4461192307692308</v>
      </c>
      <c r="L49" s="41">
        <f>Boat!L123</f>
        <v>0</v>
      </c>
      <c r="M49" s="41">
        <f>Boat!O123</f>
        <v>0</v>
      </c>
      <c r="N49" s="41">
        <f>Boat!P123</f>
        <v>0</v>
      </c>
      <c r="O49" s="41">
        <f>Boat!Q123</f>
        <v>4.3383576923076923</v>
      </c>
      <c r="P49" s="42">
        <f>Boat!R123</f>
        <v>0</v>
      </c>
      <c r="Q49" s="95">
        <f>Boat!S123</f>
        <v>1.4461192307692308</v>
      </c>
      <c r="R49" s="41">
        <f>Boat!T123</f>
        <v>1.4461192307692308</v>
      </c>
      <c r="S49" s="41">
        <f>Boat!U123</f>
        <v>0</v>
      </c>
      <c r="T49" s="42">
        <f>Boat!V123</f>
        <v>0</v>
      </c>
      <c r="U49" s="95">
        <f>Boat!W123</f>
        <v>4.3383576923076923</v>
      </c>
      <c r="V49" s="41">
        <f>Boat!X123</f>
        <v>1.4461192307692308</v>
      </c>
      <c r="W49" s="41">
        <f>Boat!Y123</f>
        <v>1.4461192307692308</v>
      </c>
      <c r="X49" s="41">
        <f>Boat!Z123</f>
        <v>2.8922384615384615</v>
      </c>
      <c r="Y49" s="41">
        <f>Boat!AA123</f>
        <v>0</v>
      </c>
      <c r="Z49" s="42">
        <f>Boat!AB123</f>
        <v>1.4461192307692308</v>
      </c>
      <c r="AA49" s="95">
        <f>Boat!AC123</f>
        <v>0</v>
      </c>
      <c r="AB49" s="41">
        <f>Boat!AD123</f>
        <v>0</v>
      </c>
      <c r="AC49" s="41">
        <f>Boat!AE123</f>
        <v>0</v>
      </c>
      <c r="AD49" s="41">
        <f>Boat!AF123</f>
        <v>0</v>
      </c>
      <c r="AE49" s="42">
        <f>Boat!AG123</f>
        <v>0</v>
      </c>
      <c r="AF49" s="95">
        <f>Boat!AH123</f>
        <v>0</v>
      </c>
      <c r="AG49" s="41">
        <f>Boat!AI123</f>
        <v>0</v>
      </c>
      <c r="AH49" s="41">
        <f>Boat!AJ123</f>
        <v>0</v>
      </c>
      <c r="AI49" s="41">
        <f>Boat!AK123</f>
        <v>0</v>
      </c>
      <c r="AJ49" s="41">
        <f>Boat!AL123</f>
        <v>0</v>
      </c>
      <c r="AK49" s="41">
        <f>Boat!AM123</f>
        <v>5.7844769230769231</v>
      </c>
      <c r="AL49" s="41">
        <f>Boat!AN123</f>
        <v>0</v>
      </c>
      <c r="AM49" s="41">
        <f>Boat!AO123</f>
        <v>0</v>
      </c>
      <c r="AN49" s="41">
        <f>Boat!AR123</f>
        <v>0</v>
      </c>
      <c r="AO49" s="41">
        <f>Boat!AS123</f>
        <v>0</v>
      </c>
      <c r="AP49" s="41">
        <f>Boat!AT123</f>
        <v>0</v>
      </c>
      <c r="AQ49" s="42">
        <f>Boat!AU123</f>
        <v>4.3383576923076923</v>
      </c>
      <c r="AS49" s="95">
        <f>Boat!K122</f>
        <v>1</v>
      </c>
      <c r="AT49" s="41">
        <f>Boat!L122</f>
        <v>0</v>
      </c>
      <c r="AU49" s="41">
        <f>Boat!M122</f>
        <v>0</v>
      </c>
      <c r="AV49" s="41">
        <f>Boat!N122</f>
        <v>0</v>
      </c>
      <c r="AW49" s="41">
        <f>Boat!O122</f>
        <v>0</v>
      </c>
      <c r="AX49" s="41">
        <f>Boat!P122</f>
        <v>0</v>
      </c>
      <c r="AY49" s="41">
        <f>Boat!Q122</f>
        <v>3</v>
      </c>
      <c r="AZ49" s="42">
        <f>Boat!R122</f>
        <v>0</v>
      </c>
      <c r="BA49" s="95">
        <f>Boat!S104</f>
        <v>0</v>
      </c>
      <c r="BB49" s="41">
        <f>Boat!T104</f>
        <v>0</v>
      </c>
      <c r="BC49" s="41">
        <f>Boat!U104</f>
        <v>0</v>
      </c>
      <c r="BD49" s="42">
        <f>Boat!V104</f>
        <v>0</v>
      </c>
      <c r="BE49" s="41">
        <f>Boat!W104</f>
        <v>0</v>
      </c>
      <c r="BF49" s="41">
        <f>Boat!X104</f>
        <v>0</v>
      </c>
      <c r="BG49" s="41">
        <f>Boat!Y104</f>
        <v>0</v>
      </c>
      <c r="BH49" s="41">
        <f>Boat!Z104</f>
        <v>0</v>
      </c>
      <c r="BI49" s="41">
        <f>Boat!AA104</f>
        <v>0</v>
      </c>
      <c r="BJ49" s="42">
        <f>Boat!AB104</f>
        <v>0</v>
      </c>
      <c r="BK49" s="41">
        <f>Boat!AC104</f>
        <v>0</v>
      </c>
      <c r="BL49" s="41">
        <f>Boat!AD104</f>
        <v>0</v>
      </c>
      <c r="BM49" s="41">
        <f>Boat!AE104</f>
        <v>0</v>
      </c>
      <c r="BN49" s="41">
        <f>Boat!AF104</f>
        <v>0</v>
      </c>
      <c r="BO49" s="41">
        <f>Boat!AG104</f>
        <v>0</v>
      </c>
      <c r="BP49" s="95">
        <f>Boat!AH104</f>
        <v>0</v>
      </c>
      <c r="BQ49" s="41">
        <f>Boat!AI104</f>
        <v>0</v>
      </c>
      <c r="BR49" s="41">
        <f>Boat!AJ104</f>
        <v>0</v>
      </c>
      <c r="BS49" s="41">
        <f>Boat!AK104</f>
        <v>0</v>
      </c>
      <c r="BT49" s="41">
        <f>Boat!AL104</f>
        <v>0</v>
      </c>
      <c r="BU49" s="41">
        <f>Boat!AM104</f>
        <v>0</v>
      </c>
      <c r="BV49" s="41">
        <f>Boat!AN104</f>
        <v>0</v>
      </c>
      <c r="BW49" s="41">
        <f>Boat!AO104</f>
        <v>0</v>
      </c>
      <c r="BX49" s="41">
        <f>Boat!AR104</f>
        <v>0</v>
      </c>
      <c r="BY49" s="41">
        <f>Boat!AS104</f>
        <v>0</v>
      </c>
      <c r="BZ49" s="41">
        <f>Boat!AT104</f>
        <v>0</v>
      </c>
      <c r="CA49" s="42">
        <f>Boat!AU104</f>
        <v>0</v>
      </c>
      <c r="CC49" s="2"/>
      <c r="CD49" s="232"/>
    </row>
    <row r="50" spans="1:83" x14ac:dyDescent="0.25">
      <c r="A50" s="127" t="s">
        <v>163</v>
      </c>
      <c r="B50" s="206">
        <f>Boat!E132</f>
        <v>14</v>
      </c>
      <c r="C50" s="46">
        <f>Boat!F132</f>
        <v>25</v>
      </c>
      <c r="D50" s="129">
        <f>Boat!G132</f>
        <v>100.24000000000001</v>
      </c>
      <c r="E50" s="25"/>
      <c r="F50" s="199">
        <f>Boat!H132</f>
        <v>42.405000000000001</v>
      </c>
      <c r="G50" s="200">
        <f t="shared" si="72"/>
        <v>75.723214285714292</v>
      </c>
      <c r="H50" s="46">
        <f t="shared" si="73"/>
        <v>303.6198</v>
      </c>
      <c r="I50" s="45">
        <f>Boat!I132</f>
        <v>0.33014974649215895</v>
      </c>
      <c r="J50" s="25"/>
      <c r="K50" s="95">
        <f>Boat!K133</f>
        <v>0</v>
      </c>
      <c r="L50" s="41">
        <f>Boat!L133</f>
        <v>0</v>
      </c>
      <c r="M50" s="41">
        <f>Boat!O133</f>
        <v>6.0578571428571424</v>
      </c>
      <c r="N50" s="41">
        <f>Boat!P133</f>
        <v>0</v>
      </c>
      <c r="O50" s="41">
        <f>Boat!Q133</f>
        <v>3.0289285714285712</v>
      </c>
      <c r="P50" s="42">
        <f>Boat!R133</f>
        <v>0</v>
      </c>
      <c r="Q50" s="95">
        <f>Boat!S133</f>
        <v>6.0578571428571424</v>
      </c>
      <c r="R50" s="41">
        <f>Boat!T133</f>
        <v>3.0289285714285712</v>
      </c>
      <c r="S50" s="41">
        <f>Boat!U133</f>
        <v>0</v>
      </c>
      <c r="T50" s="42">
        <f>Boat!V133</f>
        <v>0</v>
      </c>
      <c r="U50" s="95">
        <f>Boat!W133</f>
        <v>0</v>
      </c>
      <c r="V50" s="41">
        <f>Boat!X133</f>
        <v>3.0289285714285712</v>
      </c>
      <c r="W50" s="41">
        <f>Boat!Y133</f>
        <v>0</v>
      </c>
      <c r="X50" s="41">
        <f>Boat!Z133</f>
        <v>0</v>
      </c>
      <c r="Y50" s="41">
        <f>Boat!AA133</f>
        <v>0</v>
      </c>
      <c r="Z50" s="42">
        <f>Boat!AB133</f>
        <v>0</v>
      </c>
      <c r="AA50" s="95">
        <f>Boat!AC133</f>
        <v>0</v>
      </c>
      <c r="AB50" s="41">
        <f>Boat!AD133</f>
        <v>0</v>
      </c>
      <c r="AC50" s="41">
        <f>Boat!AE133</f>
        <v>0</v>
      </c>
      <c r="AD50" s="41">
        <f>Boat!AF133</f>
        <v>0</v>
      </c>
      <c r="AE50" s="42">
        <f>Boat!AG133</f>
        <v>0</v>
      </c>
      <c r="AF50" s="95">
        <f>Boat!AH133</f>
        <v>0</v>
      </c>
      <c r="AG50" s="41">
        <f>Boat!AI133</f>
        <v>3.0289285714285712</v>
      </c>
      <c r="AH50" s="41">
        <f>Boat!AJ133</f>
        <v>0</v>
      </c>
      <c r="AI50" s="41">
        <f>Boat!AK133</f>
        <v>0</v>
      </c>
      <c r="AJ50" s="41">
        <f>Boat!AL133</f>
        <v>0</v>
      </c>
      <c r="AK50" s="41">
        <f>Boat!AM133</f>
        <v>3.0289285714285712</v>
      </c>
      <c r="AL50" s="41">
        <f>Boat!AN133</f>
        <v>0</v>
      </c>
      <c r="AM50" s="41">
        <f>Boat!AO133</f>
        <v>0</v>
      </c>
      <c r="AN50" s="41">
        <f>Boat!AR133</f>
        <v>0</v>
      </c>
      <c r="AO50" s="41">
        <f>Boat!AS133</f>
        <v>0</v>
      </c>
      <c r="AP50" s="41">
        <f>Boat!AT133</f>
        <v>0</v>
      </c>
      <c r="AQ50" s="42">
        <f>Boat!AU133</f>
        <v>3.0289285714285712</v>
      </c>
      <c r="AS50" s="95">
        <f>Boat!K132</f>
        <v>0</v>
      </c>
      <c r="AT50" s="41">
        <f>Boat!L132</f>
        <v>0</v>
      </c>
      <c r="AU50" s="41">
        <f>Boat!M132</f>
        <v>0</v>
      </c>
      <c r="AV50" s="41">
        <f>Boat!N132</f>
        <v>0</v>
      </c>
      <c r="AW50" s="41">
        <f>Boat!O132</f>
        <v>2</v>
      </c>
      <c r="AX50" s="41">
        <f>Boat!P132</f>
        <v>0</v>
      </c>
      <c r="AY50" s="41">
        <f>Boat!Q132</f>
        <v>1</v>
      </c>
      <c r="AZ50" s="42">
        <f>Boat!R132</f>
        <v>0</v>
      </c>
      <c r="BA50" s="95">
        <f>Boat!S105</f>
        <v>0</v>
      </c>
      <c r="BB50" s="41">
        <f>Boat!T105</f>
        <v>0</v>
      </c>
      <c r="BC50" s="41">
        <f>Boat!U105</f>
        <v>0</v>
      </c>
      <c r="BD50" s="42">
        <f>Boat!V105</f>
        <v>0</v>
      </c>
      <c r="BE50" s="41">
        <f>Boat!W105</f>
        <v>0</v>
      </c>
      <c r="BF50" s="41">
        <f>Boat!X105</f>
        <v>0</v>
      </c>
      <c r="BG50" s="41">
        <f>Boat!Y105</f>
        <v>0</v>
      </c>
      <c r="BH50" s="41">
        <f>Boat!Z105</f>
        <v>0</v>
      </c>
      <c r="BI50" s="41">
        <f>Boat!AA105</f>
        <v>0</v>
      </c>
      <c r="BJ50" s="42">
        <f>Boat!AB105</f>
        <v>0</v>
      </c>
      <c r="BK50" s="41">
        <f>Boat!AC105</f>
        <v>0</v>
      </c>
      <c r="BL50" s="41">
        <f>Boat!AD105</f>
        <v>0</v>
      </c>
      <c r="BM50" s="41">
        <f>Boat!AE105</f>
        <v>0</v>
      </c>
      <c r="BN50" s="41">
        <f>Boat!AF105</f>
        <v>0</v>
      </c>
      <c r="BO50" s="41">
        <f>Boat!AG105</f>
        <v>0</v>
      </c>
      <c r="BP50" s="95">
        <f>Boat!AH105</f>
        <v>0</v>
      </c>
      <c r="BQ50" s="41">
        <f>Boat!AI105</f>
        <v>0</v>
      </c>
      <c r="BR50" s="41">
        <f>Boat!AJ105</f>
        <v>0</v>
      </c>
      <c r="BS50" s="41">
        <f>Boat!AK105</f>
        <v>0</v>
      </c>
      <c r="BT50" s="41">
        <f>Boat!AL105</f>
        <v>0</v>
      </c>
      <c r="BU50" s="41">
        <f>Boat!AM105</f>
        <v>0</v>
      </c>
      <c r="BV50" s="41">
        <f>Boat!AN105</f>
        <v>0</v>
      </c>
      <c r="BW50" s="41">
        <f>Boat!AO105</f>
        <v>0</v>
      </c>
      <c r="BX50" s="41">
        <f>Boat!AR105</f>
        <v>0</v>
      </c>
      <c r="BY50" s="41">
        <f>Boat!AS105</f>
        <v>0</v>
      </c>
      <c r="BZ50" s="41">
        <f>Boat!AT105</f>
        <v>0</v>
      </c>
      <c r="CA50" s="42">
        <f>Boat!AU105</f>
        <v>0</v>
      </c>
      <c r="CC50" s="2"/>
      <c r="CD50" s="232"/>
    </row>
    <row r="51" spans="1:83" x14ac:dyDescent="0.25">
      <c r="A51" s="127" t="s">
        <v>164</v>
      </c>
      <c r="B51" s="206">
        <f>Boat!E142</f>
        <v>4</v>
      </c>
      <c r="C51" s="46">
        <f>Boat!F142</f>
        <v>4</v>
      </c>
      <c r="D51" s="129">
        <f>Boat!G142</f>
        <v>16.869999999999997</v>
      </c>
      <c r="E51" s="25"/>
      <c r="F51" s="199">
        <f>Boat!H142</f>
        <v>14.894500000000001</v>
      </c>
      <c r="G51" s="200">
        <f t="shared" si="72"/>
        <v>14.894500000000001</v>
      </c>
      <c r="H51" s="46">
        <f t="shared" si="73"/>
        <v>62.817553749999995</v>
      </c>
      <c r="I51" s="45">
        <f>Boat!I142</f>
        <v>0.26855550706636677</v>
      </c>
      <c r="J51" s="25"/>
      <c r="K51" s="95">
        <f>Boat!K143</f>
        <v>0</v>
      </c>
      <c r="L51" s="41">
        <f>Boat!L143</f>
        <v>0</v>
      </c>
      <c r="M51" s="41">
        <f>Boat!O143</f>
        <v>0</v>
      </c>
      <c r="N51" s="41">
        <f>Boat!P143</f>
        <v>0</v>
      </c>
      <c r="O51" s="41">
        <f>Boat!Q143</f>
        <v>0</v>
      </c>
      <c r="P51" s="42">
        <f>Boat!R143</f>
        <v>0</v>
      </c>
      <c r="Q51" s="95">
        <f>Boat!S143</f>
        <v>7.4472500000000004</v>
      </c>
      <c r="R51" s="41">
        <f>Boat!T143</f>
        <v>3.7236250000000002</v>
      </c>
      <c r="S51" s="41">
        <f>Boat!U143</f>
        <v>0</v>
      </c>
      <c r="T51" s="42">
        <f>Boat!V143</f>
        <v>0</v>
      </c>
      <c r="U51" s="95">
        <f>Boat!W143</f>
        <v>3.7236250000000002</v>
      </c>
      <c r="V51" s="41">
        <f>Boat!X143</f>
        <v>0</v>
      </c>
      <c r="W51" s="41">
        <f>Boat!Y143</f>
        <v>0</v>
      </c>
      <c r="X51" s="41">
        <f>Boat!Z143</f>
        <v>0</v>
      </c>
      <c r="Y51" s="41">
        <f>Boat!AA143</f>
        <v>0</v>
      </c>
      <c r="Z51" s="42">
        <f>Boat!AB143</f>
        <v>3.7236250000000002</v>
      </c>
      <c r="AA51" s="95">
        <f>Boat!AC143</f>
        <v>0</v>
      </c>
      <c r="AB51" s="41">
        <f>Boat!AD143</f>
        <v>0</v>
      </c>
      <c r="AC51" s="41">
        <f>Boat!AE143</f>
        <v>0</v>
      </c>
      <c r="AD51" s="41">
        <f>Boat!AF143</f>
        <v>0</v>
      </c>
      <c r="AE51" s="42">
        <f>Boat!AG143</f>
        <v>0</v>
      </c>
      <c r="AF51" s="95">
        <f>Boat!AH143</f>
        <v>0</v>
      </c>
      <c r="AG51" s="41">
        <f>Boat!AI143</f>
        <v>0</v>
      </c>
      <c r="AH51" s="41">
        <f>Boat!AJ143</f>
        <v>0</v>
      </c>
      <c r="AI51" s="41">
        <f>Boat!AK143</f>
        <v>0</v>
      </c>
      <c r="AJ51" s="41">
        <f>Boat!AL143</f>
        <v>0</v>
      </c>
      <c r="AK51" s="41">
        <f>Boat!AM143</f>
        <v>0</v>
      </c>
      <c r="AL51" s="41">
        <f>Boat!AN143</f>
        <v>0</v>
      </c>
      <c r="AM51" s="41">
        <f>Boat!AO143</f>
        <v>0</v>
      </c>
      <c r="AN51" s="41">
        <f>Boat!AR143</f>
        <v>0</v>
      </c>
      <c r="AO51" s="41">
        <f>Boat!AS143</f>
        <v>0</v>
      </c>
      <c r="AP51" s="41">
        <f>Boat!AT143</f>
        <v>0</v>
      </c>
      <c r="AQ51" s="42">
        <f>Boat!AU143</f>
        <v>0</v>
      </c>
      <c r="AS51" s="95">
        <f>Boat!K142</f>
        <v>0</v>
      </c>
      <c r="AT51" s="41">
        <f>Boat!L142</f>
        <v>0</v>
      </c>
      <c r="AU51" s="41">
        <f>Boat!M142</f>
        <v>0</v>
      </c>
      <c r="AV51" s="41">
        <f>Boat!N142</f>
        <v>0</v>
      </c>
      <c r="AW51" s="41">
        <f>Boat!O142</f>
        <v>0</v>
      </c>
      <c r="AX51" s="41">
        <f>Boat!P142</f>
        <v>0</v>
      </c>
      <c r="AY51" s="41">
        <f>Boat!Q142</f>
        <v>0</v>
      </c>
      <c r="AZ51" s="42">
        <f>Boat!R142</f>
        <v>0</v>
      </c>
      <c r="BA51" s="95">
        <f>Boat!S106</f>
        <v>0</v>
      </c>
      <c r="BB51" s="41">
        <f>Boat!T106</f>
        <v>0</v>
      </c>
      <c r="BC51" s="41">
        <f>Boat!U106</f>
        <v>0</v>
      </c>
      <c r="BD51" s="42">
        <f>Boat!V106</f>
        <v>0</v>
      </c>
      <c r="BE51" s="41">
        <f>Boat!W106</f>
        <v>0</v>
      </c>
      <c r="BF51" s="41">
        <f>Boat!X106</f>
        <v>0</v>
      </c>
      <c r="BG51" s="41">
        <f>Boat!Y106</f>
        <v>0</v>
      </c>
      <c r="BH51" s="41">
        <f>Boat!Z106</f>
        <v>0</v>
      </c>
      <c r="BI51" s="41">
        <f>Boat!AA106</f>
        <v>0</v>
      </c>
      <c r="BJ51" s="42">
        <f>Boat!AB106</f>
        <v>0</v>
      </c>
      <c r="BK51" s="41">
        <f>Boat!AC106</f>
        <v>0</v>
      </c>
      <c r="BL51" s="41">
        <f>Boat!AD106</f>
        <v>0</v>
      </c>
      <c r="BM51" s="41">
        <f>Boat!AE106</f>
        <v>0</v>
      </c>
      <c r="BN51" s="41">
        <f>Boat!AF106</f>
        <v>0</v>
      </c>
      <c r="BO51" s="41">
        <f>Boat!AG106</f>
        <v>0</v>
      </c>
      <c r="BP51" s="95">
        <f>Boat!AH106</f>
        <v>0</v>
      </c>
      <c r="BQ51" s="41">
        <f>Boat!AI106</f>
        <v>0</v>
      </c>
      <c r="BR51" s="41">
        <f>Boat!AJ106</f>
        <v>0</v>
      </c>
      <c r="BS51" s="41">
        <f>Boat!AK106</f>
        <v>0</v>
      </c>
      <c r="BT51" s="41">
        <f>Boat!AL106</f>
        <v>0</v>
      </c>
      <c r="BU51" s="41">
        <f>Boat!AM106</f>
        <v>0</v>
      </c>
      <c r="BV51" s="41">
        <f>Boat!AN106</f>
        <v>0</v>
      </c>
      <c r="BW51" s="41">
        <f>Boat!AO106</f>
        <v>0</v>
      </c>
      <c r="BX51" s="41">
        <f>Boat!AR106</f>
        <v>0</v>
      </c>
      <c r="BY51" s="41">
        <f>Boat!AS106</f>
        <v>0</v>
      </c>
      <c r="BZ51" s="41">
        <f>Boat!AT106</f>
        <v>0</v>
      </c>
      <c r="CA51" s="42">
        <f>Boat!AU106</f>
        <v>0</v>
      </c>
      <c r="CC51" s="2"/>
      <c r="CD51" s="232"/>
    </row>
    <row r="52" spans="1:83" x14ac:dyDescent="0.25">
      <c r="A52" s="127" t="s">
        <v>165</v>
      </c>
      <c r="B52" s="206">
        <f>Boat!E152</f>
        <v>10</v>
      </c>
      <c r="C52" s="46">
        <f>Boat!F152</f>
        <v>18</v>
      </c>
      <c r="D52" s="129">
        <f>Boat!G152</f>
        <v>86.61</v>
      </c>
      <c r="E52" s="25"/>
      <c r="F52" s="199">
        <f>Boat!H152</f>
        <v>24.158285555555555</v>
      </c>
      <c r="G52" s="200">
        <f>C52/I52</f>
        <v>43.484913999999996</v>
      </c>
      <c r="H52" s="46">
        <f>D52/I52</f>
        <v>209.23491119666664</v>
      </c>
      <c r="I52" s="45">
        <f>Boat!I152</f>
        <v>0.41393665858463008</v>
      </c>
      <c r="J52" s="25"/>
      <c r="K52" s="95">
        <f>Boat!K153</f>
        <v>16.910799888888889</v>
      </c>
      <c r="L52" s="41">
        <f>Boat!L153</f>
        <v>12.079142777777777</v>
      </c>
      <c r="M52" s="41">
        <f>Boat!O153</f>
        <v>0</v>
      </c>
      <c r="N52" s="41">
        <f>Boat!P153</f>
        <v>0</v>
      </c>
      <c r="O52" s="41">
        <f>Boat!Q153</f>
        <v>113.54394211111111</v>
      </c>
      <c r="P52" s="42">
        <f>Boat!R153</f>
        <v>0</v>
      </c>
      <c r="Q52" s="95">
        <f>Boat!S153</f>
        <v>4.8316571111111113</v>
      </c>
      <c r="R52" s="41">
        <f>Boat!T153</f>
        <v>0</v>
      </c>
      <c r="S52" s="41">
        <f>Boat!U153</f>
        <v>0</v>
      </c>
      <c r="T52" s="42">
        <f>Boat!V153</f>
        <v>0</v>
      </c>
      <c r="U52" s="95">
        <f>Boat!W153</f>
        <v>2.4158285555555556</v>
      </c>
      <c r="V52" s="41">
        <f>Boat!X153</f>
        <v>0</v>
      </c>
      <c r="W52" s="41">
        <f>Boat!Y153</f>
        <v>0</v>
      </c>
      <c r="X52" s="41">
        <f>Boat!Z153</f>
        <v>0</v>
      </c>
      <c r="Y52" s="41">
        <f>Boat!AA153</f>
        <v>0</v>
      </c>
      <c r="Z52" s="42">
        <f>Boat!AB153</f>
        <v>0</v>
      </c>
      <c r="AA52" s="95">
        <f>Boat!AC153</f>
        <v>0</v>
      </c>
      <c r="AB52" s="41">
        <f>Boat!AD153</f>
        <v>0</v>
      </c>
      <c r="AC52" s="41">
        <f>Boat!AE153</f>
        <v>0</v>
      </c>
      <c r="AD52" s="41">
        <f>Boat!AF153</f>
        <v>0</v>
      </c>
      <c r="AE52" s="42">
        <f>Boat!AG153</f>
        <v>0</v>
      </c>
      <c r="AF52" s="95">
        <f>Boat!AH153</f>
        <v>0</v>
      </c>
      <c r="AG52" s="41">
        <f>Boat!AI153</f>
        <v>0</v>
      </c>
      <c r="AH52" s="41">
        <f>Boat!AJ153</f>
        <v>0</v>
      </c>
      <c r="AI52" s="41">
        <f>Boat!AK153</f>
        <v>0</v>
      </c>
      <c r="AJ52" s="41">
        <f>Boat!AL153</f>
        <v>0</v>
      </c>
      <c r="AK52" s="41">
        <f>Boat!AM153</f>
        <v>12.079142777777777</v>
      </c>
      <c r="AL52" s="41">
        <f>Boat!AN153</f>
        <v>0</v>
      </c>
      <c r="AM52" s="41">
        <f>Boat!AO153</f>
        <v>0</v>
      </c>
      <c r="AN52" s="41">
        <f>Boat!AR153</f>
        <v>0</v>
      </c>
      <c r="AO52" s="41">
        <f>Boat!AS153</f>
        <v>0</v>
      </c>
      <c r="AP52" s="41">
        <f>Boat!AT153</f>
        <v>0</v>
      </c>
      <c r="AQ52" s="42">
        <f>Boat!AU153</f>
        <v>2.4158285555555556</v>
      </c>
      <c r="AS52" s="95">
        <f>Boat!K152</f>
        <v>7</v>
      </c>
      <c r="AT52" s="41">
        <f>Boat!L152</f>
        <v>5</v>
      </c>
      <c r="AU52" s="41">
        <f>Boat!M152</f>
        <v>0</v>
      </c>
      <c r="AV52" s="41">
        <f>Boat!N152</f>
        <v>0</v>
      </c>
      <c r="AW52" s="41">
        <f>Boat!O152</f>
        <v>0</v>
      </c>
      <c r="AX52" s="41">
        <f>Boat!P152</f>
        <v>0</v>
      </c>
      <c r="AY52" s="41">
        <f>Boat!Q152</f>
        <v>47</v>
      </c>
      <c r="AZ52" s="42">
        <f>Boat!R152</f>
        <v>0</v>
      </c>
      <c r="BA52" s="95">
        <f>Boat!S107</f>
        <v>0</v>
      </c>
      <c r="BB52" s="41">
        <f>Boat!T107</f>
        <v>0</v>
      </c>
      <c r="BC52" s="41">
        <f>Boat!U107</f>
        <v>0</v>
      </c>
      <c r="BD52" s="42">
        <f>Boat!V107</f>
        <v>0</v>
      </c>
      <c r="BE52" s="41">
        <f>Boat!W107</f>
        <v>0</v>
      </c>
      <c r="BF52" s="41">
        <f>Boat!X107</f>
        <v>0</v>
      </c>
      <c r="BG52" s="41">
        <f>Boat!Y107</f>
        <v>0</v>
      </c>
      <c r="BH52" s="41">
        <f>Boat!Z107</f>
        <v>0</v>
      </c>
      <c r="BI52" s="41">
        <f>Boat!AA107</f>
        <v>0</v>
      </c>
      <c r="BJ52" s="42">
        <f>Boat!AB107</f>
        <v>0</v>
      </c>
      <c r="BK52" s="41">
        <f>Boat!AC107</f>
        <v>0</v>
      </c>
      <c r="BL52" s="41">
        <f>Boat!AD107</f>
        <v>0</v>
      </c>
      <c r="BM52" s="41">
        <f>Boat!AE107</f>
        <v>0</v>
      </c>
      <c r="BN52" s="41">
        <f>Boat!AF107</f>
        <v>0</v>
      </c>
      <c r="BO52" s="41">
        <f>Boat!AG107</f>
        <v>0</v>
      </c>
      <c r="BP52" s="95">
        <f>Boat!AH107</f>
        <v>0</v>
      </c>
      <c r="BQ52" s="41">
        <f>Boat!AI107</f>
        <v>0</v>
      </c>
      <c r="BR52" s="41">
        <f>Boat!AJ107</f>
        <v>0</v>
      </c>
      <c r="BS52" s="41">
        <f>Boat!AK107</f>
        <v>0</v>
      </c>
      <c r="BT52" s="41">
        <f>Boat!AL107</f>
        <v>0</v>
      </c>
      <c r="BU52" s="41">
        <f>Boat!AM107</f>
        <v>0</v>
      </c>
      <c r="BV52" s="41">
        <f>Boat!AN107</f>
        <v>0</v>
      </c>
      <c r="BW52" s="41">
        <f>Boat!AO107</f>
        <v>0</v>
      </c>
      <c r="BX52" s="41">
        <f>Boat!AR107</f>
        <v>0</v>
      </c>
      <c r="BY52" s="41">
        <f>Boat!AS107</f>
        <v>0</v>
      </c>
      <c r="BZ52" s="41">
        <f>Boat!AT107</f>
        <v>0</v>
      </c>
      <c r="CA52" s="42">
        <f>Boat!AU107</f>
        <v>0</v>
      </c>
      <c r="CC52" s="2"/>
      <c r="CD52" s="232"/>
    </row>
    <row r="53" spans="1:83" x14ac:dyDescent="0.25">
      <c r="A53" s="127" t="s">
        <v>166</v>
      </c>
      <c r="B53" s="206">
        <f>Boat!E162</f>
        <v>26</v>
      </c>
      <c r="C53" s="206">
        <f>Boat!F162</f>
        <v>53</v>
      </c>
      <c r="D53" s="361">
        <f>Boat!G162</f>
        <v>210.35000000000002</v>
      </c>
      <c r="E53" s="25"/>
      <c r="F53" s="199">
        <f>Boat!H162</f>
        <v>183.42599999999999</v>
      </c>
      <c r="G53" s="200">
        <f t="shared" ref="G53:G55" si="74">C53/I53</f>
        <v>373.90684615384617</v>
      </c>
      <c r="H53" s="46">
        <f t="shared" ref="H53:H55" si="75">D53/I53</f>
        <v>1483.9868884615387</v>
      </c>
      <c r="I53" s="45">
        <f>Boat!I162</f>
        <v>0.14174653538756773</v>
      </c>
      <c r="J53" s="25"/>
      <c r="K53" s="95">
        <f>Boat!K163</f>
        <v>7.054846153846154</v>
      </c>
      <c r="L53" s="41">
        <f>Boat!L163</f>
        <v>0</v>
      </c>
      <c r="M53" s="41">
        <f>Boat!M163</f>
        <v>0</v>
      </c>
      <c r="N53" s="41">
        <f>Boat!N163</f>
        <v>0</v>
      </c>
      <c r="O53" s="41">
        <f>Boat!O163</f>
        <v>0</v>
      </c>
      <c r="P53" s="42">
        <f>Boat!P163</f>
        <v>0</v>
      </c>
      <c r="Q53" s="95">
        <f>Boat!S163</f>
        <v>0</v>
      </c>
      <c r="R53" s="41">
        <f>Boat!T163</f>
        <v>0</v>
      </c>
      <c r="S53" s="41">
        <f>Boat!U163</f>
        <v>0</v>
      </c>
      <c r="T53" s="42">
        <f>Boat!V163</f>
        <v>0</v>
      </c>
      <c r="U53" s="95">
        <f>Boat!W163</f>
        <v>0</v>
      </c>
      <c r="V53" s="41">
        <f>Boat!X163</f>
        <v>0</v>
      </c>
      <c r="W53" s="41">
        <f>Boat!Y163</f>
        <v>0</v>
      </c>
      <c r="X53" s="41">
        <f>Boat!Z163</f>
        <v>0</v>
      </c>
      <c r="Y53" s="41">
        <f>Boat!AA163</f>
        <v>0</v>
      </c>
      <c r="Z53" s="42">
        <f>Boat!AB163</f>
        <v>0</v>
      </c>
      <c r="AA53" s="95">
        <f>Boat!AC163</f>
        <v>0</v>
      </c>
      <c r="AB53" s="41">
        <f>Boat!AD163</f>
        <v>0</v>
      </c>
      <c r="AC53" s="41">
        <f>Boat!AE163</f>
        <v>0</v>
      </c>
      <c r="AD53" s="41">
        <f>Boat!AF163</f>
        <v>0</v>
      </c>
      <c r="AE53" s="42">
        <f>Boat!AG163</f>
        <v>0</v>
      </c>
      <c r="AF53" s="95">
        <f>Boat!AH163</f>
        <v>7.054846153846154</v>
      </c>
      <c r="AG53" s="41">
        <f>Boat!AI163</f>
        <v>0</v>
      </c>
      <c r="AH53" s="41">
        <f>Boat!AJ163</f>
        <v>0</v>
      </c>
      <c r="AI53" s="41">
        <f>Boat!AK163</f>
        <v>0</v>
      </c>
      <c r="AJ53" s="41">
        <f>Boat!AL163</f>
        <v>0</v>
      </c>
      <c r="AK53" s="41">
        <f>Boat!AM163</f>
        <v>7.054846153846154</v>
      </c>
      <c r="AL53" s="41">
        <f>Boat!AN163</f>
        <v>0</v>
      </c>
      <c r="AM53" s="41">
        <f>Boat!AO163</f>
        <v>0</v>
      </c>
      <c r="AN53" s="41">
        <f>Boat!AR163</f>
        <v>0</v>
      </c>
      <c r="AO53" s="41">
        <f>Boat!AS163</f>
        <v>0</v>
      </c>
      <c r="AP53" s="41">
        <f>Boat!AT163</f>
        <v>0</v>
      </c>
      <c r="AQ53" s="42">
        <f>Boat!AU163</f>
        <v>0</v>
      </c>
      <c r="AS53" s="95">
        <f>Boat!K162</f>
        <v>1</v>
      </c>
      <c r="AT53" s="41">
        <f>Boat!L162</f>
        <v>0</v>
      </c>
      <c r="AU53" s="41">
        <f>Boat!M162</f>
        <v>0</v>
      </c>
      <c r="AV53" s="41">
        <f>Boat!N162</f>
        <v>0</v>
      </c>
      <c r="AW53" s="41">
        <f>Boat!O162</f>
        <v>0</v>
      </c>
      <c r="AX53" s="41">
        <f>Boat!P162</f>
        <v>0</v>
      </c>
      <c r="AY53" s="41">
        <f>Boat!Q162</f>
        <v>13</v>
      </c>
      <c r="AZ53" s="41">
        <f>Boat!R162</f>
        <v>0</v>
      </c>
      <c r="BA53" s="95">
        <f>Boat!S108</f>
        <v>0</v>
      </c>
      <c r="BB53" s="41">
        <f>Boat!T108</f>
        <v>0</v>
      </c>
      <c r="BC53" s="41">
        <f>Boat!U108</f>
        <v>0</v>
      </c>
      <c r="BD53" s="42">
        <f>Boat!V108</f>
        <v>0</v>
      </c>
      <c r="BE53" s="41">
        <f>Boat!W108</f>
        <v>0</v>
      </c>
      <c r="BF53" s="41">
        <f>Boat!X108</f>
        <v>0</v>
      </c>
      <c r="BG53" s="41">
        <f>Boat!Y108</f>
        <v>0</v>
      </c>
      <c r="BH53" s="41">
        <f>Boat!Z108</f>
        <v>0</v>
      </c>
      <c r="BI53" s="41">
        <f>Boat!AA108</f>
        <v>0</v>
      </c>
      <c r="BJ53" s="42">
        <f>Boat!AB108</f>
        <v>0</v>
      </c>
      <c r="BK53" s="41">
        <f>Boat!AC108</f>
        <v>0</v>
      </c>
      <c r="BL53" s="41">
        <f>Boat!AD108</f>
        <v>0</v>
      </c>
      <c r="BM53" s="41">
        <f>Boat!AE108</f>
        <v>0</v>
      </c>
      <c r="BN53" s="41">
        <f>Boat!AF108</f>
        <v>0</v>
      </c>
      <c r="BO53" s="41">
        <f>Boat!AG108</f>
        <v>0</v>
      </c>
      <c r="BP53" s="95">
        <f>Boat!AH108</f>
        <v>0</v>
      </c>
      <c r="BQ53" s="41">
        <f>Boat!AI108</f>
        <v>0</v>
      </c>
      <c r="BR53" s="41">
        <f>Boat!AJ108</f>
        <v>0</v>
      </c>
      <c r="BS53" s="41">
        <f>Boat!AK108</f>
        <v>0</v>
      </c>
      <c r="BT53" s="41">
        <f>Boat!AL108</f>
        <v>0</v>
      </c>
      <c r="BU53" s="41">
        <f>Boat!AM108</f>
        <v>0</v>
      </c>
      <c r="BV53" s="41">
        <f>Boat!AN108</f>
        <v>0</v>
      </c>
      <c r="BW53" s="41">
        <f>Boat!AO108</f>
        <v>0</v>
      </c>
      <c r="BX53" s="41">
        <f>Boat!AR108</f>
        <v>0</v>
      </c>
      <c r="BY53" s="41">
        <f>Boat!AS108</f>
        <v>0</v>
      </c>
      <c r="BZ53" s="41">
        <f>Boat!AT108</f>
        <v>0</v>
      </c>
      <c r="CA53" s="42">
        <f>Boat!AU108</f>
        <v>0</v>
      </c>
      <c r="CC53" s="2"/>
      <c r="CD53" s="232"/>
    </row>
    <row r="54" spans="1:83" x14ac:dyDescent="0.25">
      <c r="A54" s="127" t="s">
        <v>167</v>
      </c>
      <c r="B54" s="206">
        <f>Boat!E172</f>
        <v>4</v>
      </c>
      <c r="C54" s="206">
        <f>Boat!F172</f>
        <v>5</v>
      </c>
      <c r="D54" s="361">
        <f>Boat!G172</f>
        <v>23.720000000000002</v>
      </c>
      <c r="E54" s="25"/>
      <c r="F54" s="199">
        <f>Boat!H172</f>
        <v>52.375500000000002</v>
      </c>
      <c r="G54" s="200">
        <f t="shared" si="74"/>
        <v>65.469374999999999</v>
      </c>
      <c r="H54" s="46">
        <f t="shared" si="75"/>
        <v>310.58671500000003</v>
      </c>
      <c r="I54" s="45">
        <f>Boat!I172</f>
        <v>7.637158595144676E-2</v>
      </c>
      <c r="J54" s="25"/>
      <c r="K54" s="95">
        <f>Boat!K173</f>
        <v>0</v>
      </c>
      <c r="L54" s="41">
        <f>Boat!L173</f>
        <v>0</v>
      </c>
      <c r="M54" s="41">
        <f>Boat!M173</f>
        <v>0</v>
      </c>
      <c r="N54" s="41">
        <f>Boat!N173</f>
        <v>0</v>
      </c>
      <c r="O54" s="41">
        <f>Boat!O173</f>
        <v>0</v>
      </c>
      <c r="P54" s="42">
        <f>Boat!P173</f>
        <v>0</v>
      </c>
      <c r="Q54" s="95">
        <f>Boat!S173</f>
        <v>0</v>
      </c>
      <c r="R54" s="41">
        <f>Boat!T173</f>
        <v>0</v>
      </c>
      <c r="S54" s="41">
        <f>Boat!U173</f>
        <v>0</v>
      </c>
      <c r="T54" s="42">
        <f>Boat!V173</f>
        <v>0</v>
      </c>
      <c r="U54" s="95">
        <f>Boat!W173</f>
        <v>0</v>
      </c>
      <c r="V54" s="41">
        <f>Boat!X173</f>
        <v>0</v>
      </c>
      <c r="W54" s="41">
        <f>Boat!Y173</f>
        <v>0</v>
      </c>
      <c r="X54" s="41">
        <f>Boat!Z173</f>
        <v>0</v>
      </c>
      <c r="Y54" s="41">
        <f>Boat!AA173</f>
        <v>0</v>
      </c>
      <c r="Z54" s="42">
        <f>Boat!AB173</f>
        <v>0</v>
      </c>
      <c r="AA54" s="95">
        <f>Boat!AC173</f>
        <v>0</v>
      </c>
      <c r="AB54" s="41">
        <f>Boat!AD173</f>
        <v>0</v>
      </c>
      <c r="AC54" s="41">
        <f>Boat!AE173</f>
        <v>0</v>
      </c>
      <c r="AD54" s="41">
        <f>Boat!AF173</f>
        <v>0</v>
      </c>
      <c r="AE54" s="42">
        <f>Boat!AG173</f>
        <v>0</v>
      </c>
      <c r="AF54" s="95">
        <f>Boat!AH173</f>
        <v>0</v>
      </c>
      <c r="AG54" s="41">
        <f>Boat!AI173</f>
        <v>0</v>
      </c>
      <c r="AH54" s="41">
        <f>Boat!AJ173</f>
        <v>0</v>
      </c>
      <c r="AI54" s="41">
        <f>Boat!AK173</f>
        <v>0</v>
      </c>
      <c r="AJ54" s="41">
        <f>Boat!AL173</f>
        <v>0</v>
      </c>
      <c r="AK54" s="41">
        <f>Boat!AM173</f>
        <v>0</v>
      </c>
      <c r="AL54" s="41">
        <f>Boat!AN173</f>
        <v>0</v>
      </c>
      <c r="AM54" s="41">
        <f>Boat!AO173</f>
        <v>0</v>
      </c>
      <c r="AN54" s="41">
        <f>Boat!AR173</f>
        <v>0</v>
      </c>
      <c r="AO54" s="41">
        <f>Boat!AS173</f>
        <v>0</v>
      </c>
      <c r="AP54" s="41">
        <f>Boat!AT173</f>
        <v>0</v>
      </c>
      <c r="AQ54" s="42">
        <f>Boat!AU173</f>
        <v>0</v>
      </c>
      <c r="AS54" s="95">
        <f>Boat!K172</f>
        <v>0</v>
      </c>
      <c r="AT54" s="41">
        <f>Boat!L172</f>
        <v>0</v>
      </c>
      <c r="AU54" s="41">
        <f>Boat!M172</f>
        <v>0</v>
      </c>
      <c r="AV54" s="41">
        <f>Boat!N172</f>
        <v>0</v>
      </c>
      <c r="AW54" s="41">
        <f>Boat!O172</f>
        <v>0</v>
      </c>
      <c r="AX54" s="41">
        <f>Boat!P172</f>
        <v>0</v>
      </c>
      <c r="AY54" s="41">
        <f>Boat!Q172</f>
        <v>4</v>
      </c>
      <c r="AZ54" s="41">
        <f>Boat!R172</f>
        <v>0</v>
      </c>
      <c r="BA54" s="95">
        <f>Boat!S109</f>
        <v>0</v>
      </c>
      <c r="BB54" s="41">
        <f>Boat!T109</f>
        <v>0</v>
      </c>
      <c r="BC54" s="41">
        <f>Boat!U109</f>
        <v>0</v>
      </c>
      <c r="BD54" s="42">
        <f>Boat!V109</f>
        <v>0</v>
      </c>
      <c r="BE54" s="41">
        <f>Boat!W109</f>
        <v>0</v>
      </c>
      <c r="BF54" s="41">
        <f>Boat!X109</f>
        <v>0</v>
      </c>
      <c r="BG54" s="41">
        <f>Boat!Y109</f>
        <v>1</v>
      </c>
      <c r="BH54" s="41">
        <f>Boat!Z109</f>
        <v>1</v>
      </c>
      <c r="BI54" s="41">
        <f>Boat!AA109</f>
        <v>0</v>
      </c>
      <c r="BJ54" s="42">
        <f>Boat!AB109</f>
        <v>0</v>
      </c>
      <c r="BK54" s="41">
        <f>Boat!AC109</f>
        <v>0</v>
      </c>
      <c r="BL54" s="41">
        <f>Boat!AD109</f>
        <v>0</v>
      </c>
      <c r="BM54" s="41">
        <f>Boat!AE109</f>
        <v>0</v>
      </c>
      <c r="BN54" s="41">
        <f>Boat!AF109</f>
        <v>0</v>
      </c>
      <c r="BO54" s="41">
        <f>Boat!AG109</f>
        <v>0</v>
      </c>
      <c r="BP54" s="95">
        <f>Boat!AH109</f>
        <v>0</v>
      </c>
      <c r="BQ54" s="41">
        <f>Boat!AI109</f>
        <v>0</v>
      </c>
      <c r="BR54" s="41">
        <f>Boat!AJ109</f>
        <v>0</v>
      </c>
      <c r="BS54" s="41">
        <f>Boat!AK109</f>
        <v>0</v>
      </c>
      <c r="BT54" s="41">
        <f>Boat!AL109</f>
        <v>0</v>
      </c>
      <c r="BU54" s="41">
        <f>Boat!AM109</f>
        <v>0</v>
      </c>
      <c r="BV54" s="41">
        <f>Boat!AN109</f>
        <v>0</v>
      </c>
      <c r="BW54" s="41">
        <f>Boat!AO109</f>
        <v>0</v>
      </c>
      <c r="BX54" s="41">
        <f>Boat!AR109</f>
        <v>0</v>
      </c>
      <c r="BY54" s="41">
        <f>Boat!AS109</f>
        <v>0</v>
      </c>
      <c r="BZ54" s="41">
        <f>Boat!AT109</f>
        <v>0</v>
      </c>
      <c r="CA54" s="42">
        <f>Boat!AU109</f>
        <v>1</v>
      </c>
      <c r="CC54" s="2"/>
      <c r="CD54" s="232"/>
    </row>
    <row r="55" spans="1:83" x14ac:dyDescent="0.25">
      <c r="A55" s="127" t="s">
        <v>168</v>
      </c>
      <c r="B55" s="206">
        <f>Boat!E182</f>
        <v>15</v>
      </c>
      <c r="C55" s="46">
        <f>Boat!F182</f>
        <v>25</v>
      </c>
      <c r="D55" s="129">
        <f>Boat!G182</f>
        <v>101.00999999999999</v>
      </c>
      <c r="E55" s="25"/>
      <c r="F55" s="199">
        <f>Boat!H182</f>
        <v>62.405000000000001</v>
      </c>
      <c r="G55" s="200">
        <f t="shared" si="74"/>
        <v>104.00833333333334</v>
      </c>
      <c r="H55" s="46">
        <f t="shared" si="75"/>
        <v>420.23526999999996</v>
      </c>
      <c r="I55" s="45">
        <f>Boat!I182</f>
        <v>0.24036535534011697</v>
      </c>
      <c r="J55" s="25"/>
      <c r="K55" s="95">
        <f>Boat!K183</f>
        <v>8.3206666666666678</v>
      </c>
      <c r="L55" s="41">
        <f>Boat!L183</f>
        <v>4.1603333333333339</v>
      </c>
      <c r="M55" s="41">
        <f>Boat!M183</f>
        <v>0</v>
      </c>
      <c r="N55" s="41">
        <f>Boat!N183</f>
        <v>0</v>
      </c>
      <c r="O55" s="41">
        <f>Boat!O183</f>
        <v>0</v>
      </c>
      <c r="P55" s="42">
        <f>Boat!P183</f>
        <v>0</v>
      </c>
      <c r="Q55" s="95">
        <f>Boat!Q183</f>
        <v>49.923999999999999</v>
      </c>
      <c r="R55" s="41">
        <f>Boat!R183</f>
        <v>0</v>
      </c>
      <c r="S55" s="41">
        <f>Boat!S183</f>
        <v>0</v>
      </c>
      <c r="T55" s="42">
        <f>Boat!T183</f>
        <v>0</v>
      </c>
      <c r="U55" s="95">
        <f>Boat!U183</f>
        <v>0</v>
      </c>
      <c r="V55" s="41">
        <f>Boat!V183</f>
        <v>0</v>
      </c>
      <c r="W55" s="41">
        <f>Boat!W183</f>
        <v>0</v>
      </c>
      <c r="X55" s="41">
        <f>Boat!X183</f>
        <v>0</v>
      </c>
      <c r="Y55" s="41">
        <f>Boat!Y183</f>
        <v>0</v>
      </c>
      <c r="Z55" s="42">
        <f>Boat!Z183</f>
        <v>0</v>
      </c>
      <c r="AA55" s="95">
        <f>Boat!AA183</f>
        <v>0</v>
      </c>
      <c r="AB55" s="41">
        <f>Boat!AB183</f>
        <v>0</v>
      </c>
      <c r="AC55" s="41">
        <f>Boat!AC183</f>
        <v>0</v>
      </c>
      <c r="AD55" s="41">
        <f>Boat!AD183</f>
        <v>0</v>
      </c>
      <c r="AE55" s="42">
        <f>Boat!AE183</f>
        <v>0</v>
      </c>
      <c r="AF55" s="95">
        <f>Boat!AF183</f>
        <v>0</v>
      </c>
      <c r="AG55" s="41">
        <f>Boat!AG183</f>
        <v>0</v>
      </c>
      <c r="AH55" s="41">
        <f>Boat!AH183</f>
        <v>0</v>
      </c>
      <c r="AI55" s="41">
        <f>Boat!AI183</f>
        <v>0</v>
      </c>
      <c r="AJ55" s="41">
        <f>Boat!AJ183</f>
        <v>0</v>
      </c>
      <c r="AK55" s="41">
        <f>Boat!AK183</f>
        <v>0</v>
      </c>
      <c r="AL55" s="41">
        <f>Boat!AL183</f>
        <v>0</v>
      </c>
      <c r="AM55" s="41">
        <f>Boat!AM183</f>
        <v>0</v>
      </c>
      <c r="AN55" s="41">
        <f>Boat!AN183</f>
        <v>0</v>
      </c>
      <c r="AO55" s="41">
        <f>Boat!AO183</f>
        <v>0</v>
      </c>
      <c r="AP55" s="41">
        <f>Boat!AP183</f>
        <v>0</v>
      </c>
      <c r="AQ55" s="42">
        <f>Boat!AQ183</f>
        <v>0</v>
      </c>
      <c r="AS55" s="95">
        <f>Boat!K39</f>
        <v>0</v>
      </c>
      <c r="AT55" s="41">
        <f>Boat!L39</f>
        <v>0</v>
      </c>
      <c r="AU55" s="41">
        <f>Boat!M39</f>
        <v>0</v>
      </c>
      <c r="AV55" s="41">
        <f>Boat!N39</f>
        <v>0</v>
      </c>
      <c r="AW55" s="41">
        <f>Boat!O39</f>
        <v>0</v>
      </c>
      <c r="AX55" s="41">
        <f>Boat!P39</f>
        <v>0</v>
      </c>
      <c r="AY55" s="41">
        <f>Boat!Q39</f>
        <v>0</v>
      </c>
      <c r="AZ55" s="42">
        <f>Boat!R39</f>
        <v>0</v>
      </c>
      <c r="BA55" s="95">
        <f>Boat!S110</f>
        <v>0</v>
      </c>
      <c r="BB55" s="41">
        <f>Boat!T110</f>
        <v>0</v>
      </c>
      <c r="BC55" s="41">
        <f>Boat!U110</f>
        <v>0</v>
      </c>
      <c r="BD55" s="42">
        <f>Boat!V110</f>
        <v>0</v>
      </c>
      <c r="BE55" s="41">
        <f>Boat!W110</f>
        <v>0</v>
      </c>
      <c r="BF55" s="41">
        <f>Boat!X110</f>
        <v>0</v>
      </c>
      <c r="BG55" s="41">
        <f>Boat!Y110</f>
        <v>0</v>
      </c>
      <c r="BH55" s="41">
        <f>Boat!Z110</f>
        <v>0</v>
      </c>
      <c r="BI55" s="41">
        <f>Boat!AA110</f>
        <v>0</v>
      </c>
      <c r="BJ55" s="42">
        <f>Boat!AB110</f>
        <v>0</v>
      </c>
      <c r="BK55" s="41">
        <f>Boat!AC110</f>
        <v>0</v>
      </c>
      <c r="BL55" s="41">
        <f>Boat!AD110</f>
        <v>0</v>
      </c>
      <c r="BM55" s="41">
        <f>Boat!AE110</f>
        <v>0</v>
      </c>
      <c r="BN55" s="41">
        <f>Boat!AF110</f>
        <v>0</v>
      </c>
      <c r="BO55" s="41">
        <f>Boat!AG110</f>
        <v>0</v>
      </c>
      <c r="BP55" s="95">
        <f>Boat!AH110</f>
        <v>0</v>
      </c>
      <c r="BQ55" s="41">
        <f>Boat!AI110</f>
        <v>0</v>
      </c>
      <c r="BR55" s="41">
        <f>Boat!AJ110</f>
        <v>0</v>
      </c>
      <c r="BS55" s="41">
        <f>Boat!AK110</f>
        <v>0</v>
      </c>
      <c r="BT55" s="41">
        <f>Boat!AL110</f>
        <v>0</v>
      </c>
      <c r="BU55" s="41">
        <f>Boat!AM110</f>
        <v>1</v>
      </c>
      <c r="BV55" s="41">
        <f>Boat!AN110</f>
        <v>0</v>
      </c>
      <c r="BW55" s="41">
        <f>Boat!AO110</f>
        <v>0</v>
      </c>
      <c r="BX55" s="41">
        <f>Boat!AR110</f>
        <v>0</v>
      </c>
      <c r="BY55" s="41">
        <f>Boat!AS110</f>
        <v>0</v>
      </c>
      <c r="BZ55" s="41">
        <f>Boat!AT110</f>
        <v>0</v>
      </c>
      <c r="CA55" s="42">
        <f>Boat!AU110</f>
        <v>0</v>
      </c>
      <c r="CC55" s="2"/>
      <c r="CD55" s="232"/>
    </row>
    <row r="56" spans="1:83" x14ac:dyDescent="0.25">
      <c r="A56" s="127" t="s">
        <v>169</v>
      </c>
      <c r="B56" s="206">
        <f>Boat!E192</f>
        <v>19</v>
      </c>
      <c r="C56" s="46">
        <f>Boat!F192</f>
        <v>39</v>
      </c>
      <c r="D56" s="129">
        <f>Boat!G192</f>
        <v>207.56</v>
      </c>
      <c r="E56" s="25"/>
      <c r="F56" s="199">
        <f>Boat!H192</f>
        <v>95.991500000000002</v>
      </c>
      <c r="G56" s="200">
        <f t="shared" ref="G56" si="76">C56/I56</f>
        <v>197.03518421052632</v>
      </c>
      <c r="H56" s="46">
        <f t="shared" ref="H56" si="77">D56/I56</f>
        <v>1048.631354736842</v>
      </c>
      <c r="I56" s="45">
        <f>Boat!I192</f>
        <v>0.19793419208992463</v>
      </c>
      <c r="J56" s="25"/>
      <c r="K56" s="95">
        <f>Boat!K193</f>
        <v>5.0521842105263159</v>
      </c>
      <c r="L56" s="41">
        <f>Boat!L193</f>
        <v>15.156552631578947</v>
      </c>
      <c r="M56" s="41">
        <f>Boat!O193</f>
        <v>0</v>
      </c>
      <c r="N56" s="41">
        <f>Boat!P193</f>
        <v>0</v>
      </c>
      <c r="O56" s="41">
        <f>Boat!Q193</f>
        <v>30.313105263157894</v>
      </c>
      <c r="P56" s="42">
        <f>Boat!R193</f>
        <v>40.417473684210528</v>
      </c>
      <c r="Q56" s="95">
        <f>Boat!S193</f>
        <v>0</v>
      </c>
      <c r="R56" s="41">
        <f>Boat!T193</f>
        <v>0</v>
      </c>
      <c r="S56" s="41">
        <f>Boat!U193</f>
        <v>0</v>
      </c>
      <c r="T56" s="42">
        <f>Boat!V193</f>
        <v>0</v>
      </c>
      <c r="U56" s="95">
        <f>Boat!W193</f>
        <v>0</v>
      </c>
      <c r="V56" s="41">
        <f>Boat!X193</f>
        <v>0</v>
      </c>
      <c r="W56" s="41">
        <f>Boat!Y193</f>
        <v>0</v>
      </c>
      <c r="X56" s="41">
        <f>Boat!Z193</f>
        <v>0</v>
      </c>
      <c r="Y56" s="41">
        <f>Boat!AA193</f>
        <v>0</v>
      </c>
      <c r="Z56" s="42">
        <f>Boat!AB193</f>
        <v>0</v>
      </c>
      <c r="AA56" s="95">
        <f>Boat!AC193</f>
        <v>0</v>
      </c>
      <c r="AB56" s="41">
        <f>Boat!AD193</f>
        <v>0</v>
      </c>
      <c r="AC56" s="41">
        <f>Boat!AE193</f>
        <v>0</v>
      </c>
      <c r="AD56" s="41">
        <f>Boat!AF193</f>
        <v>0</v>
      </c>
      <c r="AE56" s="42">
        <f>Boat!AG193</f>
        <v>0</v>
      </c>
      <c r="AF56" s="95">
        <f>Boat!AH193</f>
        <v>0</v>
      </c>
      <c r="AG56" s="41">
        <f>Boat!AI193</f>
        <v>0</v>
      </c>
      <c r="AH56" s="41">
        <f>Boat!AJ193</f>
        <v>0</v>
      </c>
      <c r="AI56" s="41">
        <f>Boat!AK193</f>
        <v>0</v>
      </c>
      <c r="AJ56" s="41">
        <f>Boat!AL193</f>
        <v>0</v>
      </c>
      <c r="AK56" s="41">
        <f>Boat!AM193</f>
        <v>0</v>
      </c>
      <c r="AL56" s="41">
        <f>Boat!AN193</f>
        <v>0</v>
      </c>
      <c r="AM56" s="41">
        <f>Boat!AO193</f>
        <v>0</v>
      </c>
      <c r="AN56" s="41">
        <f>Boat!AR193</f>
        <v>0</v>
      </c>
      <c r="AO56" s="41">
        <f>Boat!AS193</f>
        <v>0</v>
      </c>
      <c r="AP56" s="41">
        <f>Boat!AT193</f>
        <v>0</v>
      </c>
      <c r="AQ56" s="42">
        <f>Boat!AU193</f>
        <v>0</v>
      </c>
      <c r="AS56" s="95">
        <f>Boat!K40</f>
        <v>0</v>
      </c>
      <c r="AT56" s="41">
        <f>Boat!L40</f>
        <v>0</v>
      </c>
      <c r="AU56" s="41">
        <f>Boat!M40</f>
        <v>0</v>
      </c>
      <c r="AV56" s="41">
        <f>Boat!N40</f>
        <v>0</v>
      </c>
      <c r="AW56" s="41">
        <f>Boat!O40</f>
        <v>0</v>
      </c>
      <c r="AX56" s="41">
        <f>Boat!P40</f>
        <v>0</v>
      </c>
      <c r="AY56" s="41">
        <f>Boat!Q40</f>
        <v>0</v>
      </c>
      <c r="AZ56" s="42">
        <f>Boat!R40</f>
        <v>0</v>
      </c>
      <c r="BA56" s="95">
        <f>Boat!S192</f>
        <v>0</v>
      </c>
      <c r="BB56" s="41">
        <f>Boat!T192</f>
        <v>0</v>
      </c>
      <c r="BC56" s="41">
        <f>Boat!U192</f>
        <v>0</v>
      </c>
      <c r="BD56" s="42">
        <f>Boat!V192</f>
        <v>0</v>
      </c>
      <c r="BE56" s="41">
        <f>Boat!W192</f>
        <v>0</v>
      </c>
      <c r="BF56" s="41">
        <f>Boat!X192</f>
        <v>0</v>
      </c>
      <c r="BG56" s="41">
        <f>Boat!Y192</f>
        <v>0</v>
      </c>
      <c r="BH56" s="41">
        <f>Boat!Z192</f>
        <v>0</v>
      </c>
      <c r="BI56" s="41">
        <f>Boat!AA192</f>
        <v>0</v>
      </c>
      <c r="BJ56" s="42">
        <f>Boat!AB192</f>
        <v>0</v>
      </c>
      <c r="BK56" s="41">
        <f>Boat!AC192</f>
        <v>0</v>
      </c>
      <c r="BL56" s="41">
        <f>Boat!AD192</f>
        <v>0</v>
      </c>
      <c r="BM56" s="41">
        <f>Boat!AE192</f>
        <v>0</v>
      </c>
      <c r="BN56" s="41">
        <f>Boat!AF192</f>
        <v>0</v>
      </c>
      <c r="BO56" s="41">
        <f>Boat!AG192</f>
        <v>0</v>
      </c>
      <c r="BP56" s="95">
        <f>Boat!AH192</f>
        <v>0</v>
      </c>
      <c r="BQ56" s="41">
        <f>Boat!AI192</f>
        <v>0</v>
      </c>
      <c r="BR56" s="41">
        <f>Boat!AJ192</f>
        <v>0</v>
      </c>
      <c r="BS56" s="41">
        <f>Boat!AK192</f>
        <v>0</v>
      </c>
      <c r="BT56" s="41">
        <f>Boat!AL192</f>
        <v>0</v>
      </c>
      <c r="BU56" s="41">
        <f>Boat!AM192</f>
        <v>0</v>
      </c>
      <c r="BV56" s="41">
        <f>Boat!AN192</f>
        <v>0</v>
      </c>
      <c r="BW56" s="41">
        <f>Boat!AO192</f>
        <v>0</v>
      </c>
      <c r="BX56" s="41">
        <f>Boat!AR192</f>
        <v>0</v>
      </c>
      <c r="BY56" s="41">
        <f>Boat!AS192</f>
        <v>0</v>
      </c>
      <c r="BZ56" s="41">
        <f>Boat!AT192</f>
        <v>0</v>
      </c>
      <c r="CA56" s="42">
        <f>Boat!AU192</f>
        <v>0</v>
      </c>
      <c r="CC56" s="2">
        <f t="shared" ref="CC56:CC58" si="78">SUM(AS56:AZ56)</f>
        <v>0</v>
      </c>
      <c r="CD56" s="232" t="e">
        <f t="shared" ref="CD56:CD58" si="79">D56/CC56</f>
        <v>#DIV/0!</v>
      </c>
      <c r="CE56">
        <f t="shared" ref="CE56:CE58" si="80">CC56/B56</f>
        <v>0</v>
      </c>
    </row>
    <row r="57" spans="1:83" x14ac:dyDescent="0.25">
      <c r="A57" s="127" t="s">
        <v>170</v>
      </c>
      <c r="B57" s="206">
        <f>Boat!E223</f>
        <v>0</v>
      </c>
      <c r="C57" s="46">
        <f>Boat!F223</f>
        <v>0</v>
      </c>
      <c r="D57" s="129">
        <f>Boat!G223</f>
        <v>0</v>
      </c>
      <c r="E57" s="25"/>
      <c r="F57" s="199">
        <f>Boat!H223</f>
        <v>0</v>
      </c>
      <c r="G57" s="200" t="e">
        <f t="shared" ref="G57" si="81">C57/I57</f>
        <v>#DIV/0!</v>
      </c>
      <c r="H57" s="46" t="e">
        <f t="shared" ref="H57" si="82">D57/I57</f>
        <v>#DIV/0!</v>
      </c>
      <c r="I57" s="45" t="e">
        <f>Boat!I223</f>
        <v>#DIV/0!</v>
      </c>
      <c r="J57" s="25"/>
      <c r="K57" s="95"/>
      <c r="L57" s="41"/>
      <c r="M57" s="41"/>
      <c r="N57" s="41"/>
      <c r="O57" s="41"/>
      <c r="P57" s="42"/>
      <c r="Q57" s="95"/>
      <c r="R57" s="41"/>
      <c r="S57" s="41"/>
      <c r="T57" s="42"/>
      <c r="U57" s="95"/>
      <c r="V57" s="41"/>
      <c r="W57" s="41"/>
      <c r="X57" s="41"/>
      <c r="Y57" s="41"/>
      <c r="Z57" s="42"/>
      <c r="AA57" s="95"/>
      <c r="AB57" s="41"/>
      <c r="AC57" s="41"/>
      <c r="AD57" s="41"/>
      <c r="AE57" s="42"/>
      <c r="AF57" s="95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2"/>
      <c r="AS57" s="95">
        <f>Boat!K41</f>
        <v>0</v>
      </c>
      <c r="AT57" s="41">
        <f>Boat!L41</f>
        <v>0</v>
      </c>
      <c r="AU57" s="41">
        <f>Boat!M41</f>
        <v>0</v>
      </c>
      <c r="AV57" s="41">
        <f>Boat!N41</f>
        <v>0</v>
      </c>
      <c r="AW57" s="41">
        <f>Boat!O41</f>
        <v>0</v>
      </c>
      <c r="AX57" s="41">
        <f>Boat!P41</f>
        <v>0</v>
      </c>
      <c r="AY57" s="41">
        <f>Boat!Q41</f>
        <v>0</v>
      </c>
      <c r="AZ57" s="42">
        <f>Boat!R41</f>
        <v>0</v>
      </c>
      <c r="BA57" s="95">
        <f>Boat!S223</f>
        <v>0</v>
      </c>
      <c r="BB57" s="41">
        <f>Boat!T223</f>
        <v>0</v>
      </c>
      <c r="BC57" s="41">
        <f>Boat!U223</f>
        <v>0</v>
      </c>
      <c r="BD57" s="42">
        <f>Boat!V223</f>
        <v>0</v>
      </c>
      <c r="BE57" s="41">
        <f>Boat!W223</f>
        <v>0</v>
      </c>
      <c r="BF57" s="41">
        <f>Boat!X223</f>
        <v>0</v>
      </c>
      <c r="BG57" s="41">
        <f>Boat!Y223</f>
        <v>0</v>
      </c>
      <c r="BH57" s="41">
        <f>Boat!Z223</f>
        <v>0</v>
      </c>
      <c r="BI57" s="41">
        <f>Boat!AA223</f>
        <v>0</v>
      </c>
      <c r="BJ57" s="42">
        <f>Boat!AB223</f>
        <v>0</v>
      </c>
      <c r="BK57" s="41">
        <f>Boat!AC223</f>
        <v>0</v>
      </c>
      <c r="BL57" s="41">
        <f>Boat!AD223</f>
        <v>0</v>
      </c>
      <c r="BM57" s="41">
        <f>Boat!AE223</f>
        <v>0</v>
      </c>
      <c r="BN57" s="41">
        <f>Boat!AF223</f>
        <v>0</v>
      </c>
      <c r="BO57" s="41">
        <f>Boat!AG223</f>
        <v>0</v>
      </c>
      <c r="BP57" s="95">
        <f>Boat!AH223</f>
        <v>0</v>
      </c>
      <c r="BQ57" s="41">
        <f>Boat!AI223</f>
        <v>0</v>
      </c>
      <c r="BR57" s="41">
        <f>Boat!AJ223</f>
        <v>0</v>
      </c>
      <c r="BS57" s="41">
        <f>Boat!AK223</f>
        <v>0</v>
      </c>
      <c r="BT57" s="41">
        <f>Boat!AL223</f>
        <v>0</v>
      </c>
      <c r="BU57" s="41">
        <f>Boat!AM223</f>
        <v>0</v>
      </c>
      <c r="BV57" s="41">
        <f>Boat!AN223</f>
        <v>0</v>
      </c>
      <c r="BW57" s="41">
        <f>Boat!AO223</f>
        <v>0</v>
      </c>
      <c r="BX57" s="41">
        <f>Boat!AR223</f>
        <v>0</v>
      </c>
      <c r="BY57" s="41">
        <f>Boat!AS223</f>
        <v>0</v>
      </c>
      <c r="BZ57" s="41">
        <f>Boat!AT223</f>
        <v>0</v>
      </c>
      <c r="CA57" s="42">
        <f>Boat!AU223</f>
        <v>0</v>
      </c>
      <c r="CC57" s="2">
        <f t="shared" si="78"/>
        <v>0</v>
      </c>
      <c r="CD57" s="232" t="e">
        <f t="shared" si="79"/>
        <v>#DIV/0!</v>
      </c>
      <c r="CE57" t="e">
        <f t="shared" si="80"/>
        <v>#DIV/0!</v>
      </c>
    </row>
    <row r="58" spans="1:83" x14ac:dyDescent="0.25">
      <c r="A58" s="127" t="s">
        <v>101</v>
      </c>
      <c r="B58" s="206">
        <f>Boat!E257</f>
        <v>0</v>
      </c>
      <c r="C58" s="46">
        <f>Boat!F257</f>
        <v>0</v>
      </c>
      <c r="D58" s="129">
        <f>Boat!G257</f>
        <v>0</v>
      </c>
      <c r="E58" s="25"/>
      <c r="F58" s="199">
        <f>Boat!H257</f>
        <v>0</v>
      </c>
      <c r="G58" s="200" t="e">
        <f t="shared" ref="G58" si="83">C58/I58</f>
        <v>#DIV/0!</v>
      </c>
      <c r="H58" s="46" t="e">
        <f t="shared" ref="H58" si="84">D58/I58</f>
        <v>#DIV/0!</v>
      </c>
      <c r="I58" s="45" t="e">
        <f>Boat!I257</f>
        <v>#DIV/0!</v>
      </c>
      <c r="J58" s="25"/>
      <c r="K58" s="95"/>
      <c r="L58" s="41"/>
      <c r="M58" s="41"/>
      <c r="N58" s="41"/>
      <c r="O58" s="41"/>
      <c r="P58" s="42"/>
      <c r="Q58" s="95"/>
      <c r="R58" s="41"/>
      <c r="S58" s="41"/>
      <c r="T58" s="42"/>
      <c r="U58" s="95"/>
      <c r="V58" s="41"/>
      <c r="W58" s="41"/>
      <c r="X58" s="41"/>
      <c r="Y58" s="41"/>
      <c r="Z58" s="42"/>
      <c r="AA58" s="95"/>
      <c r="AB58" s="41"/>
      <c r="AC58" s="41"/>
      <c r="AD58" s="41"/>
      <c r="AE58" s="42"/>
      <c r="AF58" s="95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2"/>
      <c r="AS58" s="95">
        <f>Boat!K42</f>
        <v>0</v>
      </c>
      <c r="AT58" s="41">
        <f>Boat!L42</f>
        <v>0</v>
      </c>
      <c r="AU58" s="41">
        <f>Boat!M42</f>
        <v>0</v>
      </c>
      <c r="AV58" s="41">
        <f>Boat!N42</f>
        <v>0</v>
      </c>
      <c r="AW58" s="41">
        <f>Boat!O42</f>
        <v>0</v>
      </c>
      <c r="AX58" s="41">
        <f>Boat!P42</f>
        <v>0</v>
      </c>
      <c r="AY58" s="41">
        <f>Boat!Q42</f>
        <v>0</v>
      </c>
      <c r="AZ58" s="42">
        <f>Boat!R42</f>
        <v>0</v>
      </c>
      <c r="BA58" s="95">
        <f>Boat!S257</f>
        <v>0</v>
      </c>
      <c r="BB58" s="41">
        <f>Boat!T257</f>
        <v>0</v>
      </c>
      <c r="BC58" s="41">
        <f>Boat!U257</f>
        <v>0</v>
      </c>
      <c r="BD58" s="42">
        <f>Boat!V257</f>
        <v>0</v>
      </c>
      <c r="BE58" s="41">
        <f>Boat!W257</f>
        <v>0</v>
      </c>
      <c r="BF58" s="41">
        <f>Boat!X257</f>
        <v>0</v>
      </c>
      <c r="BG58" s="41">
        <f>Boat!Y257</f>
        <v>0</v>
      </c>
      <c r="BH58" s="41">
        <f>Boat!Z257</f>
        <v>0</v>
      </c>
      <c r="BI58" s="41">
        <f>Boat!AA257</f>
        <v>0</v>
      </c>
      <c r="BJ58" s="42">
        <f>Boat!AB257</f>
        <v>0</v>
      </c>
      <c r="BK58" s="41">
        <f>Boat!AC257</f>
        <v>0</v>
      </c>
      <c r="BL58" s="41">
        <f>Boat!AD257</f>
        <v>0</v>
      </c>
      <c r="BM58" s="41">
        <f>Boat!AE257</f>
        <v>0</v>
      </c>
      <c r="BN58" s="41">
        <f>Boat!AF257</f>
        <v>0</v>
      </c>
      <c r="BO58" s="41">
        <f>Boat!AG257</f>
        <v>0</v>
      </c>
      <c r="BP58" s="95">
        <f>Boat!AH257</f>
        <v>0</v>
      </c>
      <c r="BQ58" s="41">
        <f>Boat!AI257</f>
        <v>0</v>
      </c>
      <c r="BR58" s="41">
        <f>Boat!AJ257</f>
        <v>0</v>
      </c>
      <c r="BS58" s="41">
        <f>Boat!AK257</f>
        <v>0</v>
      </c>
      <c r="BT58" s="41">
        <f>Boat!AL257</f>
        <v>0</v>
      </c>
      <c r="BU58" s="41">
        <f>Boat!AM257</f>
        <v>0</v>
      </c>
      <c r="BV58" s="41">
        <f>Boat!AN257</f>
        <v>0</v>
      </c>
      <c r="BW58" s="41">
        <f>Boat!AO257</f>
        <v>0</v>
      </c>
      <c r="BX58" s="41">
        <f>Boat!AR257</f>
        <v>0</v>
      </c>
      <c r="BY58" s="41">
        <f>Boat!AS257</f>
        <v>0</v>
      </c>
      <c r="BZ58" s="41">
        <f>Boat!AT257</f>
        <v>0</v>
      </c>
      <c r="CA58" s="42">
        <f>Boat!AU257</f>
        <v>0</v>
      </c>
      <c r="CC58" s="2">
        <f t="shared" si="78"/>
        <v>0</v>
      </c>
      <c r="CD58" s="232" t="e">
        <f t="shared" si="79"/>
        <v>#DIV/0!</v>
      </c>
      <c r="CE58" t="e">
        <f t="shared" si="80"/>
        <v>#DIV/0!</v>
      </c>
    </row>
    <row r="59" spans="1:83" x14ac:dyDescent="0.25">
      <c r="A59" s="127" t="s">
        <v>102</v>
      </c>
      <c r="B59" s="206">
        <f>Boat!E288</f>
        <v>0</v>
      </c>
      <c r="C59" s="46">
        <f>Boat!F288</f>
        <v>0</v>
      </c>
      <c r="D59" s="129">
        <f>Boat!G288</f>
        <v>0</v>
      </c>
      <c r="E59" s="25"/>
      <c r="F59" s="199">
        <f>Boat!H288</f>
        <v>0</v>
      </c>
      <c r="G59" s="200" t="e">
        <f t="shared" ref="G59" si="85">C59/I59</f>
        <v>#DIV/0!</v>
      </c>
      <c r="H59" s="46" t="e">
        <f t="shared" ref="H59" si="86">D59/I59</f>
        <v>#DIV/0!</v>
      </c>
      <c r="I59" s="45" t="e">
        <f>Boat!I288</f>
        <v>#DIV/0!</v>
      </c>
      <c r="J59" s="25"/>
      <c r="K59" s="95"/>
      <c r="L59" s="41"/>
      <c r="M59" s="41"/>
      <c r="N59" s="41"/>
      <c r="O59" s="41"/>
      <c r="P59" s="42"/>
      <c r="Q59" s="95"/>
      <c r="R59" s="41"/>
      <c r="S59" s="41"/>
      <c r="T59" s="42"/>
      <c r="U59" s="95"/>
      <c r="V59" s="41"/>
      <c r="W59" s="41"/>
      <c r="X59" s="41"/>
      <c r="Y59" s="41"/>
      <c r="Z59" s="42"/>
      <c r="AA59" s="95"/>
      <c r="AB59" s="41"/>
      <c r="AC59" s="41"/>
      <c r="AD59" s="41"/>
      <c r="AE59" s="42"/>
      <c r="AF59" s="95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2"/>
      <c r="AS59" s="95" t="e">
        <f>Boat!K43</f>
        <v>#DIV/0!</v>
      </c>
      <c r="AT59" s="41" t="e">
        <f>Boat!L43</f>
        <v>#DIV/0!</v>
      </c>
      <c r="AU59" s="41" t="e">
        <f>Boat!M43</f>
        <v>#DIV/0!</v>
      </c>
      <c r="AV59" s="41" t="e">
        <f>Boat!N43</f>
        <v>#DIV/0!</v>
      </c>
      <c r="AW59" s="41" t="e">
        <f>Boat!O43</f>
        <v>#DIV/0!</v>
      </c>
      <c r="AX59" s="41" t="e">
        <f>Boat!P43</f>
        <v>#DIV/0!</v>
      </c>
      <c r="AY59" s="41" t="e">
        <f>Boat!Q43</f>
        <v>#DIV/0!</v>
      </c>
      <c r="AZ59" s="42" t="e">
        <f>Boat!R43</f>
        <v>#DIV/0!</v>
      </c>
      <c r="BA59" s="95">
        <f>Boat!S288</f>
        <v>0</v>
      </c>
      <c r="BB59" s="41">
        <f>Boat!T288</f>
        <v>0</v>
      </c>
      <c r="BC59" s="41">
        <f>Boat!U288</f>
        <v>0</v>
      </c>
      <c r="BD59" s="42">
        <f>Boat!V288</f>
        <v>0</v>
      </c>
      <c r="BE59" s="41">
        <f>Boat!W288</f>
        <v>0</v>
      </c>
      <c r="BF59" s="41">
        <f>Boat!X288</f>
        <v>0</v>
      </c>
      <c r="BG59" s="41">
        <f>Boat!Y288</f>
        <v>0</v>
      </c>
      <c r="BH59" s="41">
        <f>Boat!Z288</f>
        <v>0</v>
      </c>
      <c r="BI59" s="41">
        <f>Boat!AA288</f>
        <v>0</v>
      </c>
      <c r="BJ59" s="42">
        <f>Boat!AB288</f>
        <v>0</v>
      </c>
      <c r="BK59" s="41">
        <f>Boat!AC288</f>
        <v>0</v>
      </c>
      <c r="BL59" s="41">
        <f>Boat!AD288</f>
        <v>0</v>
      </c>
      <c r="BM59" s="41">
        <f>Boat!AE288</f>
        <v>0</v>
      </c>
      <c r="BN59" s="41">
        <f>Boat!AF288</f>
        <v>0</v>
      </c>
      <c r="BO59" s="41">
        <f>Boat!AG288</f>
        <v>0</v>
      </c>
      <c r="BP59" s="95">
        <f>Boat!AH288</f>
        <v>0</v>
      </c>
      <c r="BQ59" s="41">
        <f>Boat!AI288</f>
        <v>0</v>
      </c>
      <c r="BR59" s="41">
        <f>Boat!AJ288</f>
        <v>0</v>
      </c>
      <c r="BS59" s="41">
        <f>Boat!AK288</f>
        <v>0</v>
      </c>
      <c r="BT59" s="41">
        <f>Boat!AL288</f>
        <v>0</v>
      </c>
      <c r="BU59" s="41">
        <f>Boat!AM288</f>
        <v>0</v>
      </c>
      <c r="BV59" s="41">
        <f>Boat!AN288</f>
        <v>0</v>
      </c>
      <c r="BW59" s="41">
        <f>Boat!AO288</f>
        <v>0</v>
      </c>
      <c r="BX59" s="41">
        <f>Boat!AR288</f>
        <v>0</v>
      </c>
      <c r="BY59" s="41">
        <f>Boat!AS288</f>
        <v>0</v>
      </c>
      <c r="BZ59" s="41">
        <f>Boat!AT288</f>
        <v>0</v>
      </c>
      <c r="CA59" s="42">
        <f>Boat!AU288</f>
        <v>0</v>
      </c>
      <c r="CC59" s="2" t="e">
        <f t="shared" ref="CC59" si="87">SUM(AS59:AZ59)</f>
        <v>#DIV/0!</v>
      </c>
      <c r="CD59" s="232" t="e">
        <f t="shared" ref="CD59" si="88">D59/CC59</f>
        <v>#DIV/0!</v>
      </c>
      <c r="CE59" t="e">
        <f t="shared" ref="CE59" si="89">CC59/B59</f>
        <v>#DIV/0!</v>
      </c>
    </row>
    <row r="60" spans="1:83" ht="16.5" thickBot="1" x14ac:dyDescent="0.3">
      <c r="A60" s="192" t="s">
        <v>104</v>
      </c>
      <c r="B60" s="207">
        <f>Boat!E322</f>
        <v>0</v>
      </c>
      <c r="C60" s="75">
        <f>Boat!F322</f>
        <v>0</v>
      </c>
      <c r="D60" s="131">
        <f>Boat!G322</f>
        <v>0</v>
      </c>
      <c r="E60" s="25"/>
      <c r="F60" s="201">
        <f>Boat!H322</f>
        <v>0</v>
      </c>
      <c r="G60" s="75" t="e">
        <f t="shared" ref="G60" si="90">C60/I60</f>
        <v>#DIV/0!</v>
      </c>
      <c r="H60" s="75" t="e">
        <f t="shared" ref="H60" si="91">D60/I60</f>
        <v>#DIV/0!</v>
      </c>
      <c r="I60" s="250" t="e">
        <f>Boat!I322</f>
        <v>#DIV/0!</v>
      </c>
      <c r="J60" s="25"/>
      <c r="K60" s="96"/>
      <c r="L60" s="76"/>
      <c r="M60" s="76"/>
      <c r="N60" s="76"/>
      <c r="O60" s="76"/>
      <c r="P60" s="77"/>
      <c r="Q60" s="96"/>
      <c r="R60" s="76"/>
      <c r="S60" s="76"/>
      <c r="T60" s="77"/>
      <c r="U60" s="96"/>
      <c r="V60" s="76"/>
      <c r="W60" s="76"/>
      <c r="X60" s="76"/>
      <c r="Y60" s="76"/>
      <c r="Z60" s="77"/>
      <c r="AA60" s="96"/>
      <c r="AB60" s="76"/>
      <c r="AC60" s="76"/>
      <c r="AD60" s="76"/>
      <c r="AE60" s="77"/>
      <c r="AF60" s="9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7"/>
      <c r="AR60" s="236"/>
      <c r="AS60" s="96">
        <f>Boat!K44</f>
        <v>0</v>
      </c>
      <c r="AT60" s="76">
        <f>Boat!L44</f>
        <v>0</v>
      </c>
      <c r="AU60" s="76">
        <f>Boat!M44</f>
        <v>0</v>
      </c>
      <c r="AV60" s="76">
        <f>Boat!N44</f>
        <v>0</v>
      </c>
      <c r="AW60" s="76">
        <f>Boat!O44</f>
        <v>0</v>
      </c>
      <c r="AX60" s="76">
        <f>Boat!P44</f>
        <v>0</v>
      </c>
      <c r="AY60" s="76">
        <f>Boat!Q44</f>
        <v>0</v>
      </c>
      <c r="AZ60" s="77">
        <f>Boat!R44</f>
        <v>0</v>
      </c>
      <c r="BA60" s="96">
        <f>Boat!S322</f>
        <v>0</v>
      </c>
      <c r="BB60" s="76">
        <f>Boat!T322</f>
        <v>0</v>
      </c>
      <c r="BC60" s="76">
        <f>Boat!U322</f>
        <v>0</v>
      </c>
      <c r="BD60" s="77">
        <f>Boat!V322</f>
        <v>0</v>
      </c>
      <c r="BE60" s="76">
        <f>Boat!W322</f>
        <v>0</v>
      </c>
      <c r="BF60" s="76">
        <f>Boat!X322</f>
        <v>0</v>
      </c>
      <c r="BG60" s="76">
        <f>Boat!Y322</f>
        <v>0</v>
      </c>
      <c r="BH60" s="76">
        <f>Boat!Z322</f>
        <v>0</v>
      </c>
      <c r="BI60" s="76">
        <f>Boat!AA322</f>
        <v>0</v>
      </c>
      <c r="BJ60" s="77">
        <f>Boat!AB322</f>
        <v>0</v>
      </c>
      <c r="BK60" s="76">
        <f>Boat!AC322</f>
        <v>0</v>
      </c>
      <c r="BL60" s="76">
        <f>Boat!AD322</f>
        <v>0</v>
      </c>
      <c r="BM60" s="76">
        <f>Boat!AE322</f>
        <v>0</v>
      </c>
      <c r="BN60" s="76">
        <f>Boat!AF322</f>
        <v>0</v>
      </c>
      <c r="BO60" s="76">
        <f>Boat!AG322</f>
        <v>0</v>
      </c>
      <c r="BP60" s="96">
        <f>Boat!AH322</f>
        <v>0</v>
      </c>
      <c r="BQ60" s="76">
        <f>Boat!AI322</f>
        <v>0</v>
      </c>
      <c r="BR60" s="76">
        <f>Boat!AJ322</f>
        <v>0</v>
      </c>
      <c r="BS60" s="76">
        <f>Boat!AK322</f>
        <v>0</v>
      </c>
      <c r="BT60" s="76">
        <f>Boat!AL322</f>
        <v>0</v>
      </c>
      <c r="BU60" s="76">
        <f>Boat!AM322</f>
        <v>0</v>
      </c>
      <c r="BV60" s="76">
        <f>Boat!AN322</f>
        <v>0</v>
      </c>
      <c r="BW60" s="76">
        <f>Boat!AO322</f>
        <v>0</v>
      </c>
      <c r="BX60" s="76">
        <f>Boat!AR322</f>
        <v>0</v>
      </c>
      <c r="BY60" s="76">
        <f>Boat!AS322</f>
        <v>0</v>
      </c>
      <c r="BZ60" s="76">
        <f>Boat!AT322</f>
        <v>0</v>
      </c>
      <c r="CA60" s="77">
        <f>Boat!AU322</f>
        <v>0</v>
      </c>
    </row>
    <row r="61" spans="1:83" ht="17.25" thickTop="1" thickBot="1" x14ac:dyDescent="0.3">
      <c r="A61" s="111"/>
      <c r="B61" s="204">
        <f>SUM(B39:B60)</f>
        <v>260</v>
      </c>
      <c r="C61" s="204">
        <f>SUM(C39:C60)</f>
        <v>503</v>
      </c>
      <c r="D61" s="191">
        <f>SUM(D39:D60)</f>
        <v>2291.9899999999998</v>
      </c>
      <c r="F61" s="203">
        <f>SUM(F39:F60)</f>
        <v>866.65858555555553</v>
      </c>
      <c r="G61" s="204" t="e">
        <f>SUM(G39:G60)</f>
        <v>#DIV/0!</v>
      </c>
      <c r="H61" s="204" t="e">
        <f>SUM(H39:H60)</f>
        <v>#DIV/0!</v>
      </c>
      <c r="I61" s="198" t="e">
        <f>C61/G61</f>
        <v>#DIV/0!</v>
      </c>
      <c r="K61" s="217" t="e">
        <f t="shared" ref="K61:BT61" si="92">SUM(K39:K60)</f>
        <v>#DIV/0!</v>
      </c>
      <c r="L61" s="218" t="e">
        <f t="shared" si="92"/>
        <v>#DIV/0!</v>
      </c>
      <c r="M61" s="218" t="e">
        <f t="shared" si="92"/>
        <v>#DIV/0!</v>
      </c>
      <c r="N61" s="218" t="e">
        <f t="shared" si="92"/>
        <v>#DIV/0!</v>
      </c>
      <c r="O61" s="218" t="e">
        <f t="shared" si="92"/>
        <v>#DIV/0!</v>
      </c>
      <c r="P61" s="219" t="e">
        <f t="shared" si="92"/>
        <v>#DIV/0!</v>
      </c>
      <c r="Q61" s="217" t="e">
        <f t="shared" si="92"/>
        <v>#DIV/0!</v>
      </c>
      <c r="R61" s="218" t="e">
        <f t="shared" si="92"/>
        <v>#DIV/0!</v>
      </c>
      <c r="S61" s="218" t="e">
        <f t="shared" si="92"/>
        <v>#DIV/0!</v>
      </c>
      <c r="T61" s="219" t="e">
        <f t="shared" si="92"/>
        <v>#DIV/0!</v>
      </c>
      <c r="U61" s="217" t="e">
        <f t="shared" si="92"/>
        <v>#DIV/0!</v>
      </c>
      <c r="V61" s="218" t="e">
        <f t="shared" si="92"/>
        <v>#DIV/0!</v>
      </c>
      <c r="W61" s="218" t="e">
        <f t="shared" si="92"/>
        <v>#DIV/0!</v>
      </c>
      <c r="X61" s="218" t="e">
        <f t="shared" si="92"/>
        <v>#DIV/0!</v>
      </c>
      <c r="Y61" s="218" t="e">
        <f t="shared" si="92"/>
        <v>#DIV/0!</v>
      </c>
      <c r="Z61" s="219" t="e">
        <f t="shared" si="92"/>
        <v>#DIV/0!</v>
      </c>
      <c r="AA61" s="217" t="e">
        <f t="shared" si="92"/>
        <v>#DIV/0!</v>
      </c>
      <c r="AB61" s="218" t="e">
        <f t="shared" si="92"/>
        <v>#DIV/0!</v>
      </c>
      <c r="AC61" s="218" t="e">
        <f t="shared" si="92"/>
        <v>#DIV/0!</v>
      </c>
      <c r="AD61" s="218" t="e">
        <f t="shared" si="92"/>
        <v>#DIV/0!</v>
      </c>
      <c r="AE61" s="219" t="e">
        <f t="shared" si="92"/>
        <v>#DIV/0!</v>
      </c>
      <c r="AF61" s="217" t="e">
        <f t="shared" si="92"/>
        <v>#DIV/0!</v>
      </c>
      <c r="AG61" s="218" t="e">
        <f t="shared" si="92"/>
        <v>#DIV/0!</v>
      </c>
      <c r="AH61" s="218" t="e">
        <f t="shared" si="92"/>
        <v>#DIV/0!</v>
      </c>
      <c r="AI61" s="218" t="e">
        <f t="shared" si="92"/>
        <v>#DIV/0!</v>
      </c>
      <c r="AJ61" s="218" t="e">
        <f t="shared" si="92"/>
        <v>#DIV/0!</v>
      </c>
      <c r="AK61" s="218" t="e">
        <f t="shared" si="92"/>
        <v>#DIV/0!</v>
      </c>
      <c r="AL61" s="218" t="e">
        <f t="shared" si="92"/>
        <v>#DIV/0!</v>
      </c>
      <c r="AM61" s="218" t="e">
        <f t="shared" si="92"/>
        <v>#DIV/0!</v>
      </c>
      <c r="AN61" s="218" t="e">
        <f t="shared" si="92"/>
        <v>#DIV/0!</v>
      </c>
      <c r="AO61" s="218" t="e">
        <f t="shared" si="92"/>
        <v>#DIV/0!</v>
      </c>
      <c r="AP61" s="218" t="e">
        <f t="shared" si="92"/>
        <v>#DIV/0!</v>
      </c>
      <c r="AQ61" s="219" t="e">
        <f t="shared" si="92"/>
        <v>#DIV/0!</v>
      </c>
      <c r="AR61" s="237"/>
      <c r="AS61" s="217" t="e">
        <f t="shared" si="92"/>
        <v>#DIV/0!</v>
      </c>
      <c r="AT61" s="218" t="e">
        <f t="shared" si="92"/>
        <v>#DIV/0!</v>
      </c>
      <c r="AU61" s="218" t="e">
        <f t="shared" si="92"/>
        <v>#DIV/0!</v>
      </c>
      <c r="AV61" s="218" t="e">
        <f t="shared" si="92"/>
        <v>#DIV/0!</v>
      </c>
      <c r="AW61" s="218" t="e">
        <f t="shared" si="92"/>
        <v>#DIV/0!</v>
      </c>
      <c r="AX61" s="218" t="e">
        <f t="shared" si="92"/>
        <v>#DIV/0!</v>
      </c>
      <c r="AY61" s="218" t="e">
        <f t="shared" si="92"/>
        <v>#DIV/0!</v>
      </c>
      <c r="AZ61" s="219" t="e">
        <f t="shared" si="92"/>
        <v>#DIV/0!</v>
      </c>
      <c r="BA61" s="218">
        <f t="shared" si="92"/>
        <v>0</v>
      </c>
      <c r="BB61" s="218">
        <f t="shared" si="92"/>
        <v>0</v>
      </c>
      <c r="BC61" s="218">
        <f t="shared" si="92"/>
        <v>0</v>
      </c>
      <c r="BD61" s="218">
        <f t="shared" si="92"/>
        <v>1.998396551724138</v>
      </c>
      <c r="BE61" s="217">
        <f t="shared" si="92"/>
        <v>2</v>
      </c>
      <c r="BF61" s="218">
        <f t="shared" si="92"/>
        <v>4</v>
      </c>
      <c r="BG61" s="218">
        <f t="shared" si="92"/>
        <v>2.998396551724138</v>
      </c>
      <c r="BH61" s="218">
        <f t="shared" si="92"/>
        <v>2</v>
      </c>
      <c r="BI61" s="218">
        <f t="shared" si="92"/>
        <v>0</v>
      </c>
      <c r="BJ61" s="219">
        <f t="shared" si="92"/>
        <v>1.998396551724138</v>
      </c>
      <c r="BK61" s="218">
        <f t="shared" si="92"/>
        <v>0</v>
      </c>
      <c r="BL61" s="218">
        <f t="shared" si="92"/>
        <v>0</v>
      </c>
      <c r="BM61" s="218">
        <f t="shared" si="92"/>
        <v>0</v>
      </c>
      <c r="BN61" s="218">
        <f t="shared" si="92"/>
        <v>0</v>
      </c>
      <c r="BO61" s="218">
        <f t="shared" si="92"/>
        <v>0</v>
      </c>
      <c r="BP61" s="217">
        <f t="shared" si="92"/>
        <v>0</v>
      </c>
      <c r="BQ61" s="218">
        <f t="shared" si="92"/>
        <v>0</v>
      </c>
      <c r="BR61" s="218">
        <f t="shared" si="92"/>
        <v>0</v>
      </c>
      <c r="BS61" s="218">
        <f t="shared" si="92"/>
        <v>0</v>
      </c>
      <c r="BT61" s="218">
        <f t="shared" si="92"/>
        <v>0</v>
      </c>
      <c r="BU61" s="218">
        <f t="shared" ref="BU61:CA61" si="93">SUM(BU39:BU60)</f>
        <v>5.998396551724138</v>
      </c>
      <c r="BV61" s="218">
        <f t="shared" si="93"/>
        <v>0</v>
      </c>
      <c r="BW61" s="218">
        <f t="shared" si="93"/>
        <v>0</v>
      </c>
      <c r="BX61" s="218">
        <f t="shared" si="93"/>
        <v>0</v>
      </c>
      <c r="BY61" s="218">
        <f t="shared" si="93"/>
        <v>0</v>
      </c>
      <c r="BZ61" s="218">
        <f t="shared" si="93"/>
        <v>0</v>
      </c>
      <c r="CA61" s="219">
        <f t="shared" si="93"/>
        <v>1</v>
      </c>
    </row>
    <row r="63" spans="1:83" ht="16.5" thickBot="1" x14ac:dyDescent="0.3"/>
    <row r="64" spans="1:83" ht="19.5" thickBot="1" x14ac:dyDescent="0.35">
      <c r="A64" s="306" t="s">
        <v>76</v>
      </c>
      <c r="D64" s="13"/>
      <c r="E64" s="13"/>
      <c r="F64" s="13"/>
      <c r="G64" s="13"/>
      <c r="H64" s="13"/>
      <c r="I64" s="13"/>
      <c r="J64" s="13"/>
      <c r="K64" s="407" t="s">
        <v>12</v>
      </c>
      <c r="L64" s="408"/>
      <c r="M64" s="408"/>
      <c r="N64" s="408"/>
      <c r="O64" s="408"/>
      <c r="P64" s="409"/>
      <c r="Q64" s="393" t="s">
        <v>65</v>
      </c>
      <c r="R64" s="394"/>
      <c r="S64" s="394"/>
      <c r="T64" s="395"/>
      <c r="U64" s="433" t="s">
        <v>66</v>
      </c>
      <c r="V64" s="433"/>
      <c r="W64" s="433"/>
      <c r="X64" s="433"/>
      <c r="Y64" s="433"/>
      <c r="Z64" s="433"/>
      <c r="AA64" s="384" t="s">
        <v>59</v>
      </c>
      <c r="AB64" s="385"/>
      <c r="AC64" s="386"/>
      <c r="AD64" s="386"/>
      <c r="AE64" s="387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3"/>
      <c r="AQ64" s="105"/>
      <c r="AS64" s="407" t="s">
        <v>12</v>
      </c>
      <c r="AT64" s="408"/>
      <c r="AU64" s="408"/>
      <c r="AV64" s="408"/>
      <c r="AW64" s="408"/>
      <c r="AX64" s="408"/>
      <c r="AY64" s="408"/>
      <c r="AZ64" s="409"/>
      <c r="BA64" s="394" t="s">
        <v>65</v>
      </c>
      <c r="BB64" s="394"/>
      <c r="BC64" s="394"/>
      <c r="BD64" s="394"/>
      <c r="BE64" s="381" t="s">
        <v>66</v>
      </c>
      <c r="BF64" s="382"/>
      <c r="BG64" s="382"/>
      <c r="BH64" s="382"/>
      <c r="BI64" s="382"/>
      <c r="BJ64" s="383"/>
      <c r="BK64" s="442" t="s">
        <v>59</v>
      </c>
      <c r="BL64" s="385"/>
      <c r="BM64" s="386"/>
      <c r="BN64" s="386"/>
      <c r="BO64" s="386"/>
      <c r="BP64" s="38"/>
      <c r="BQ64" s="92"/>
      <c r="BR64" s="92"/>
      <c r="BS64" s="92"/>
      <c r="BT64" s="92"/>
      <c r="BU64" s="92"/>
      <c r="BV64" s="92"/>
      <c r="BW64" s="92"/>
      <c r="BX64" s="92"/>
      <c r="BY64" s="92"/>
      <c r="BZ64" s="93"/>
      <c r="CA64" s="105"/>
    </row>
    <row r="65" spans="1:82" ht="16.5" thickBot="1" x14ac:dyDescent="0.3">
      <c r="A65" s="60"/>
      <c r="E65" s="13"/>
      <c r="F65" s="13"/>
      <c r="G65" s="13"/>
      <c r="H65" s="13"/>
      <c r="I65" s="13"/>
      <c r="J65" s="13"/>
      <c r="K65" s="410" t="s">
        <v>51</v>
      </c>
      <c r="L65" s="411"/>
      <c r="M65" s="411" t="s">
        <v>68</v>
      </c>
      <c r="N65" s="411"/>
      <c r="O65" s="411"/>
      <c r="P65" s="412"/>
      <c r="Q65" s="32"/>
      <c r="R65" s="21"/>
      <c r="S65" s="21"/>
      <c r="T65" s="33"/>
      <c r="U65" s="435" t="s">
        <v>51</v>
      </c>
      <c r="V65" s="436"/>
      <c r="W65" s="436"/>
      <c r="X65" s="436"/>
      <c r="Y65" s="437" t="s">
        <v>70</v>
      </c>
      <c r="Z65" s="438"/>
      <c r="AA65" s="113"/>
      <c r="AB65" s="114"/>
      <c r="AC65" s="115"/>
      <c r="AD65" s="116"/>
      <c r="AE65" s="117"/>
      <c r="AP65" s="13"/>
      <c r="AQ65" s="52"/>
      <c r="AS65" s="410" t="s">
        <v>51</v>
      </c>
      <c r="AT65" s="411"/>
      <c r="AU65" s="411"/>
      <c r="AV65" s="411"/>
      <c r="AW65" s="411" t="s">
        <v>68</v>
      </c>
      <c r="AX65" s="411"/>
      <c r="AY65" s="411"/>
      <c r="AZ65" s="412"/>
      <c r="BA65" s="21"/>
      <c r="BB65" s="21"/>
      <c r="BC65" s="21"/>
      <c r="BD65" s="21"/>
      <c r="BE65" s="402" t="s">
        <v>51</v>
      </c>
      <c r="BF65" s="403"/>
      <c r="BG65" s="403"/>
      <c r="BH65" s="403"/>
      <c r="BI65" s="398" t="s">
        <v>70</v>
      </c>
      <c r="BJ65" s="399"/>
      <c r="BK65" s="194"/>
      <c r="BL65" s="114"/>
      <c r="BM65" s="115"/>
      <c r="BN65" s="116"/>
      <c r="BO65" s="116"/>
      <c r="BP65" s="37"/>
      <c r="BZ65" s="13"/>
      <c r="CA65" s="52"/>
    </row>
    <row r="66" spans="1:82" x14ac:dyDescent="0.25">
      <c r="A66" s="190"/>
      <c r="B66" s="424" t="s">
        <v>50</v>
      </c>
      <c r="C66" s="425"/>
      <c r="D66" s="426"/>
      <c r="E66" s="13"/>
      <c r="F66" s="427" t="s">
        <v>34</v>
      </c>
      <c r="G66" s="425"/>
      <c r="H66" s="428"/>
      <c r="I66" s="119" t="s">
        <v>77</v>
      </c>
      <c r="J66" s="13"/>
      <c r="K66" s="402" t="s">
        <v>67</v>
      </c>
      <c r="L66" s="401"/>
      <c r="M66" s="400" t="s">
        <v>67</v>
      </c>
      <c r="N66" s="401"/>
      <c r="O66" s="400" t="s">
        <v>9</v>
      </c>
      <c r="P66" s="413"/>
      <c r="Q66" s="396" t="s">
        <v>51</v>
      </c>
      <c r="R66" s="397"/>
      <c r="S66" s="398" t="s">
        <v>70</v>
      </c>
      <c r="T66" s="399"/>
      <c r="U66" s="402" t="s">
        <v>7</v>
      </c>
      <c r="V66" s="401"/>
      <c r="W66" s="400" t="s">
        <v>8</v>
      </c>
      <c r="X66" s="401"/>
      <c r="Y66" s="21"/>
      <c r="Z66" s="33"/>
      <c r="AA66" s="88"/>
      <c r="AB66" s="391" t="s">
        <v>37</v>
      </c>
      <c r="AC66" s="392"/>
      <c r="AD66" s="81"/>
      <c r="AE66" s="89"/>
      <c r="AF66" s="443" t="s">
        <v>40</v>
      </c>
      <c r="AG66" s="389"/>
      <c r="AH66" s="388" t="s">
        <v>89</v>
      </c>
      <c r="AI66" s="389"/>
      <c r="AJ66" s="388" t="s">
        <v>39</v>
      </c>
      <c r="AK66" s="389"/>
      <c r="AL66" s="388" t="s">
        <v>48</v>
      </c>
      <c r="AM66" s="389"/>
      <c r="AN66" s="388" t="s">
        <v>60</v>
      </c>
      <c r="AO66" s="389"/>
      <c r="AP66" s="388" t="s">
        <v>61</v>
      </c>
      <c r="AQ66" s="390"/>
      <c r="AS66" s="402" t="s">
        <v>67</v>
      </c>
      <c r="AT66" s="401"/>
      <c r="AU66" s="400" t="s">
        <v>28</v>
      </c>
      <c r="AV66" s="401"/>
      <c r="AW66" s="400" t="s">
        <v>67</v>
      </c>
      <c r="AX66" s="401"/>
      <c r="AY66" s="400" t="s">
        <v>9</v>
      </c>
      <c r="AZ66" s="413"/>
      <c r="BA66" s="397" t="s">
        <v>51</v>
      </c>
      <c r="BB66" s="397"/>
      <c r="BC66" s="398" t="s">
        <v>70</v>
      </c>
      <c r="BD66" s="397"/>
      <c r="BE66" s="402" t="s">
        <v>7</v>
      </c>
      <c r="BF66" s="401"/>
      <c r="BG66" s="400" t="s">
        <v>8</v>
      </c>
      <c r="BH66" s="401"/>
      <c r="BI66" s="21"/>
      <c r="BJ66" s="33"/>
      <c r="BK66" s="55"/>
      <c r="BL66" s="391" t="s">
        <v>37</v>
      </c>
      <c r="BM66" s="392"/>
      <c r="BN66" s="81"/>
      <c r="BO66" s="110"/>
      <c r="BP66" s="404" t="s">
        <v>40</v>
      </c>
      <c r="BQ66" s="389"/>
      <c r="BR66" s="388" t="s">
        <v>89</v>
      </c>
      <c r="BS66" s="389"/>
      <c r="BT66" s="388" t="s">
        <v>39</v>
      </c>
      <c r="BU66" s="389"/>
      <c r="BV66" s="388" t="s">
        <v>45</v>
      </c>
      <c r="BW66" s="389"/>
      <c r="BX66" s="388" t="s">
        <v>60</v>
      </c>
      <c r="BY66" s="389"/>
      <c r="BZ66" s="388" t="s">
        <v>61</v>
      </c>
      <c r="CA66" s="390"/>
    </row>
    <row r="67" spans="1:82" x14ac:dyDescent="0.25">
      <c r="A67" s="125" t="s">
        <v>18</v>
      </c>
      <c r="B67" s="19"/>
      <c r="C67" s="19" t="s">
        <v>30</v>
      </c>
      <c r="D67" s="124" t="s">
        <v>32</v>
      </c>
      <c r="E67" s="24"/>
      <c r="F67" s="97"/>
      <c r="G67" s="189" t="s">
        <v>30</v>
      </c>
      <c r="H67" s="20" t="s">
        <v>32</v>
      </c>
      <c r="I67" s="120" t="s">
        <v>50</v>
      </c>
      <c r="J67" s="24"/>
      <c r="K67" s="30" t="s">
        <v>94</v>
      </c>
      <c r="L67" s="23" t="s">
        <v>93</v>
      </c>
      <c r="M67" s="23" t="s">
        <v>94</v>
      </c>
      <c r="N67" s="23" t="s">
        <v>93</v>
      </c>
      <c r="O67" s="23" t="s">
        <v>94</v>
      </c>
      <c r="P67" s="84" t="s">
        <v>93</v>
      </c>
      <c r="Q67" s="30" t="s">
        <v>69</v>
      </c>
      <c r="R67" s="23" t="s">
        <v>67</v>
      </c>
      <c r="S67" s="23" t="s">
        <v>69</v>
      </c>
      <c r="T67" s="31" t="s">
        <v>67</v>
      </c>
      <c r="U67" s="30" t="s">
        <v>69</v>
      </c>
      <c r="V67" s="23" t="s">
        <v>67</v>
      </c>
      <c r="W67" s="23" t="s">
        <v>69</v>
      </c>
      <c r="X67" s="23" t="s">
        <v>67</v>
      </c>
      <c r="Y67" s="23" t="s">
        <v>7</v>
      </c>
      <c r="Z67" s="31" t="s">
        <v>8</v>
      </c>
      <c r="AA67" s="90" t="s">
        <v>49</v>
      </c>
      <c r="AB67" s="83" t="s">
        <v>11</v>
      </c>
      <c r="AC67" s="26" t="s">
        <v>10</v>
      </c>
      <c r="AD67" s="82" t="s">
        <v>38</v>
      </c>
      <c r="AE67" s="91" t="s">
        <v>62</v>
      </c>
      <c r="AF67" s="4" t="s">
        <v>10</v>
      </c>
      <c r="AG67" s="26" t="s">
        <v>11</v>
      </c>
      <c r="AH67" s="3" t="s">
        <v>10</v>
      </c>
      <c r="AI67" s="3" t="s">
        <v>11</v>
      </c>
      <c r="AJ67" s="4" t="s">
        <v>10</v>
      </c>
      <c r="AK67" s="3" t="s">
        <v>11</v>
      </c>
      <c r="AL67" s="3" t="s">
        <v>10</v>
      </c>
      <c r="AM67" s="26" t="s">
        <v>11</v>
      </c>
      <c r="AN67" s="3" t="s">
        <v>10</v>
      </c>
      <c r="AO67" s="3" t="s">
        <v>11</v>
      </c>
      <c r="AP67" s="23" t="s">
        <v>10</v>
      </c>
      <c r="AQ67" s="31" t="s">
        <v>11</v>
      </c>
      <c r="AS67" s="30" t="s">
        <v>63</v>
      </c>
      <c r="AT67" s="23" t="s">
        <v>64</v>
      </c>
      <c r="AU67" s="23" t="s">
        <v>63</v>
      </c>
      <c r="AV67" s="23" t="s">
        <v>64</v>
      </c>
      <c r="AW67" s="23" t="s">
        <v>63</v>
      </c>
      <c r="AX67" s="23" t="s">
        <v>64</v>
      </c>
      <c r="AY67" s="23" t="s">
        <v>63</v>
      </c>
      <c r="AZ67" s="31" t="s">
        <v>64</v>
      </c>
      <c r="BA67" s="84" t="s">
        <v>69</v>
      </c>
      <c r="BB67" s="23" t="s">
        <v>67</v>
      </c>
      <c r="BC67" s="23" t="s">
        <v>69</v>
      </c>
      <c r="BD67" s="29" t="s">
        <v>67</v>
      </c>
      <c r="BE67" s="30" t="s">
        <v>69</v>
      </c>
      <c r="BF67" s="23" t="s">
        <v>67</v>
      </c>
      <c r="BG67" s="23" t="s">
        <v>69</v>
      </c>
      <c r="BH67" s="23" t="s">
        <v>67</v>
      </c>
      <c r="BI67" s="23" t="s">
        <v>7</v>
      </c>
      <c r="BJ67" s="31" t="s">
        <v>8</v>
      </c>
      <c r="BK67" s="195" t="s">
        <v>49</v>
      </c>
      <c r="BL67" s="83" t="s">
        <v>11</v>
      </c>
      <c r="BM67" s="26" t="s">
        <v>10</v>
      </c>
      <c r="BN67" s="82" t="s">
        <v>38</v>
      </c>
      <c r="BO67" s="193" t="s">
        <v>62</v>
      </c>
      <c r="BP67" s="106" t="s">
        <v>10</v>
      </c>
      <c r="BQ67" s="26" t="s">
        <v>11</v>
      </c>
      <c r="BR67" s="3" t="s">
        <v>10</v>
      </c>
      <c r="BS67" s="3" t="s">
        <v>11</v>
      </c>
      <c r="BT67" s="4" t="s">
        <v>10</v>
      </c>
      <c r="BU67" s="3" t="s">
        <v>11</v>
      </c>
      <c r="BV67" s="3" t="s">
        <v>10</v>
      </c>
      <c r="BW67" s="26" t="s">
        <v>11</v>
      </c>
      <c r="BX67" s="3" t="s">
        <v>10</v>
      </c>
      <c r="BY67" s="3" t="s">
        <v>11</v>
      </c>
      <c r="BZ67" s="23" t="s">
        <v>10</v>
      </c>
      <c r="CA67" s="31" t="s">
        <v>11</v>
      </c>
    </row>
    <row r="68" spans="1:82" x14ac:dyDescent="0.25">
      <c r="A68" s="127" t="s">
        <v>153</v>
      </c>
      <c r="B68" s="205"/>
      <c r="C68" s="109">
        <f>Bank!D16</f>
        <v>0</v>
      </c>
      <c r="D68" s="128">
        <f>Bank!E16</f>
        <v>0</v>
      </c>
      <c r="E68" s="25"/>
      <c r="F68" s="199"/>
      <c r="G68" s="200" t="e">
        <f>C68/I68</f>
        <v>#DIV/0!</v>
      </c>
      <c r="H68" s="46" t="e">
        <f>Bank!N16</f>
        <v>#DIV/0!</v>
      </c>
      <c r="I68" s="197" t="e">
        <f>D68/H68</f>
        <v>#DIV/0!</v>
      </c>
      <c r="J68" s="25"/>
      <c r="K68" s="95" t="e">
        <f>Bank!CN16</f>
        <v>#DIV/0!</v>
      </c>
      <c r="L68" s="41" t="e">
        <f>Bank!CO16</f>
        <v>#DIV/0!</v>
      </c>
      <c r="M68" s="41" t="e">
        <f>Bank!CR16</f>
        <v>#DIV/0!</v>
      </c>
      <c r="N68" s="41" t="e">
        <f>Bank!CS16</f>
        <v>#DIV/0!</v>
      </c>
      <c r="O68" s="41" t="e">
        <f>Bank!CT16</f>
        <v>#DIV/0!</v>
      </c>
      <c r="P68" s="42" t="e">
        <f>Bank!CU16</f>
        <v>#DIV/0!</v>
      </c>
      <c r="Q68" s="95" t="e">
        <f>Bank!CV16</f>
        <v>#DIV/0!</v>
      </c>
      <c r="R68" s="41" t="e">
        <f>Bank!CW16</f>
        <v>#DIV/0!</v>
      </c>
      <c r="S68" s="41" t="e">
        <f>Bank!CX16</f>
        <v>#DIV/0!</v>
      </c>
      <c r="T68" s="42" t="e">
        <f>Bank!CY16</f>
        <v>#DIV/0!</v>
      </c>
      <c r="U68" s="95" t="e">
        <f>Bank!CZ16</f>
        <v>#DIV/0!</v>
      </c>
      <c r="V68" s="41" t="e">
        <f>Bank!DA16</f>
        <v>#DIV/0!</v>
      </c>
      <c r="W68" s="41" t="e">
        <f>Bank!DB16</f>
        <v>#DIV/0!</v>
      </c>
      <c r="X68" s="41" t="e">
        <f>Bank!DC16</f>
        <v>#DIV/0!</v>
      </c>
      <c r="Y68" s="41" t="e">
        <f>Bank!DD16</f>
        <v>#DIV/0!</v>
      </c>
      <c r="Z68" s="42" t="e">
        <f>Bank!DE16</f>
        <v>#DIV/0!</v>
      </c>
      <c r="AA68" s="95" t="e">
        <f>Bank!DF16</f>
        <v>#DIV/0!</v>
      </c>
      <c r="AB68" s="41" t="e">
        <f>Bank!DG16</f>
        <v>#DIV/0!</v>
      </c>
      <c r="AC68" s="41" t="e">
        <f>Bank!DH16</f>
        <v>#DIV/0!</v>
      </c>
      <c r="AD68" s="41" t="e">
        <f>Bank!DI16</f>
        <v>#DIV/0!</v>
      </c>
      <c r="AE68" s="42" t="e">
        <f>Bank!DJ16</f>
        <v>#DIV/0!</v>
      </c>
      <c r="AF68" s="41" t="e">
        <f>Bank!DK16</f>
        <v>#DIV/0!</v>
      </c>
      <c r="AG68" s="41" t="e">
        <f>Bank!DL16</f>
        <v>#DIV/0!</v>
      </c>
      <c r="AH68" s="41" t="e">
        <f>Bank!DM16</f>
        <v>#DIV/0!</v>
      </c>
      <c r="AI68" s="41" t="e">
        <f>Bank!DN16</f>
        <v>#DIV/0!</v>
      </c>
      <c r="AJ68" s="41" t="e">
        <f>Bank!DO16</f>
        <v>#DIV/0!</v>
      </c>
      <c r="AK68" s="41" t="e">
        <f>Bank!DP16</f>
        <v>#DIV/0!</v>
      </c>
      <c r="AL68" s="41" t="e">
        <f>Bank!DQ16</f>
        <v>#DIV/0!</v>
      </c>
      <c r="AM68" s="41" t="e">
        <f>Bank!DR16</f>
        <v>#DIV/0!</v>
      </c>
      <c r="AN68" s="41" t="e">
        <f>Bank!DS16</f>
        <v>#DIV/0!</v>
      </c>
      <c r="AO68" s="41" t="e">
        <f>Bank!DT16</f>
        <v>#DIV/0!</v>
      </c>
      <c r="AP68" s="41" t="e">
        <f>Bank!DU16</f>
        <v>#DIV/0!</v>
      </c>
      <c r="AQ68" s="42" t="e">
        <f>Bank!DV16</f>
        <v>#DIV/0!</v>
      </c>
      <c r="AS68" s="95">
        <f>Bank!P16</f>
        <v>0</v>
      </c>
      <c r="AT68" s="41">
        <f>Bank!Q16</f>
        <v>0</v>
      </c>
      <c r="AU68" s="41">
        <f>Bank!R16</f>
        <v>0</v>
      </c>
      <c r="AV68" s="41">
        <f>Bank!S16</f>
        <v>0</v>
      </c>
      <c r="AW68" s="41">
        <f>Bank!T16</f>
        <v>0</v>
      </c>
      <c r="AX68" s="41">
        <f>Bank!U16</f>
        <v>0</v>
      </c>
      <c r="AY68" s="41">
        <f>Bank!V16</f>
        <v>0</v>
      </c>
      <c r="AZ68" s="42">
        <f>Bank!W16</f>
        <v>0</v>
      </c>
      <c r="BA68" s="41">
        <f>Bank!X16</f>
        <v>0</v>
      </c>
      <c r="BB68" s="41">
        <f>Bank!Y16</f>
        <v>0</v>
      </c>
      <c r="BC68" s="41">
        <f>Bank!Z16</f>
        <v>0</v>
      </c>
      <c r="BD68" s="41">
        <f>Bank!AA16</f>
        <v>0</v>
      </c>
      <c r="BE68" s="95">
        <f>Bank!AB16</f>
        <v>0</v>
      </c>
      <c r="BF68" s="41">
        <f>Bank!AC16</f>
        <v>0</v>
      </c>
      <c r="BG68" s="41">
        <f>Bank!AD16</f>
        <v>0</v>
      </c>
      <c r="BH68" s="41">
        <f>Bank!AE16</f>
        <v>0</v>
      </c>
      <c r="BI68" s="41">
        <f>Bank!AF16</f>
        <v>0</v>
      </c>
      <c r="BJ68" s="42">
        <f>Bank!AG16</f>
        <v>0</v>
      </c>
      <c r="BK68" s="41">
        <f>Bank!AH16</f>
        <v>0</v>
      </c>
      <c r="BL68" s="41">
        <f>Bank!AI16</f>
        <v>0</v>
      </c>
      <c r="BM68" s="41">
        <f>Bank!AJ16</f>
        <v>0</v>
      </c>
      <c r="BN68" s="41">
        <f>Bank!AK16</f>
        <v>0</v>
      </c>
      <c r="BO68" s="41">
        <f>Bank!AL16</f>
        <v>0</v>
      </c>
      <c r="BP68" s="95">
        <f>Bank!AM16</f>
        <v>0</v>
      </c>
      <c r="BQ68" s="41">
        <f>Bank!AN16</f>
        <v>0</v>
      </c>
      <c r="BR68" s="41">
        <f>Bank!AO16</f>
        <v>0</v>
      </c>
      <c r="BS68" s="41">
        <f>Bank!AP16</f>
        <v>0</v>
      </c>
      <c r="BT68" s="41">
        <f>Bank!AQ16</f>
        <v>0</v>
      </c>
      <c r="BU68" s="41">
        <f>Bank!AR16</f>
        <v>0</v>
      </c>
      <c r="BV68" s="41">
        <f>Bank!AS16</f>
        <v>0</v>
      </c>
      <c r="BW68" s="41">
        <f>Bank!AT16</f>
        <v>0</v>
      </c>
      <c r="BX68" s="41">
        <f>Bank!AU16</f>
        <v>0</v>
      </c>
      <c r="BY68" s="41">
        <f>Bank!AV16</f>
        <v>0</v>
      </c>
      <c r="BZ68" s="41">
        <f>Bank!AY16</f>
        <v>0</v>
      </c>
      <c r="CA68" s="42">
        <f>Bank!AZ16</f>
        <v>0</v>
      </c>
    </row>
    <row r="69" spans="1:82" x14ac:dyDescent="0.25">
      <c r="A69" s="127" t="s">
        <v>154</v>
      </c>
      <c r="B69" s="206"/>
      <c r="C69" s="46">
        <f>Bank!D25</f>
        <v>0</v>
      </c>
      <c r="D69" s="129">
        <f>Bank!E25</f>
        <v>0</v>
      </c>
      <c r="E69" s="25"/>
      <c r="F69" s="199"/>
      <c r="G69" s="200" t="e">
        <f>C69/I69</f>
        <v>#DIV/0!</v>
      </c>
      <c r="H69" s="46" t="e">
        <f>Bank!N25</f>
        <v>#DIV/0!</v>
      </c>
      <c r="I69" s="45" t="e">
        <f>D69/H69</f>
        <v>#DIV/0!</v>
      </c>
      <c r="J69" s="25"/>
      <c r="K69" s="95" t="e">
        <f>Bank!CN25</f>
        <v>#DIV/0!</v>
      </c>
      <c r="L69" s="41" t="e">
        <f>Bank!CO25</f>
        <v>#DIV/0!</v>
      </c>
      <c r="M69" s="41" t="e">
        <f>Bank!CR25</f>
        <v>#DIV/0!</v>
      </c>
      <c r="N69" s="41" t="e">
        <f>Bank!CS25</f>
        <v>#DIV/0!</v>
      </c>
      <c r="O69" s="41" t="e">
        <f>Bank!CT25</f>
        <v>#DIV/0!</v>
      </c>
      <c r="P69" s="42" t="e">
        <f>Bank!CU25</f>
        <v>#DIV/0!</v>
      </c>
      <c r="Q69" s="95" t="e">
        <f>Bank!CV25</f>
        <v>#DIV/0!</v>
      </c>
      <c r="R69" s="41" t="e">
        <f>Bank!CW25</f>
        <v>#DIV/0!</v>
      </c>
      <c r="S69" s="41" t="e">
        <f>Bank!CX25</f>
        <v>#DIV/0!</v>
      </c>
      <c r="T69" s="42" t="e">
        <f>Bank!CY25</f>
        <v>#DIV/0!</v>
      </c>
      <c r="U69" s="95" t="e">
        <f>Bank!CZ25</f>
        <v>#DIV/0!</v>
      </c>
      <c r="V69" s="41" t="e">
        <f>Bank!DA25</f>
        <v>#DIV/0!</v>
      </c>
      <c r="W69" s="41" t="e">
        <f>Bank!DB25</f>
        <v>#DIV/0!</v>
      </c>
      <c r="X69" s="41" t="e">
        <f>Bank!DC25</f>
        <v>#DIV/0!</v>
      </c>
      <c r="Y69" s="41" t="e">
        <f>Bank!DD25</f>
        <v>#DIV/0!</v>
      </c>
      <c r="Z69" s="42" t="e">
        <f>Bank!DE25</f>
        <v>#DIV/0!</v>
      </c>
      <c r="AA69" s="95" t="e">
        <f>Bank!DF25</f>
        <v>#DIV/0!</v>
      </c>
      <c r="AB69" s="41" t="e">
        <f>Bank!DG25</f>
        <v>#DIV/0!</v>
      </c>
      <c r="AC69" s="41" t="e">
        <f>Bank!DH25</f>
        <v>#DIV/0!</v>
      </c>
      <c r="AD69" s="41" t="e">
        <f>Bank!DI25</f>
        <v>#DIV/0!</v>
      </c>
      <c r="AE69" s="42" t="e">
        <f>Bank!DJ25</f>
        <v>#DIV/0!</v>
      </c>
      <c r="AF69" s="41" t="e">
        <f>Bank!DK25</f>
        <v>#DIV/0!</v>
      </c>
      <c r="AG69" s="41" t="e">
        <f>Bank!DL25</f>
        <v>#DIV/0!</v>
      </c>
      <c r="AH69" s="41" t="e">
        <f>Bank!DM25</f>
        <v>#DIV/0!</v>
      </c>
      <c r="AI69" s="41" t="e">
        <f>Bank!DN25</f>
        <v>#DIV/0!</v>
      </c>
      <c r="AJ69" s="41" t="e">
        <f>Bank!DO25</f>
        <v>#DIV/0!</v>
      </c>
      <c r="AK69" s="41" t="e">
        <f>Bank!DP25</f>
        <v>#DIV/0!</v>
      </c>
      <c r="AL69" s="41" t="e">
        <f>Bank!DQ25</f>
        <v>#DIV/0!</v>
      </c>
      <c r="AM69" s="41" t="e">
        <f>Bank!DR25</f>
        <v>#DIV/0!</v>
      </c>
      <c r="AN69" s="41" t="e">
        <f>Bank!DS25</f>
        <v>#DIV/0!</v>
      </c>
      <c r="AO69" s="41" t="e">
        <f>Bank!DT25</f>
        <v>#DIV/0!</v>
      </c>
      <c r="AP69" s="41" t="e">
        <f>Bank!DU25</f>
        <v>#DIV/0!</v>
      </c>
      <c r="AQ69" s="42" t="e">
        <f>Bank!DV25</f>
        <v>#DIV/0!</v>
      </c>
      <c r="AS69" s="95">
        <f>Bank!P25</f>
        <v>0</v>
      </c>
      <c r="AT69" s="41">
        <f>Bank!Q25</f>
        <v>0</v>
      </c>
      <c r="AU69" s="41">
        <f>Bank!R25</f>
        <v>0</v>
      </c>
      <c r="AV69" s="41">
        <f>Bank!S25</f>
        <v>0</v>
      </c>
      <c r="AW69" s="41">
        <f>Bank!T25</f>
        <v>0</v>
      </c>
      <c r="AX69" s="41">
        <f>Bank!U25</f>
        <v>0</v>
      </c>
      <c r="AY69" s="41">
        <f>Bank!V25</f>
        <v>0</v>
      </c>
      <c r="AZ69" s="42">
        <f>Bank!W25</f>
        <v>0</v>
      </c>
      <c r="BA69" s="41">
        <f>Bank!X25</f>
        <v>0</v>
      </c>
      <c r="BB69" s="41">
        <f>Bank!Y25</f>
        <v>0</v>
      </c>
      <c r="BC69" s="41">
        <f>Bank!Z25</f>
        <v>0</v>
      </c>
      <c r="BD69" s="41">
        <f>Bank!AA25</f>
        <v>0</v>
      </c>
      <c r="BE69" s="95">
        <f>Bank!AB25</f>
        <v>0</v>
      </c>
      <c r="BF69" s="41">
        <f>Bank!AC25</f>
        <v>0</v>
      </c>
      <c r="BG69" s="41">
        <f>Bank!AD25</f>
        <v>0</v>
      </c>
      <c r="BH69" s="41">
        <f>Bank!AE25</f>
        <v>0</v>
      </c>
      <c r="BI69" s="41">
        <f>Bank!AF25</f>
        <v>0</v>
      </c>
      <c r="BJ69" s="42">
        <f>Bank!AG25</f>
        <v>0</v>
      </c>
      <c r="BK69" s="41">
        <f>Bank!AH25</f>
        <v>0</v>
      </c>
      <c r="BL69" s="41">
        <f>Bank!AI25</f>
        <v>0</v>
      </c>
      <c r="BM69" s="41">
        <f>Bank!AJ25</f>
        <v>0</v>
      </c>
      <c r="BN69" s="41">
        <f>Bank!AK25</f>
        <v>0</v>
      </c>
      <c r="BO69" s="41">
        <f>Bank!AL25</f>
        <v>0</v>
      </c>
      <c r="BP69" s="95">
        <f>Bank!AM25</f>
        <v>0</v>
      </c>
      <c r="BQ69" s="41">
        <f>Bank!AN25</f>
        <v>0</v>
      </c>
      <c r="BR69" s="41">
        <f>Bank!AO25</f>
        <v>0</v>
      </c>
      <c r="BS69" s="41">
        <f>Bank!AP25</f>
        <v>0</v>
      </c>
      <c r="BT69" s="41">
        <f>Bank!AQ25</f>
        <v>0</v>
      </c>
      <c r="BU69" s="41">
        <f>Bank!AR25</f>
        <v>0</v>
      </c>
      <c r="BV69" s="41">
        <f>Bank!AS25</f>
        <v>0</v>
      </c>
      <c r="BW69" s="41">
        <f>Bank!AT25</f>
        <v>0</v>
      </c>
      <c r="BX69" s="41">
        <f>Bank!AU25</f>
        <v>0</v>
      </c>
      <c r="BY69" s="41">
        <f>Bank!AV25</f>
        <v>0</v>
      </c>
      <c r="BZ69" s="41">
        <f>Bank!AY25</f>
        <v>0</v>
      </c>
      <c r="CA69" s="42">
        <f>Bank!AZ25</f>
        <v>0</v>
      </c>
    </row>
    <row r="70" spans="1:82" x14ac:dyDescent="0.25">
      <c r="A70" s="127" t="s">
        <v>155</v>
      </c>
      <c r="B70" s="206"/>
      <c r="C70" s="46">
        <f>Bank!D34</f>
        <v>0</v>
      </c>
      <c r="D70" s="129">
        <f>Bank!E34</f>
        <v>0</v>
      </c>
      <c r="E70" s="25"/>
      <c r="F70" s="199"/>
      <c r="G70" s="200" t="e">
        <f>C70/I70</f>
        <v>#DIV/0!</v>
      </c>
      <c r="H70" s="46" t="e">
        <f>Bank!N34</f>
        <v>#DIV/0!</v>
      </c>
      <c r="I70" s="45" t="e">
        <f>D70/H70</f>
        <v>#DIV/0!</v>
      </c>
      <c r="J70" s="25"/>
      <c r="K70" s="95" t="e">
        <f>Bank!CN34</f>
        <v>#DIV/0!</v>
      </c>
      <c r="L70" s="41" t="e">
        <f>Bank!CO34</f>
        <v>#DIV/0!</v>
      </c>
      <c r="M70" s="41" t="e">
        <f>Bank!CR34</f>
        <v>#DIV/0!</v>
      </c>
      <c r="N70" s="41" t="e">
        <f>Bank!CS34</f>
        <v>#DIV/0!</v>
      </c>
      <c r="O70" s="41" t="e">
        <f>Bank!CT34</f>
        <v>#DIV/0!</v>
      </c>
      <c r="P70" s="42" t="e">
        <f>Bank!CU34</f>
        <v>#DIV/0!</v>
      </c>
      <c r="Q70" s="95" t="e">
        <f>Bank!CV34</f>
        <v>#DIV/0!</v>
      </c>
      <c r="R70" s="41" t="e">
        <f>Bank!CW34</f>
        <v>#DIV/0!</v>
      </c>
      <c r="S70" s="41" t="e">
        <f>Bank!CX34</f>
        <v>#DIV/0!</v>
      </c>
      <c r="T70" s="42" t="e">
        <f>Bank!CY34</f>
        <v>#DIV/0!</v>
      </c>
      <c r="U70" s="95" t="e">
        <f>Bank!CZ34</f>
        <v>#DIV/0!</v>
      </c>
      <c r="V70" s="41" t="e">
        <f>Bank!DA34</f>
        <v>#DIV/0!</v>
      </c>
      <c r="W70" s="41" t="e">
        <f>Bank!DB34</f>
        <v>#DIV/0!</v>
      </c>
      <c r="X70" s="41" t="e">
        <f>Bank!DC34</f>
        <v>#DIV/0!</v>
      </c>
      <c r="Y70" s="41" t="e">
        <f>Bank!DD34</f>
        <v>#DIV/0!</v>
      </c>
      <c r="Z70" s="42" t="e">
        <f>Bank!DE34</f>
        <v>#DIV/0!</v>
      </c>
      <c r="AA70" s="95" t="e">
        <f>Bank!DF34</f>
        <v>#DIV/0!</v>
      </c>
      <c r="AB70" s="41" t="e">
        <f>Bank!DG34</f>
        <v>#DIV/0!</v>
      </c>
      <c r="AC70" s="41" t="e">
        <f>Bank!DH34</f>
        <v>#DIV/0!</v>
      </c>
      <c r="AD70" s="41" t="e">
        <f>Bank!DI34</f>
        <v>#DIV/0!</v>
      </c>
      <c r="AE70" s="42" t="e">
        <f>Bank!DJ34</f>
        <v>#DIV/0!</v>
      </c>
      <c r="AF70" s="41" t="e">
        <f>Bank!DK34</f>
        <v>#DIV/0!</v>
      </c>
      <c r="AG70" s="41" t="e">
        <f>Bank!DL34</f>
        <v>#DIV/0!</v>
      </c>
      <c r="AH70" s="41" t="e">
        <f>Bank!DM34</f>
        <v>#DIV/0!</v>
      </c>
      <c r="AI70" s="41" t="e">
        <f>Bank!DN34</f>
        <v>#DIV/0!</v>
      </c>
      <c r="AJ70" s="41" t="e">
        <f>Bank!DO34</f>
        <v>#DIV/0!</v>
      </c>
      <c r="AK70" s="41" t="e">
        <f>Bank!DP34</f>
        <v>#DIV/0!</v>
      </c>
      <c r="AL70" s="41" t="e">
        <f>Bank!DQ34</f>
        <v>#DIV/0!</v>
      </c>
      <c r="AM70" s="41" t="e">
        <f>Bank!DR34</f>
        <v>#DIV/0!</v>
      </c>
      <c r="AN70" s="41" t="e">
        <f>Bank!DS34</f>
        <v>#DIV/0!</v>
      </c>
      <c r="AO70" s="41" t="e">
        <f>Bank!DT34</f>
        <v>#DIV/0!</v>
      </c>
      <c r="AP70" s="41" t="e">
        <f>Bank!DU34</f>
        <v>#DIV/0!</v>
      </c>
      <c r="AQ70" s="42" t="e">
        <f>Bank!DV34</f>
        <v>#DIV/0!</v>
      </c>
      <c r="AS70" s="95">
        <f>Bank!P34</f>
        <v>0</v>
      </c>
      <c r="AT70" s="41">
        <f>Bank!Q34</f>
        <v>0</v>
      </c>
      <c r="AU70" s="41">
        <f>Bank!R34</f>
        <v>0</v>
      </c>
      <c r="AV70" s="41">
        <f>Bank!S34</f>
        <v>0</v>
      </c>
      <c r="AW70" s="41">
        <f>Bank!T34</f>
        <v>0</v>
      </c>
      <c r="AX70" s="41">
        <f>Bank!U34</f>
        <v>0</v>
      </c>
      <c r="AY70" s="41">
        <f>Bank!V34</f>
        <v>0</v>
      </c>
      <c r="AZ70" s="42">
        <f>Bank!W34</f>
        <v>0</v>
      </c>
      <c r="BA70" s="41">
        <f>Bank!X34</f>
        <v>0</v>
      </c>
      <c r="BB70" s="41">
        <f>Bank!Y34</f>
        <v>0</v>
      </c>
      <c r="BC70" s="41">
        <f>Bank!Z34</f>
        <v>0</v>
      </c>
      <c r="BD70" s="41">
        <f>Bank!AA34</f>
        <v>0</v>
      </c>
      <c r="BE70" s="95">
        <f>Bank!AB34</f>
        <v>0</v>
      </c>
      <c r="BF70" s="41">
        <f>Bank!AC34</f>
        <v>0</v>
      </c>
      <c r="BG70" s="41">
        <f>Bank!AD34</f>
        <v>0</v>
      </c>
      <c r="BH70" s="41">
        <f>Bank!AE34</f>
        <v>0</v>
      </c>
      <c r="BI70" s="41">
        <f>Bank!AF34</f>
        <v>0</v>
      </c>
      <c r="BJ70" s="42">
        <f>Bank!AG34</f>
        <v>0</v>
      </c>
      <c r="BK70" s="41">
        <f>Bank!AH34</f>
        <v>0</v>
      </c>
      <c r="BL70" s="41">
        <f>Bank!AI34</f>
        <v>0</v>
      </c>
      <c r="BM70" s="41">
        <f>Bank!AJ34</f>
        <v>0</v>
      </c>
      <c r="BN70" s="41">
        <f>Bank!AK34</f>
        <v>0</v>
      </c>
      <c r="BO70" s="41">
        <f>Bank!AL34</f>
        <v>0</v>
      </c>
      <c r="BP70" s="95">
        <f>Bank!AM34</f>
        <v>0</v>
      </c>
      <c r="BQ70" s="41">
        <f>Bank!AN34</f>
        <v>0</v>
      </c>
      <c r="BR70" s="41">
        <f>Bank!AO34</f>
        <v>0</v>
      </c>
      <c r="BS70" s="41">
        <f>Bank!AP34</f>
        <v>0</v>
      </c>
      <c r="BT70" s="41">
        <f>Bank!AQ34</f>
        <v>0</v>
      </c>
      <c r="BU70" s="41">
        <f>Bank!AR34</f>
        <v>0</v>
      </c>
      <c r="BV70" s="41">
        <f>Bank!AS34</f>
        <v>0</v>
      </c>
      <c r="BW70" s="41">
        <f>Bank!AT34</f>
        <v>0</v>
      </c>
      <c r="BX70" s="41">
        <f>Bank!AU34</f>
        <v>0</v>
      </c>
      <c r="BY70" s="41">
        <f>Bank!AV34</f>
        <v>0</v>
      </c>
      <c r="BZ70" s="41">
        <f>Bank!AY34</f>
        <v>0</v>
      </c>
      <c r="CA70" s="42">
        <f>Bank!AZ34</f>
        <v>0</v>
      </c>
    </row>
    <row r="71" spans="1:82" x14ac:dyDescent="0.25">
      <c r="A71" s="127" t="s">
        <v>156</v>
      </c>
      <c r="B71" s="206"/>
      <c r="C71" s="46">
        <f>Bank!D43</f>
        <v>0</v>
      </c>
      <c r="D71" s="129">
        <f>Bank!E43</f>
        <v>0</v>
      </c>
      <c r="E71" s="25"/>
      <c r="F71" s="199"/>
      <c r="G71" s="200" t="e">
        <f t="shared" ref="G71:G76" si="94">C71/I71</f>
        <v>#DIV/0!</v>
      </c>
      <c r="H71" s="46" t="e">
        <f>Bank!N19</f>
        <v>#DIV/0!</v>
      </c>
      <c r="I71" s="45" t="e">
        <f t="shared" ref="I71:I76" si="95">D71/H71</f>
        <v>#DIV/0!</v>
      </c>
      <c r="J71" s="25"/>
      <c r="K71" s="95" t="e">
        <f>Bank!CN43</f>
        <v>#DIV/0!</v>
      </c>
      <c r="L71" s="41" t="e">
        <f>Bank!CO43</f>
        <v>#DIV/0!</v>
      </c>
      <c r="M71" s="41" t="e">
        <f>Bank!CR43</f>
        <v>#DIV/0!</v>
      </c>
      <c r="N71" s="41" t="e">
        <f>Bank!CS43</f>
        <v>#DIV/0!</v>
      </c>
      <c r="O71" s="41" t="e">
        <f>Bank!CT43</f>
        <v>#DIV/0!</v>
      </c>
      <c r="P71" s="42" t="e">
        <f>Bank!CU43</f>
        <v>#DIV/0!</v>
      </c>
      <c r="Q71" s="95" t="e">
        <f>Bank!CV43</f>
        <v>#DIV/0!</v>
      </c>
      <c r="R71" s="41" t="e">
        <f>Bank!CW43</f>
        <v>#DIV/0!</v>
      </c>
      <c r="S71" s="41" t="e">
        <f>Bank!CX43</f>
        <v>#DIV/0!</v>
      </c>
      <c r="T71" s="42" t="e">
        <f>Bank!CY43</f>
        <v>#DIV/0!</v>
      </c>
      <c r="U71" s="95" t="e">
        <f>Bank!CZ43</f>
        <v>#DIV/0!</v>
      </c>
      <c r="V71" s="41" t="e">
        <f>Bank!DA43</f>
        <v>#DIV/0!</v>
      </c>
      <c r="W71" s="41" t="e">
        <f>Bank!DB43</f>
        <v>#DIV/0!</v>
      </c>
      <c r="X71" s="41" t="e">
        <f>Bank!DC43</f>
        <v>#DIV/0!</v>
      </c>
      <c r="Y71" s="41" t="e">
        <f>Bank!DD43</f>
        <v>#DIV/0!</v>
      </c>
      <c r="Z71" s="42" t="e">
        <f>Bank!DE43</f>
        <v>#DIV/0!</v>
      </c>
      <c r="AA71" s="95" t="e">
        <f>Bank!DF43</f>
        <v>#DIV/0!</v>
      </c>
      <c r="AB71" s="41" t="e">
        <f>Bank!DG43</f>
        <v>#DIV/0!</v>
      </c>
      <c r="AC71" s="41" t="e">
        <f>Bank!DH43</f>
        <v>#DIV/0!</v>
      </c>
      <c r="AD71" s="41" t="e">
        <f>Bank!DI43</f>
        <v>#DIV/0!</v>
      </c>
      <c r="AE71" s="42" t="e">
        <f>Bank!DJ43</f>
        <v>#DIV/0!</v>
      </c>
      <c r="AF71" s="41" t="e">
        <f>Bank!DK43</f>
        <v>#DIV/0!</v>
      </c>
      <c r="AG71" s="41" t="e">
        <f>Bank!DL43</f>
        <v>#DIV/0!</v>
      </c>
      <c r="AH71" s="41" t="e">
        <f>Bank!DM43</f>
        <v>#DIV/0!</v>
      </c>
      <c r="AI71" s="41" t="e">
        <f>Bank!DN43</f>
        <v>#DIV/0!</v>
      </c>
      <c r="AJ71" s="41" t="e">
        <f>Bank!DO43</f>
        <v>#DIV/0!</v>
      </c>
      <c r="AK71" s="41" t="e">
        <f>Bank!DP43</f>
        <v>#DIV/0!</v>
      </c>
      <c r="AL71" s="41" t="e">
        <f>Bank!DQ43</f>
        <v>#DIV/0!</v>
      </c>
      <c r="AM71" s="41" t="e">
        <f>Bank!DR43</f>
        <v>#DIV/0!</v>
      </c>
      <c r="AN71" s="41" t="e">
        <f>Bank!DS43</f>
        <v>#DIV/0!</v>
      </c>
      <c r="AO71" s="41" t="e">
        <f>Bank!DT43</f>
        <v>#DIV/0!</v>
      </c>
      <c r="AP71" s="41" t="e">
        <f>Bank!DU43</f>
        <v>#DIV/0!</v>
      </c>
      <c r="AQ71" s="42" t="e">
        <f>Bank!DV43</f>
        <v>#DIV/0!</v>
      </c>
      <c r="AS71" s="95">
        <f>Bank!P43</f>
        <v>0</v>
      </c>
      <c r="AT71" s="41">
        <f>Bank!Q43</f>
        <v>0</v>
      </c>
      <c r="AU71" s="41">
        <f>Bank!R43</f>
        <v>0</v>
      </c>
      <c r="AV71" s="41">
        <f>Bank!S43</f>
        <v>0</v>
      </c>
      <c r="AW71" s="41">
        <f>Bank!T43</f>
        <v>0</v>
      </c>
      <c r="AX71" s="41">
        <f>Bank!U43</f>
        <v>0</v>
      </c>
      <c r="AY71" s="41">
        <f>Bank!V43</f>
        <v>0</v>
      </c>
      <c r="AZ71" s="42">
        <f>Bank!W43</f>
        <v>0</v>
      </c>
      <c r="BA71" s="41">
        <f>Bank!X43</f>
        <v>0</v>
      </c>
      <c r="BB71" s="41">
        <f>Bank!Y43</f>
        <v>0</v>
      </c>
      <c r="BC71" s="41">
        <f>Bank!Z43</f>
        <v>0</v>
      </c>
      <c r="BD71" s="41">
        <f>Bank!AA43</f>
        <v>0</v>
      </c>
      <c r="BE71" s="95">
        <f>Bank!AB43</f>
        <v>0</v>
      </c>
      <c r="BF71" s="41">
        <f>Bank!AC43</f>
        <v>0</v>
      </c>
      <c r="BG71" s="41">
        <f>Bank!AD43</f>
        <v>0</v>
      </c>
      <c r="BH71" s="41">
        <f>Bank!AE43</f>
        <v>0</v>
      </c>
      <c r="BI71" s="41">
        <f>Bank!AF43</f>
        <v>0</v>
      </c>
      <c r="BJ71" s="42">
        <f>Bank!AG43</f>
        <v>0</v>
      </c>
      <c r="BK71" s="41">
        <f>Bank!AH43</f>
        <v>0</v>
      </c>
      <c r="BL71" s="41">
        <f>Bank!AI43</f>
        <v>0</v>
      </c>
      <c r="BM71" s="41">
        <f>Bank!AJ43</f>
        <v>0</v>
      </c>
      <c r="BN71" s="41">
        <f>Bank!AK43</f>
        <v>0</v>
      </c>
      <c r="BO71" s="41">
        <f>Bank!AL43</f>
        <v>0</v>
      </c>
      <c r="BP71" s="95">
        <f>Bank!AM43</f>
        <v>0</v>
      </c>
      <c r="BQ71" s="41">
        <f>Bank!AN43</f>
        <v>0</v>
      </c>
      <c r="BR71" s="41">
        <f>Bank!AO43</f>
        <v>0</v>
      </c>
      <c r="BS71" s="41">
        <f>Bank!AP43</f>
        <v>0</v>
      </c>
      <c r="BT71" s="41">
        <f>Bank!AQ43</f>
        <v>0</v>
      </c>
      <c r="BU71" s="41">
        <f>Bank!AR43</f>
        <v>0</v>
      </c>
      <c r="BV71" s="41">
        <f>Bank!AS43</f>
        <v>0</v>
      </c>
      <c r="BW71" s="41">
        <f>Bank!AT43</f>
        <v>0</v>
      </c>
      <c r="BX71" s="41">
        <f>Bank!AU43</f>
        <v>0</v>
      </c>
      <c r="BY71" s="41">
        <f>Bank!AV43</f>
        <v>0</v>
      </c>
      <c r="BZ71" s="41">
        <f>Bank!AY43</f>
        <v>0</v>
      </c>
      <c r="CA71" s="42">
        <f>Bank!AZ43</f>
        <v>0</v>
      </c>
    </row>
    <row r="72" spans="1:82" x14ac:dyDescent="0.25">
      <c r="A72" s="127" t="s">
        <v>157</v>
      </c>
      <c r="B72" s="206"/>
      <c r="C72" s="46">
        <f>Bank!D52</f>
        <v>0</v>
      </c>
      <c r="D72" s="129">
        <f>Bank!E52</f>
        <v>0</v>
      </c>
      <c r="E72" s="25"/>
      <c r="F72" s="199"/>
      <c r="G72" s="200" t="e">
        <f t="shared" si="94"/>
        <v>#DIV/0!</v>
      </c>
      <c r="H72" s="46" t="e">
        <f>Bank!N28</f>
        <v>#DIV/0!</v>
      </c>
      <c r="I72" s="45" t="e">
        <f t="shared" si="95"/>
        <v>#DIV/0!</v>
      </c>
      <c r="J72" s="25"/>
      <c r="K72" s="95" t="e">
        <f>Bank!CN52</f>
        <v>#DIV/0!</v>
      </c>
      <c r="L72" s="41" t="e">
        <f>Bank!CO52</f>
        <v>#DIV/0!</v>
      </c>
      <c r="M72" s="41" t="e">
        <f>Bank!CR52</f>
        <v>#DIV/0!</v>
      </c>
      <c r="N72" s="41" t="e">
        <f>Bank!CS52</f>
        <v>#DIV/0!</v>
      </c>
      <c r="O72" s="41" t="e">
        <f>Bank!CT52</f>
        <v>#DIV/0!</v>
      </c>
      <c r="P72" s="42" t="e">
        <f>Bank!CU52</f>
        <v>#DIV/0!</v>
      </c>
      <c r="Q72" s="95" t="e">
        <f>Bank!CV52</f>
        <v>#DIV/0!</v>
      </c>
      <c r="R72" s="41" t="e">
        <f>Bank!CW52</f>
        <v>#DIV/0!</v>
      </c>
      <c r="S72" s="41" t="e">
        <f>Bank!CX52</f>
        <v>#DIV/0!</v>
      </c>
      <c r="T72" s="42" t="e">
        <f>Bank!CY52</f>
        <v>#DIV/0!</v>
      </c>
      <c r="U72" s="95" t="e">
        <f>Bank!CZ52</f>
        <v>#DIV/0!</v>
      </c>
      <c r="V72" s="41" t="e">
        <f>Bank!DA52</f>
        <v>#DIV/0!</v>
      </c>
      <c r="W72" s="41" t="e">
        <f>Bank!DB52</f>
        <v>#DIV/0!</v>
      </c>
      <c r="X72" s="41" t="e">
        <f>Bank!DC52</f>
        <v>#DIV/0!</v>
      </c>
      <c r="Y72" s="41" t="e">
        <f>Bank!DD52</f>
        <v>#DIV/0!</v>
      </c>
      <c r="Z72" s="42" t="e">
        <f>Bank!DE52</f>
        <v>#DIV/0!</v>
      </c>
      <c r="AA72" s="95" t="e">
        <f>Bank!DF52</f>
        <v>#DIV/0!</v>
      </c>
      <c r="AB72" s="41" t="e">
        <f>Bank!DG52</f>
        <v>#DIV/0!</v>
      </c>
      <c r="AC72" s="41" t="e">
        <f>Bank!DH52</f>
        <v>#DIV/0!</v>
      </c>
      <c r="AD72" s="41" t="e">
        <f>Bank!DI52</f>
        <v>#DIV/0!</v>
      </c>
      <c r="AE72" s="42" t="e">
        <f>Bank!DJ52</f>
        <v>#DIV/0!</v>
      </c>
      <c r="AF72" s="41" t="e">
        <f>Bank!DK52</f>
        <v>#DIV/0!</v>
      </c>
      <c r="AG72" s="41" t="e">
        <f>Bank!DL52</f>
        <v>#DIV/0!</v>
      </c>
      <c r="AH72" s="41" t="e">
        <f>Bank!DM52</f>
        <v>#DIV/0!</v>
      </c>
      <c r="AI72" s="41" t="e">
        <f>Bank!DN52</f>
        <v>#DIV/0!</v>
      </c>
      <c r="AJ72" s="41" t="e">
        <f>Bank!DO52</f>
        <v>#DIV/0!</v>
      </c>
      <c r="AK72" s="41" t="e">
        <f>Bank!DP52</f>
        <v>#DIV/0!</v>
      </c>
      <c r="AL72" s="41" t="e">
        <f>Bank!DQ52</f>
        <v>#DIV/0!</v>
      </c>
      <c r="AM72" s="41" t="e">
        <f>Bank!DR52</f>
        <v>#DIV/0!</v>
      </c>
      <c r="AN72" s="41" t="e">
        <f>Bank!DS52</f>
        <v>#DIV/0!</v>
      </c>
      <c r="AO72" s="41" t="e">
        <f>Bank!DT52</f>
        <v>#DIV/0!</v>
      </c>
      <c r="AP72" s="41" t="e">
        <f>Bank!DU52</f>
        <v>#DIV/0!</v>
      </c>
      <c r="AQ72" s="42" t="e">
        <f>Bank!DV52</f>
        <v>#DIV/0!</v>
      </c>
      <c r="AS72" s="95">
        <f>Bank!P52</f>
        <v>0</v>
      </c>
      <c r="AT72" s="41">
        <f>Bank!Q52</f>
        <v>0</v>
      </c>
      <c r="AU72" s="41">
        <f>Bank!R52</f>
        <v>0</v>
      </c>
      <c r="AV72" s="41">
        <f>Bank!S52</f>
        <v>0</v>
      </c>
      <c r="AW72" s="41">
        <f>Bank!T52</f>
        <v>0</v>
      </c>
      <c r="AX72" s="41">
        <f>Bank!U52</f>
        <v>0</v>
      </c>
      <c r="AY72" s="41">
        <f>Bank!V52</f>
        <v>0</v>
      </c>
      <c r="AZ72" s="42">
        <f>Bank!W52</f>
        <v>0</v>
      </c>
      <c r="BA72" s="41">
        <f>Bank!X52</f>
        <v>0</v>
      </c>
      <c r="BB72" s="41">
        <f>Bank!Y52</f>
        <v>0</v>
      </c>
      <c r="BC72" s="41">
        <f>Bank!Z52</f>
        <v>0</v>
      </c>
      <c r="BD72" s="41">
        <f>Bank!AA52</f>
        <v>0</v>
      </c>
      <c r="BE72" s="95">
        <f>Bank!AB52</f>
        <v>0</v>
      </c>
      <c r="BF72" s="41">
        <f>Bank!AC52</f>
        <v>0</v>
      </c>
      <c r="BG72" s="41">
        <f>Bank!AD52</f>
        <v>0</v>
      </c>
      <c r="BH72" s="41">
        <f>Bank!AE52</f>
        <v>0</v>
      </c>
      <c r="BI72" s="41">
        <f>Bank!AF52</f>
        <v>0</v>
      </c>
      <c r="BJ72" s="42">
        <f>Bank!AG52</f>
        <v>0</v>
      </c>
      <c r="BK72" s="41">
        <f>Bank!AH52</f>
        <v>0</v>
      </c>
      <c r="BL72" s="41">
        <f>Bank!AI52</f>
        <v>0</v>
      </c>
      <c r="BM72" s="41">
        <f>Bank!AJ52</f>
        <v>0</v>
      </c>
      <c r="BN72" s="41">
        <f>Bank!AK52</f>
        <v>0</v>
      </c>
      <c r="BO72" s="41">
        <f>Bank!AL52</f>
        <v>0</v>
      </c>
      <c r="BP72" s="95">
        <f>Bank!AM52</f>
        <v>0</v>
      </c>
      <c r="BQ72" s="41">
        <f>Bank!AN52</f>
        <v>0</v>
      </c>
      <c r="BR72" s="41">
        <f>Bank!AO52</f>
        <v>0</v>
      </c>
      <c r="BS72" s="41">
        <f>Bank!AP52</f>
        <v>0</v>
      </c>
      <c r="BT72" s="41">
        <f>Bank!AQ52</f>
        <v>0</v>
      </c>
      <c r="BU72" s="41">
        <f>Bank!AR52</f>
        <v>0</v>
      </c>
      <c r="BV72" s="41">
        <f>Bank!AS52</f>
        <v>0</v>
      </c>
      <c r="BW72" s="41">
        <f>Bank!AT52</f>
        <v>0</v>
      </c>
      <c r="BX72" s="41">
        <f>Bank!AU52</f>
        <v>0</v>
      </c>
      <c r="BY72" s="41">
        <f>Bank!AV52</f>
        <v>0</v>
      </c>
      <c r="BZ72" s="41">
        <f>Bank!AY52</f>
        <v>0</v>
      </c>
      <c r="CA72" s="42">
        <f>Bank!AZ52</f>
        <v>0</v>
      </c>
    </row>
    <row r="73" spans="1:82" x14ac:dyDescent="0.25">
      <c r="A73" s="127" t="s">
        <v>158</v>
      </c>
      <c r="B73" s="206"/>
      <c r="C73" s="46">
        <f>Bank!D61</f>
        <v>41</v>
      </c>
      <c r="D73" s="129">
        <f>Bank!E61</f>
        <v>29.27</v>
      </c>
      <c r="E73" s="25"/>
      <c r="F73" s="199"/>
      <c r="G73" s="200">
        <f t="shared" si="94"/>
        <v>245.14405994586218</v>
      </c>
      <c r="H73" s="46">
        <f>Bank!N61</f>
        <v>175.00894230769234</v>
      </c>
      <c r="I73" s="45">
        <f t="shared" si="95"/>
        <v>0.1672485966376443</v>
      </c>
      <c r="J73" s="25"/>
      <c r="K73" s="95">
        <f>Bank!CN61</f>
        <v>0</v>
      </c>
      <c r="L73" s="41">
        <f>Bank!CO61</f>
        <v>0</v>
      </c>
      <c r="M73" s="41">
        <f>Bank!CR61</f>
        <v>5.4734704239654741</v>
      </c>
      <c r="N73" s="41">
        <f>Bank!CS61</f>
        <v>0</v>
      </c>
      <c r="O73" s="41">
        <f>Bank!CT61</f>
        <v>5.4734704239654741</v>
      </c>
      <c r="P73" s="42">
        <f>Bank!CU61</f>
        <v>0</v>
      </c>
      <c r="Q73" s="95">
        <f>Bank!CV61</f>
        <v>0</v>
      </c>
      <c r="R73" s="41">
        <f>Bank!CW61</f>
        <v>0</v>
      </c>
      <c r="S73" s="41">
        <f>Bank!CX61</f>
        <v>0</v>
      </c>
      <c r="T73" s="42">
        <f>Bank!CY61</f>
        <v>0</v>
      </c>
      <c r="U73" s="95">
        <f>Bank!CZ61</f>
        <v>0</v>
      </c>
      <c r="V73" s="41">
        <f>Bank!DA61</f>
        <v>0</v>
      </c>
      <c r="W73" s="41">
        <f>Bank!DB61</f>
        <v>0</v>
      </c>
      <c r="X73" s="41">
        <f>Bank!DC61</f>
        <v>0</v>
      </c>
      <c r="Y73" s="41">
        <f>Bank!DD61</f>
        <v>0</v>
      </c>
      <c r="Z73" s="42">
        <f>Bank!DE61</f>
        <v>0</v>
      </c>
      <c r="AA73" s="95">
        <f>Bank!DF61</f>
        <v>0</v>
      </c>
      <c r="AB73" s="41">
        <f>Bank!DG61</f>
        <v>0</v>
      </c>
      <c r="AC73" s="41">
        <f>Bank!DH61</f>
        <v>0</v>
      </c>
      <c r="AD73" s="41">
        <f>Bank!DI61</f>
        <v>0</v>
      </c>
      <c r="AE73" s="42">
        <f>Bank!DJ61</f>
        <v>0</v>
      </c>
      <c r="AF73" s="41">
        <f>Bank!DK61</f>
        <v>0</v>
      </c>
      <c r="AG73" s="41">
        <f>Bank!DL61</f>
        <v>0</v>
      </c>
      <c r="AH73" s="41">
        <f>Bank!DM61</f>
        <v>0</v>
      </c>
      <c r="AI73" s="41">
        <f>Bank!DN61</f>
        <v>0</v>
      </c>
      <c r="AJ73" s="41">
        <f>Bank!DO61</f>
        <v>0</v>
      </c>
      <c r="AK73" s="41">
        <f>Bank!DP61</f>
        <v>0</v>
      </c>
      <c r="AL73" s="41">
        <f>Bank!DQ61</f>
        <v>0</v>
      </c>
      <c r="AM73" s="41">
        <f>Bank!DR61</f>
        <v>0</v>
      </c>
      <c r="AN73" s="41">
        <f>Bank!DS61</f>
        <v>0</v>
      </c>
      <c r="AO73" s="41">
        <f>Bank!DT61</f>
        <v>0</v>
      </c>
      <c r="AP73" s="41">
        <f>Bank!DU61</f>
        <v>0</v>
      </c>
      <c r="AQ73" s="42">
        <f>Bank!DV61</f>
        <v>0</v>
      </c>
      <c r="AS73" s="95">
        <f>Bank!P61</f>
        <v>0</v>
      </c>
      <c r="AT73" s="41">
        <f>Bank!Q61</f>
        <v>0</v>
      </c>
      <c r="AU73" s="41">
        <f>Bank!R61</f>
        <v>0</v>
      </c>
      <c r="AV73" s="41">
        <f>Bank!S61</f>
        <v>0</v>
      </c>
      <c r="AW73" s="41">
        <f>Bank!T61</f>
        <v>1</v>
      </c>
      <c r="AX73" s="41">
        <f>Bank!U61</f>
        <v>0</v>
      </c>
      <c r="AY73" s="41">
        <f>Bank!V61</f>
        <v>1</v>
      </c>
      <c r="AZ73" s="42">
        <f>Bank!W61</f>
        <v>0</v>
      </c>
      <c r="BA73" s="41">
        <f>Bank!X61</f>
        <v>0</v>
      </c>
      <c r="BB73" s="41">
        <f>Bank!Y61</f>
        <v>0</v>
      </c>
      <c r="BC73" s="41">
        <f>Bank!Z61</f>
        <v>0</v>
      </c>
      <c r="BD73" s="41">
        <f>Bank!AA61</f>
        <v>0</v>
      </c>
      <c r="BE73" s="95">
        <f>Bank!AB61</f>
        <v>0</v>
      </c>
      <c r="BF73" s="41">
        <f>Bank!AC61</f>
        <v>0</v>
      </c>
      <c r="BG73" s="41">
        <f>Bank!AD61</f>
        <v>0</v>
      </c>
      <c r="BH73" s="41">
        <f>Bank!AE61</f>
        <v>0</v>
      </c>
      <c r="BI73" s="41">
        <f>Bank!AF61</f>
        <v>0</v>
      </c>
      <c r="BJ73" s="42">
        <f>Bank!AG61</f>
        <v>0</v>
      </c>
      <c r="BK73" s="41">
        <f>Bank!AH61</f>
        <v>0</v>
      </c>
      <c r="BL73" s="41">
        <f>Bank!AI61</f>
        <v>0</v>
      </c>
      <c r="BM73" s="41">
        <f>Bank!AJ61</f>
        <v>0</v>
      </c>
      <c r="BN73" s="41">
        <f>Bank!AK61</f>
        <v>0</v>
      </c>
      <c r="BO73" s="41">
        <f>Bank!AL61</f>
        <v>0</v>
      </c>
      <c r="BP73" s="95">
        <f>Bank!AM61</f>
        <v>0</v>
      </c>
      <c r="BQ73" s="41">
        <f>Bank!AN61</f>
        <v>0</v>
      </c>
      <c r="BR73" s="41">
        <f>Bank!AO61</f>
        <v>0</v>
      </c>
      <c r="BS73" s="41">
        <f>Bank!AP61</f>
        <v>0</v>
      </c>
      <c r="BT73" s="41">
        <f>Bank!AQ61</f>
        <v>0</v>
      </c>
      <c r="BU73" s="41">
        <f>Bank!AR61</f>
        <v>0</v>
      </c>
      <c r="BV73" s="41">
        <f>Bank!AS61</f>
        <v>0</v>
      </c>
      <c r="BW73" s="41">
        <f>Bank!AT61</f>
        <v>0</v>
      </c>
      <c r="BX73" s="41">
        <f>Bank!AU61</f>
        <v>0</v>
      </c>
      <c r="BY73" s="41">
        <f>Bank!AV61</f>
        <v>0</v>
      </c>
      <c r="BZ73" s="41">
        <f>Bank!AY61</f>
        <v>0</v>
      </c>
      <c r="CA73" s="42">
        <f>Bank!AZ61</f>
        <v>0</v>
      </c>
    </row>
    <row r="74" spans="1:82" x14ac:dyDescent="0.25">
      <c r="A74" s="127" t="s">
        <v>159</v>
      </c>
      <c r="B74" s="206"/>
      <c r="C74" s="46">
        <f>Bank!D70</f>
        <v>24</v>
      </c>
      <c r="D74" s="129">
        <f>Bank!E70</f>
        <v>47.57</v>
      </c>
      <c r="E74" s="25"/>
      <c r="F74" s="199"/>
      <c r="G74" s="200">
        <f t="shared" si="94"/>
        <v>76.21841496741645</v>
      </c>
      <c r="H74" s="46">
        <f>Bank!N70</f>
        <v>151.07125000000002</v>
      </c>
      <c r="I74" s="45">
        <f t="shared" si="95"/>
        <v>0.31488453296044083</v>
      </c>
      <c r="J74" s="25"/>
      <c r="K74" s="95">
        <f>Bank!CN70</f>
        <v>0</v>
      </c>
      <c r="L74" s="41">
        <f>Bank!CO70</f>
        <v>0</v>
      </c>
      <c r="M74" s="41">
        <f>Bank!CR70</f>
        <v>0</v>
      </c>
      <c r="N74" s="41">
        <f>Bank!CS70</f>
        <v>0</v>
      </c>
      <c r="O74" s="41">
        <f>Bank!CT70</f>
        <v>0</v>
      </c>
      <c r="P74" s="42">
        <f>Bank!CU70</f>
        <v>0</v>
      </c>
      <c r="Q74" s="95">
        <f>Bank!CV70</f>
        <v>0</v>
      </c>
      <c r="R74" s="41">
        <f>Bank!CW70</f>
        <v>0</v>
      </c>
      <c r="S74" s="41">
        <f>Bank!CX70</f>
        <v>0</v>
      </c>
      <c r="T74" s="42">
        <f>Bank!CY70</f>
        <v>0</v>
      </c>
      <c r="U74" s="95">
        <f>Bank!CZ70</f>
        <v>0</v>
      </c>
      <c r="V74" s="41">
        <f>Bank!DA70</f>
        <v>0</v>
      </c>
      <c r="W74" s="41">
        <f>Bank!DB70</f>
        <v>0</v>
      </c>
      <c r="X74" s="41">
        <f>Bank!DC70</f>
        <v>0</v>
      </c>
      <c r="Y74" s="41">
        <f>Bank!DD70</f>
        <v>0</v>
      </c>
      <c r="Z74" s="42">
        <f>Bank!DE70</f>
        <v>0</v>
      </c>
      <c r="AA74" s="95">
        <f>Bank!DF70</f>
        <v>0</v>
      </c>
      <c r="AB74" s="41">
        <f>Bank!DG70</f>
        <v>0</v>
      </c>
      <c r="AC74" s="41">
        <f>Bank!DH70</f>
        <v>0</v>
      </c>
      <c r="AD74" s="41">
        <f>Bank!DI70</f>
        <v>0</v>
      </c>
      <c r="AE74" s="42">
        <f>Bank!DJ70</f>
        <v>0</v>
      </c>
      <c r="AF74" s="41">
        <f>Bank!DK70</f>
        <v>0</v>
      </c>
      <c r="AG74" s="41">
        <f>Bank!DL70</f>
        <v>0</v>
      </c>
      <c r="AH74" s="41">
        <f>Bank!DM70</f>
        <v>0</v>
      </c>
      <c r="AI74" s="41">
        <f>Bank!DN70</f>
        <v>0</v>
      </c>
      <c r="AJ74" s="41">
        <f>Bank!DO70</f>
        <v>0</v>
      </c>
      <c r="AK74" s="41">
        <f>Bank!DP70</f>
        <v>12.516394704433498</v>
      </c>
      <c r="AL74" s="41">
        <f>Bank!DQ70</f>
        <v>0</v>
      </c>
      <c r="AM74" s="41">
        <f>Bank!DR70</f>
        <v>0</v>
      </c>
      <c r="AN74" s="41">
        <f>Bank!DS70</f>
        <v>0</v>
      </c>
      <c r="AO74" s="41">
        <f>Bank!DT70</f>
        <v>0</v>
      </c>
      <c r="AP74" s="41">
        <f>Bank!DU70</f>
        <v>0</v>
      </c>
      <c r="AQ74" s="42">
        <f>Bank!DV70</f>
        <v>19.594029414753102</v>
      </c>
      <c r="AS74" s="95">
        <f>Bank!P70</f>
        <v>0</v>
      </c>
      <c r="AT74" s="41">
        <f>Bank!Q70</f>
        <v>0</v>
      </c>
      <c r="AU74" s="41">
        <f>Bank!R70</f>
        <v>0</v>
      </c>
      <c r="AV74" s="41">
        <f>Bank!S70</f>
        <v>0</v>
      </c>
      <c r="AW74" s="41">
        <f>Bank!T70</f>
        <v>0</v>
      </c>
      <c r="AX74" s="41">
        <f>Bank!U70</f>
        <v>0</v>
      </c>
      <c r="AY74" s="41">
        <f>Bank!V70</f>
        <v>0</v>
      </c>
      <c r="AZ74" s="42">
        <f>Bank!W70</f>
        <v>0</v>
      </c>
      <c r="BA74" s="41">
        <f>Bank!X70</f>
        <v>0</v>
      </c>
      <c r="BB74" s="41">
        <f>Bank!Y70</f>
        <v>0</v>
      </c>
      <c r="BC74" s="41">
        <f>Bank!Z70</f>
        <v>0</v>
      </c>
      <c r="BD74" s="41">
        <f>Bank!AA70</f>
        <v>0</v>
      </c>
      <c r="BE74" s="95">
        <f>Bank!AB70</f>
        <v>0</v>
      </c>
      <c r="BF74" s="41">
        <f>Bank!AC70</f>
        <v>0</v>
      </c>
      <c r="BG74" s="41">
        <f>Bank!AD70</f>
        <v>0</v>
      </c>
      <c r="BH74" s="41">
        <f>Bank!AE70</f>
        <v>0</v>
      </c>
      <c r="BI74" s="41">
        <f>Bank!AF70</f>
        <v>0</v>
      </c>
      <c r="BJ74" s="42">
        <f>Bank!AG70</f>
        <v>0</v>
      </c>
      <c r="BK74" s="41">
        <f>Bank!AH70</f>
        <v>0</v>
      </c>
      <c r="BL74" s="41">
        <f>Bank!AI70</f>
        <v>0</v>
      </c>
      <c r="BM74" s="41">
        <f>Bank!AJ70</f>
        <v>0</v>
      </c>
      <c r="BN74" s="41">
        <f>Bank!AK70</f>
        <v>0</v>
      </c>
      <c r="BO74" s="41">
        <f>Bank!AL70</f>
        <v>0</v>
      </c>
      <c r="BP74" s="95">
        <f>Bank!AM70</f>
        <v>0</v>
      </c>
      <c r="BQ74" s="41">
        <f>Bank!AN70</f>
        <v>0</v>
      </c>
      <c r="BR74" s="41">
        <f>Bank!AO70</f>
        <v>0</v>
      </c>
      <c r="BS74" s="41">
        <f>Bank!AP70</f>
        <v>0</v>
      </c>
      <c r="BT74" s="41">
        <f>Bank!AQ70</f>
        <v>0</v>
      </c>
      <c r="BU74" s="41">
        <f>Bank!AR70</f>
        <v>3</v>
      </c>
      <c r="BV74" s="41">
        <f>Bank!AS70</f>
        <v>0</v>
      </c>
      <c r="BW74" s="41">
        <f>Bank!AT70</f>
        <v>0</v>
      </c>
      <c r="BX74" s="41">
        <f>Bank!AU70</f>
        <v>0</v>
      </c>
      <c r="BY74" s="41">
        <f>Bank!AV70</f>
        <v>0</v>
      </c>
      <c r="BZ74" s="41">
        <f>Bank!AY70</f>
        <v>0</v>
      </c>
      <c r="CA74" s="42">
        <f>Bank!AZ70</f>
        <v>11</v>
      </c>
    </row>
    <row r="75" spans="1:82" x14ac:dyDescent="0.25">
      <c r="A75" s="127" t="s">
        <v>172</v>
      </c>
      <c r="B75" s="206"/>
      <c r="C75" s="46">
        <f>Bank!D79</f>
        <v>9</v>
      </c>
      <c r="D75" s="129">
        <f>Bank!E79</f>
        <v>20.61</v>
      </c>
      <c r="E75" s="25"/>
      <c r="F75" s="199"/>
      <c r="G75" s="200">
        <f t="shared" si="94"/>
        <v>61.23920426977196</v>
      </c>
      <c r="H75" s="46">
        <f>Bank!N79</f>
        <v>140.23777777777778</v>
      </c>
      <c r="I75" s="45">
        <f t="shared" si="95"/>
        <v>0.14696467903719079</v>
      </c>
      <c r="J75" s="25"/>
      <c r="K75" s="95">
        <f>Bank!CN79</f>
        <v>0</v>
      </c>
      <c r="L75" s="41">
        <f>Bank!CO79</f>
        <v>0</v>
      </c>
      <c r="M75" s="41">
        <f>Bank!CP79</f>
        <v>0</v>
      </c>
      <c r="N75" s="41">
        <f>Bank!CQ79</f>
        <v>0</v>
      </c>
      <c r="O75" s="41">
        <f>Bank!CR79</f>
        <v>0</v>
      </c>
      <c r="P75" s="42">
        <f>Bank!CS79</f>
        <v>0</v>
      </c>
      <c r="Q75" s="95">
        <f>Bank!CV79</f>
        <v>0</v>
      </c>
      <c r="R75" s="41">
        <f>Bank!CW79</f>
        <v>0</v>
      </c>
      <c r="S75" s="41">
        <f>Bank!CX79</f>
        <v>0</v>
      </c>
      <c r="T75" s="42">
        <f>Bank!CY79</f>
        <v>0</v>
      </c>
      <c r="U75" s="95">
        <f>Bank!CZ79</f>
        <v>0</v>
      </c>
      <c r="V75" s="41">
        <f>Bank!DA79</f>
        <v>0</v>
      </c>
      <c r="W75" s="41">
        <f>Bank!DB79</f>
        <v>0</v>
      </c>
      <c r="X75" s="41">
        <f>Bank!DC79</f>
        <v>0</v>
      </c>
      <c r="Y75" s="41">
        <f>Bank!DD79</f>
        <v>0</v>
      </c>
      <c r="Z75" s="42">
        <f>Bank!DE79</f>
        <v>0</v>
      </c>
      <c r="AA75" s="95">
        <f>Bank!DF79</f>
        <v>0</v>
      </c>
      <c r="AB75" s="41">
        <f>Bank!DG79</f>
        <v>0</v>
      </c>
      <c r="AC75" s="41">
        <f>Bank!DH79</f>
        <v>0</v>
      </c>
      <c r="AD75" s="41">
        <f>Bank!DI79</f>
        <v>0</v>
      </c>
      <c r="AE75" s="42">
        <f>Bank!DJ79</f>
        <v>0</v>
      </c>
      <c r="AF75" s="41">
        <f>Bank!DK79</f>
        <v>0</v>
      </c>
      <c r="AG75" s="41">
        <f>Bank!DL79</f>
        <v>0</v>
      </c>
      <c r="AH75" s="41">
        <f>Bank!DM79</f>
        <v>0</v>
      </c>
      <c r="AI75" s="41">
        <f>Bank!DN79</f>
        <v>0</v>
      </c>
      <c r="AJ75" s="41">
        <f>Bank!DO79</f>
        <v>0</v>
      </c>
      <c r="AK75" s="41">
        <f>Bank!DP79</f>
        <v>0</v>
      </c>
      <c r="AL75" s="41">
        <f>Bank!DQ79</f>
        <v>0</v>
      </c>
      <c r="AM75" s="41">
        <f>Bank!DR79</f>
        <v>0</v>
      </c>
      <c r="AN75" s="41">
        <f>Bank!DS79</f>
        <v>0</v>
      </c>
      <c r="AO75" s="41">
        <f>Bank!DT79</f>
        <v>0</v>
      </c>
      <c r="AP75" s="41">
        <f>Bank!DU79</f>
        <v>0</v>
      </c>
      <c r="AQ75" s="42">
        <f>Bank!DV79</f>
        <v>0</v>
      </c>
      <c r="AS75" s="95">
        <f>Bank!P79</f>
        <v>0</v>
      </c>
      <c r="AT75" s="41">
        <f>Bank!Q79</f>
        <v>0</v>
      </c>
      <c r="AU75" s="41">
        <f>Bank!R79</f>
        <v>0</v>
      </c>
      <c r="AV75" s="41">
        <f>Bank!S79</f>
        <v>0</v>
      </c>
      <c r="AW75" s="41">
        <f>Bank!T79</f>
        <v>0</v>
      </c>
      <c r="AX75" s="41">
        <f>Bank!U79</f>
        <v>0</v>
      </c>
      <c r="AY75" s="41">
        <f>Bank!V79</f>
        <v>0</v>
      </c>
      <c r="AZ75" s="42">
        <f>Bank!W79</f>
        <v>0</v>
      </c>
      <c r="BA75" s="41">
        <f>Bank!X79</f>
        <v>0</v>
      </c>
      <c r="BB75" s="41">
        <f>Bank!Y79</f>
        <v>0</v>
      </c>
      <c r="BC75" s="41">
        <f>Bank!Z79</f>
        <v>0</v>
      </c>
      <c r="BD75" s="41">
        <f>Bank!AA79</f>
        <v>0</v>
      </c>
      <c r="BE75" s="95">
        <f>Bank!AB79</f>
        <v>0</v>
      </c>
      <c r="BF75" s="41">
        <f>Bank!AC79</f>
        <v>0</v>
      </c>
      <c r="BG75" s="41">
        <f>Bank!AD79</f>
        <v>0</v>
      </c>
      <c r="BH75" s="41">
        <f>Bank!AE79</f>
        <v>0</v>
      </c>
      <c r="BI75" s="41">
        <f>Bank!AF79</f>
        <v>0</v>
      </c>
      <c r="BJ75" s="42">
        <f>Bank!AG79</f>
        <v>0</v>
      </c>
      <c r="BK75" s="41">
        <f>Bank!AH79</f>
        <v>0</v>
      </c>
      <c r="BL75" s="41">
        <f>Bank!AI79</f>
        <v>0</v>
      </c>
      <c r="BM75" s="41">
        <f>Bank!AJ79</f>
        <v>0</v>
      </c>
      <c r="BN75" s="41">
        <f>Bank!AK79</f>
        <v>0</v>
      </c>
      <c r="BO75" s="41">
        <f>Bank!AL79</f>
        <v>0</v>
      </c>
      <c r="BP75" s="95">
        <f>Bank!AM79</f>
        <v>0</v>
      </c>
      <c r="BQ75" s="41">
        <f>Bank!AN79</f>
        <v>0</v>
      </c>
      <c r="BR75" s="41">
        <f>Bank!AO79</f>
        <v>0</v>
      </c>
      <c r="BS75" s="41">
        <f>Bank!AP79</f>
        <v>0</v>
      </c>
      <c r="BT75" s="41">
        <f>Bank!AQ79</f>
        <v>0</v>
      </c>
      <c r="BU75" s="41">
        <f>Bank!AR79</f>
        <v>0</v>
      </c>
      <c r="BV75" s="41">
        <f>Bank!AS79</f>
        <v>0</v>
      </c>
      <c r="BW75" s="41">
        <f>Bank!AT79</f>
        <v>0</v>
      </c>
      <c r="BX75" s="41">
        <f>Bank!AU79</f>
        <v>0</v>
      </c>
      <c r="BY75" s="41">
        <f>Bank!AV79</f>
        <v>0</v>
      </c>
      <c r="BZ75" s="41">
        <f>Bank!AY79</f>
        <v>0</v>
      </c>
      <c r="CA75" s="42">
        <f>Bank!AZ79</f>
        <v>0</v>
      </c>
    </row>
    <row r="76" spans="1:82" x14ac:dyDescent="0.25">
      <c r="A76" s="127" t="s">
        <v>160</v>
      </c>
      <c r="B76" s="206"/>
      <c r="C76" s="46">
        <f>Bank!D88</f>
        <v>21</v>
      </c>
      <c r="D76" s="129">
        <f>Bank!E88</f>
        <v>40.77000000000001</v>
      </c>
      <c r="E76" s="25"/>
      <c r="F76" s="199"/>
      <c r="G76" s="200">
        <f t="shared" si="94"/>
        <v>67.858964925190079</v>
      </c>
      <c r="H76" s="46">
        <f>Bank!N88</f>
        <v>131.74333333333334</v>
      </c>
      <c r="I76" s="45">
        <f t="shared" si="95"/>
        <v>0.30946537459200979</v>
      </c>
      <c r="J76" s="25"/>
      <c r="K76" s="95">
        <f>Bank!CN88</f>
        <v>0</v>
      </c>
      <c r="L76" s="41">
        <f>Bank!CO88</f>
        <v>0</v>
      </c>
      <c r="M76" s="41">
        <f>Bank!CR88</f>
        <v>0</v>
      </c>
      <c r="N76" s="41">
        <f>Bank!CS88</f>
        <v>0</v>
      </c>
      <c r="O76" s="41">
        <f>Bank!CT88</f>
        <v>0</v>
      </c>
      <c r="P76" s="42">
        <f>Bank!CU88</f>
        <v>0</v>
      </c>
      <c r="Q76" s="95">
        <f>Bank!CV88</f>
        <v>0</v>
      </c>
      <c r="R76" s="41">
        <f>Bank!CW88</f>
        <v>0</v>
      </c>
      <c r="S76" s="41">
        <f>Bank!CX88</f>
        <v>0</v>
      </c>
      <c r="T76" s="42">
        <f>Bank!CY88</f>
        <v>0</v>
      </c>
      <c r="U76" s="95">
        <f>Bank!CZ88</f>
        <v>0</v>
      </c>
      <c r="V76" s="41">
        <f>Bank!DA88</f>
        <v>0</v>
      </c>
      <c r="W76" s="41">
        <f>Bank!DB88</f>
        <v>0</v>
      </c>
      <c r="X76" s="41">
        <f>Bank!DC88</f>
        <v>0</v>
      </c>
      <c r="Y76" s="41">
        <f>Bank!DD88</f>
        <v>0</v>
      </c>
      <c r="Z76" s="42">
        <f>Bank!DE88</f>
        <v>0</v>
      </c>
      <c r="AA76" s="95">
        <f>Bank!DF88</f>
        <v>0</v>
      </c>
      <c r="AB76" s="41">
        <f>Bank!DG88</f>
        <v>0</v>
      </c>
      <c r="AC76" s="41">
        <f>Bank!DH88</f>
        <v>0</v>
      </c>
      <c r="AD76" s="41">
        <f>Bank!DI88</f>
        <v>0</v>
      </c>
      <c r="AE76" s="42">
        <f>Bank!DJ88</f>
        <v>0</v>
      </c>
      <c r="AF76" s="41">
        <f>Bank!DK88</f>
        <v>0</v>
      </c>
      <c r="AG76" s="41">
        <f>Bank!DL88</f>
        <v>0</v>
      </c>
      <c r="AH76" s="41">
        <f>Bank!DM88</f>
        <v>0</v>
      </c>
      <c r="AI76" s="41">
        <f>Bank!DN88</f>
        <v>0</v>
      </c>
      <c r="AJ76" s="41">
        <f>Bank!DO88</f>
        <v>0</v>
      </c>
      <c r="AK76" s="41">
        <f>Bank!DP88</f>
        <v>0</v>
      </c>
      <c r="AL76" s="41">
        <f>Bank!DQ88</f>
        <v>0</v>
      </c>
      <c r="AM76" s="41">
        <f>Bank!DR88</f>
        <v>0</v>
      </c>
      <c r="AN76" s="41">
        <f>Bank!DS88</f>
        <v>0</v>
      </c>
      <c r="AO76" s="41">
        <f>Bank!DT88</f>
        <v>0</v>
      </c>
      <c r="AP76" s="41">
        <f>Bank!DU88</f>
        <v>0</v>
      </c>
      <c r="AQ76" s="42">
        <f>Bank!DV88</f>
        <v>0</v>
      </c>
      <c r="AS76" s="95">
        <f>Bank!P88</f>
        <v>0</v>
      </c>
      <c r="AT76" s="41">
        <f>Bank!Q88</f>
        <v>0</v>
      </c>
      <c r="AU76" s="41">
        <f>Bank!R88</f>
        <v>0</v>
      </c>
      <c r="AV76" s="41">
        <f>Bank!S88</f>
        <v>0</v>
      </c>
      <c r="AW76" s="41">
        <f>Bank!T88</f>
        <v>0</v>
      </c>
      <c r="AX76" s="41">
        <f>Bank!U88</f>
        <v>0</v>
      </c>
      <c r="AY76" s="41">
        <f>Bank!V88</f>
        <v>0</v>
      </c>
      <c r="AZ76" s="42">
        <f>Bank!W88</f>
        <v>0</v>
      </c>
      <c r="BA76" s="41">
        <f>Bank!X88</f>
        <v>0</v>
      </c>
      <c r="BB76" s="41">
        <f>Bank!Y88</f>
        <v>0</v>
      </c>
      <c r="BC76" s="41">
        <f>Bank!Z88</f>
        <v>0</v>
      </c>
      <c r="BD76" s="41">
        <f>Bank!AA88</f>
        <v>0</v>
      </c>
      <c r="BE76" s="95">
        <f>Bank!AB88</f>
        <v>0</v>
      </c>
      <c r="BF76" s="41">
        <f>Bank!AC88</f>
        <v>0</v>
      </c>
      <c r="BG76" s="41">
        <f>Bank!AD88</f>
        <v>0</v>
      </c>
      <c r="BH76" s="41">
        <f>Bank!AE88</f>
        <v>0</v>
      </c>
      <c r="BI76" s="41">
        <f>Bank!AF88</f>
        <v>0</v>
      </c>
      <c r="BJ76" s="42">
        <f>Bank!AG88</f>
        <v>0</v>
      </c>
      <c r="BK76" s="41">
        <f>Bank!AH88</f>
        <v>0</v>
      </c>
      <c r="BL76" s="41">
        <f>Bank!AI88</f>
        <v>0</v>
      </c>
      <c r="BM76" s="41">
        <f>Bank!AJ88</f>
        <v>0</v>
      </c>
      <c r="BN76" s="41">
        <f>Bank!AK88</f>
        <v>0</v>
      </c>
      <c r="BO76" s="41">
        <f>Bank!AL88</f>
        <v>0</v>
      </c>
      <c r="BP76" s="95">
        <f>Bank!AM88</f>
        <v>0</v>
      </c>
      <c r="BQ76" s="41">
        <f>Bank!AN88</f>
        <v>0</v>
      </c>
      <c r="BR76" s="41">
        <f>Bank!AO88</f>
        <v>0</v>
      </c>
      <c r="BS76" s="41">
        <f>Bank!AP88</f>
        <v>0</v>
      </c>
      <c r="BT76" s="41">
        <f>Bank!AQ88</f>
        <v>0</v>
      </c>
      <c r="BU76" s="41">
        <f>Bank!AR88</f>
        <v>0</v>
      </c>
      <c r="BV76" s="41">
        <f>Bank!AS88</f>
        <v>0</v>
      </c>
      <c r="BW76" s="41">
        <f>Bank!AT88</f>
        <v>0</v>
      </c>
      <c r="BX76" s="41">
        <f>Bank!AU88</f>
        <v>0</v>
      </c>
      <c r="BY76" s="41">
        <f>Bank!AV88</f>
        <v>0</v>
      </c>
      <c r="BZ76" s="41">
        <f>Bank!AY88</f>
        <v>0</v>
      </c>
      <c r="CA76" s="42">
        <f>Bank!AZ88</f>
        <v>0</v>
      </c>
      <c r="CC76" s="2">
        <f>SUM(AS76:AZ76)</f>
        <v>0</v>
      </c>
      <c r="CD76" s="232" t="e">
        <f>D76/CC76</f>
        <v>#DIV/0!</v>
      </c>
    </row>
    <row r="77" spans="1:82" x14ac:dyDescent="0.25">
      <c r="A77" s="127" t="s">
        <v>161</v>
      </c>
      <c r="B77" s="206"/>
      <c r="C77" s="46">
        <f>Bank!D97</f>
        <v>11</v>
      </c>
      <c r="D77" s="129">
        <f>Bank!E97</f>
        <v>33.65</v>
      </c>
      <c r="E77" s="25"/>
      <c r="F77" s="199"/>
      <c r="G77" s="200">
        <f t="shared" ref="G77:G81" si="96">C77/I77</f>
        <v>39.820926201089655</v>
      </c>
      <c r="H77" s="46">
        <f>Bank!N97</f>
        <v>121.81583333333336</v>
      </c>
      <c r="I77" s="45">
        <f t="shared" ref="I77:I81" si="97">D77/H77</f>
        <v>0.27623666874174807</v>
      </c>
      <c r="J77" s="25"/>
      <c r="K77" s="95">
        <f>Bank!CN97</f>
        <v>0</v>
      </c>
      <c r="L77" s="41">
        <f>Bank!CO97</f>
        <v>0</v>
      </c>
      <c r="M77" s="41">
        <f>Bank!CR97</f>
        <v>0</v>
      </c>
      <c r="N77" s="41">
        <f>Bank!CS97</f>
        <v>0</v>
      </c>
      <c r="O77" s="41">
        <f>Bank!CT97</f>
        <v>0</v>
      </c>
      <c r="P77" s="42">
        <f>Bank!CU97</f>
        <v>0</v>
      </c>
      <c r="Q77" s="95">
        <f>Bank!CV97</f>
        <v>0</v>
      </c>
      <c r="R77" s="41">
        <f>Bank!CW97</f>
        <v>0</v>
      </c>
      <c r="S77" s="41">
        <f>Bank!CX97</f>
        <v>0</v>
      </c>
      <c r="T77" s="42">
        <f>Bank!CY97</f>
        <v>0</v>
      </c>
      <c r="U77" s="95">
        <f>Bank!CZ97</f>
        <v>0</v>
      </c>
      <c r="V77" s="41">
        <f>Bank!DA97</f>
        <v>0</v>
      </c>
      <c r="W77" s="41">
        <f>Bank!DB97</f>
        <v>0</v>
      </c>
      <c r="X77" s="41">
        <f>Bank!DC97</f>
        <v>0</v>
      </c>
      <c r="Y77" s="41">
        <f>Bank!DD97</f>
        <v>0</v>
      </c>
      <c r="Z77" s="42">
        <f>Bank!DE97</f>
        <v>0</v>
      </c>
      <c r="AA77" s="95">
        <f>Bank!DF97</f>
        <v>0</v>
      </c>
      <c r="AB77" s="41">
        <f>Bank!DG97</f>
        <v>0</v>
      </c>
      <c r="AC77" s="41">
        <f>Bank!DH97</f>
        <v>0</v>
      </c>
      <c r="AD77" s="41">
        <f>Bank!DI97</f>
        <v>0</v>
      </c>
      <c r="AE77" s="42">
        <f>Bank!DJ97</f>
        <v>0</v>
      </c>
      <c r="AF77" s="41">
        <f>Bank!DK97</f>
        <v>0</v>
      </c>
      <c r="AG77" s="41">
        <f>Bank!DL97</f>
        <v>0</v>
      </c>
      <c r="AH77" s="41">
        <f>Bank!DM97</f>
        <v>0</v>
      </c>
      <c r="AI77" s="41">
        <f>Bank!DN97</f>
        <v>0</v>
      </c>
      <c r="AJ77" s="41">
        <f>Bank!DO97</f>
        <v>0</v>
      </c>
      <c r="AK77" s="41">
        <f>Bank!DP97</f>
        <v>0</v>
      </c>
      <c r="AL77" s="41">
        <f>Bank!DQ97</f>
        <v>0</v>
      </c>
      <c r="AM77" s="41">
        <f>Bank!DR97</f>
        <v>0</v>
      </c>
      <c r="AN77" s="41">
        <f>Bank!DS97</f>
        <v>0</v>
      </c>
      <c r="AO77" s="41">
        <f>Bank!DT97</f>
        <v>0</v>
      </c>
      <c r="AP77" s="41">
        <f>Bank!DU97</f>
        <v>0</v>
      </c>
      <c r="AQ77" s="42">
        <f>Bank!DV97</f>
        <v>0</v>
      </c>
      <c r="AS77" s="95">
        <f>Bank!P97</f>
        <v>0</v>
      </c>
      <c r="AT77" s="41">
        <f>Bank!Q97</f>
        <v>0</v>
      </c>
      <c r="AU77" s="41">
        <f>Bank!R97</f>
        <v>0</v>
      </c>
      <c r="AV77" s="41">
        <f>Bank!S97</f>
        <v>0</v>
      </c>
      <c r="AW77" s="41">
        <f>Bank!T97</f>
        <v>0</v>
      </c>
      <c r="AX77" s="41">
        <f>Bank!U97</f>
        <v>0</v>
      </c>
      <c r="AY77" s="41">
        <f>Bank!V97</f>
        <v>0</v>
      </c>
      <c r="AZ77" s="42">
        <f>Bank!W97</f>
        <v>0</v>
      </c>
      <c r="BA77" s="41">
        <f>Bank!X97</f>
        <v>0</v>
      </c>
      <c r="BB77" s="41">
        <f>Bank!Y97</f>
        <v>0</v>
      </c>
      <c r="BC77" s="41">
        <f>Bank!Z97</f>
        <v>0</v>
      </c>
      <c r="BD77" s="41">
        <f>Bank!AA97</f>
        <v>0</v>
      </c>
      <c r="BE77" s="95">
        <f>Bank!AB97</f>
        <v>0</v>
      </c>
      <c r="BF77" s="41">
        <f>Bank!AC97</f>
        <v>0</v>
      </c>
      <c r="BG77" s="41">
        <f>Bank!AD97</f>
        <v>0</v>
      </c>
      <c r="BH77" s="41">
        <f>Bank!AE97</f>
        <v>0</v>
      </c>
      <c r="BI77" s="41">
        <f>Bank!AF97</f>
        <v>0</v>
      </c>
      <c r="BJ77" s="42">
        <f>Bank!AG97</f>
        <v>0</v>
      </c>
      <c r="BK77" s="41">
        <f>Bank!AH97</f>
        <v>0</v>
      </c>
      <c r="BL77" s="41">
        <f>Bank!AI97</f>
        <v>0</v>
      </c>
      <c r="BM77" s="41">
        <f>Bank!AJ97</f>
        <v>0</v>
      </c>
      <c r="BN77" s="41">
        <f>Bank!AK97</f>
        <v>0</v>
      </c>
      <c r="BO77" s="41">
        <f>Bank!AL97</f>
        <v>0</v>
      </c>
      <c r="BP77" s="95">
        <f>Bank!AM97</f>
        <v>0</v>
      </c>
      <c r="BQ77" s="41">
        <f>Bank!AN97</f>
        <v>0</v>
      </c>
      <c r="BR77" s="41">
        <f>Bank!AO97</f>
        <v>0</v>
      </c>
      <c r="BS77" s="41">
        <f>Bank!AP97</f>
        <v>0</v>
      </c>
      <c r="BT77" s="41">
        <f>Bank!AQ97</f>
        <v>0</v>
      </c>
      <c r="BU77" s="41">
        <f>Bank!AR97</f>
        <v>0</v>
      </c>
      <c r="BV77" s="41">
        <f>Bank!AS97</f>
        <v>0</v>
      </c>
      <c r="BW77" s="41">
        <f>Bank!AT97</f>
        <v>0</v>
      </c>
      <c r="BX77" s="41">
        <f>Bank!AU97</f>
        <v>0</v>
      </c>
      <c r="BY77" s="41">
        <f>Bank!AV97</f>
        <v>0</v>
      </c>
      <c r="BZ77" s="41">
        <f>Bank!AY97</f>
        <v>0</v>
      </c>
      <c r="CA77" s="42">
        <f>Bank!AZ97</f>
        <v>0</v>
      </c>
      <c r="CC77" s="2"/>
      <c r="CD77" s="232"/>
    </row>
    <row r="78" spans="1:82" x14ac:dyDescent="0.25">
      <c r="A78" s="127" t="s">
        <v>162</v>
      </c>
      <c r="B78" s="206"/>
      <c r="C78" s="46">
        <f>Bank!D106</f>
        <v>39</v>
      </c>
      <c r="D78" s="129">
        <f>Bank!E106</f>
        <v>61.71</v>
      </c>
      <c r="E78" s="25"/>
      <c r="F78" s="199"/>
      <c r="G78" s="200">
        <f t="shared" si="96"/>
        <v>106.21301247771838</v>
      </c>
      <c r="H78" s="46">
        <f>Bank!N106</f>
        <v>168.0616666666667</v>
      </c>
      <c r="I78" s="45">
        <f t="shared" si="97"/>
        <v>0.36718664775826326</v>
      </c>
      <c r="J78" s="25"/>
      <c r="K78" s="95">
        <f>Bank!CN106</f>
        <v>0</v>
      </c>
      <c r="L78" s="41">
        <f>Bank!CO106</f>
        <v>0</v>
      </c>
      <c r="M78" s="41">
        <f>Bank!CR106</f>
        <v>0</v>
      </c>
      <c r="N78" s="41">
        <f>Bank!CS106</f>
        <v>0</v>
      </c>
      <c r="O78" s="41">
        <f>Bank!CT106</f>
        <v>7.3608831860868547</v>
      </c>
      <c r="P78" s="42">
        <f>Bank!CU106</f>
        <v>0</v>
      </c>
      <c r="Q78" s="95">
        <f>Bank!CV106</f>
        <v>0</v>
      </c>
      <c r="R78" s="41">
        <f>Bank!CW106</f>
        <v>0</v>
      </c>
      <c r="S78" s="41">
        <f>Bank!CX106</f>
        <v>0</v>
      </c>
      <c r="T78" s="42">
        <f>Bank!CY106</f>
        <v>0</v>
      </c>
      <c r="U78" s="95">
        <f>Bank!CZ106</f>
        <v>0</v>
      </c>
      <c r="V78" s="41">
        <f>Bank!DA106</f>
        <v>0</v>
      </c>
      <c r="W78" s="41">
        <f>Bank!DB106</f>
        <v>0</v>
      </c>
      <c r="X78" s="41">
        <f>Bank!DC106</f>
        <v>0</v>
      </c>
      <c r="Y78" s="41">
        <f>Bank!DD106</f>
        <v>0</v>
      </c>
      <c r="Z78" s="42">
        <f>Bank!DE106</f>
        <v>0</v>
      </c>
      <c r="AA78" s="95">
        <f>Bank!DF106</f>
        <v>0</v>
      </c>
      <c r="AB78" s="41">
        <f>Bank!DG106</f>
        <v>0</v>
      </c>
      <c r="AC78" s="41">
        <f>Bank!DH106</f>
        <v>0</v>
      </c>
      <c r="AD78" s="41">
        <f>Bank!DI106</f>
        <v>0</v>
      </c>
      <c r="AE78" s="42">
        <f>Bank!DJ106</f>
        <v>0</v>
      </c>
      <c r="AF78" s="41">
        <f>Bank!DK106</f>
        <v>0</v>
      </c>
      <c r="AG78" s="41">
        <f>Bank!DL106</f>
        <v>0</v>
      </c>
      <c r="AH78" s="41">
        <f>Bank!DM106</f>
        <v>0</v>
      </c>
      <c r="AI78" s="41">
        <f>Bank!DN106</f>
        <v>0</v>
      </c>
      <c r="AJ78" s="41">
        <f>Bank!DO106</f>
        <v>0</v>
      </c>
      <c r="AK78" s="41">
        <f>Bank!DP106</f>
        <v>0</v>
      </c>
      <c r="AL78" s="41">
        <f>Bank!DQ106</f>
        <v>0</v>
      </c>
      <c r="AM78" s="41">
        <f>Bank!DR106</f>
        <v>0</v>
      </c>
      <c r="AN78" s="41">
        <f>Bank!DS106</f>
        <v>0</v>
      </c>
      <c r="AO78" s="41">
        <f>Bank!DT106</f>
        <v>0</v>
      </c>
      <c r="AP78" s="41">
        <f>Bank!DU106</f>
        <v>0</v>
      </c>
      <c r="AQ78" s="42">
        <f>Bank!DV106</f>
        <v>0</v>
      </c>
      <c r="AS78" s="95">
        <f>Bank!P106</f>
        <v>0</v>
      </c>
      <c r="AT78" s="41">
        <f>Bank!Q106</f>
        <v>0</v>
      </c>
      <c r="AU78" s="41">
        <f>Bank!R106</f>
        <v>0</v>
      </c>
      <c r="AV78" s="41">
        <f>Bank!S106</f>
        <v>0</v>
      </c>
      <c r="AW78" s="41">
        <f>Bank!T106</f>
        <v>0</v>
      </c>
      <c r="AX78" s="41">
        <f>Bank!U106</f>
        <v>0</v>
      </c>
      <c r="AY78" s="41">
        <f>Bank!V106</f>
        <v>2</v>
      </c>
      <c r="AZ78" s="42">
        <f>Bank!W106</f>
        <v>0</v>
      </c>
      <c r="BA78" s="41">
        <f>Bank!X106</f>
        <v>0</v>
      </c>
      <c r="BB78" s="41">
        <f>Bank!Y106</f>
        <v>0</v>
      </c>
      <c r="BC78" s="41">
        <f>Bank!Z106</f>
        <v>0</v>
      </c>
      <c r="BD78" s="41">
        <f>Bank!AA106</f>
        <v>0</v>
      </c>
      <c r="BE78" s="95">
        <f>Bank!AB106</f>
        <v>0</v>
      </c>
      <c r="BF78" s="41">
        <f>Bank!AC106</f>
        <v>0</v>
      </c>
      <c r="BG78" s="41">
        <f>Bank!AD106</f>
        <v>0</v>
      </c>
      <c r="BH78" s="41">
        <f>Bank!AE106</f>
        <v>0</v>
      </c>
      <c r="BI78" s="41">
        <f>Bank!AF106</f>
        <v>0</v>
      </c>
      <c r="BJ78" s="42">
        <f>Bank!AG106</f>
        <v>0</v>
      </c>
      <c r="BK78" s="41">
        <f>Bank!AH106</f>
        <v>0</v>
      </c>
      <c r="BL78" s="41">
        <f>Bank!AI106</f>
        <v>0</v>
      </c>
      <c r="BM78" s="41">
        <f>Bank!AJ106</f>
        <v>0</v>
      </c>
      <c r="BN78" s="41">
        <f>Bank!AK106</f>
        <v>0</v>
      </c>
      <c r="BO78" s="41">
        <f>Bank!AL106</f>
        <v>0</v>
      </c>
      <c r="BP78" s="95">
        <f>Bank!AM106</f>
        <v>0</v>
      </c>
      <c r="BQ78" s="41">
        <f>Bank!AN106</f>
        <v>0</v>
      </c>
      <c r="BR78" s="41">
        <f>Bank!AO106</f>
        <v>0</v>
      </c>
      <c r="BS78" s="41">
        <f>Bank!AP106</f>
        <v>0</v>
      </c>
      <c r="BT78" s="41">
        <f>Bank!AQ106</f>
        <v>0</v>
      </c>
      <c r="BU78" s="41">
        <f>Bank!AR106</f>
        <v>0</v>
      </c>
      <c r="BV78" s="41">
        <f>Bank!AS106</f>
        <v>0</v>
      </c>
      <c r="BW78" s="41">
        <f>Bank!AT106</f>
        <v>0</v>
      </c>
      <c r="BX78" s="41">
        <f>Bank!AU106</f>
        <v>0</v>
      </c>
      <c r="BY78" s="41">
        <f>Bank!AV106</f>
        <v>0</v>
      </c>
      <c r="BZ78" s="41">
        <f>Bank!AY106</f>
        <v>0</v>
      </c>
      <c r="CA78" s="42">
        <f>Bank!AZ106</f>
        <v>0</v>
      </c>
      <c r="CC78" s="2"/>
      <c r="CD78" s="232"/>
    </row>
    <row r="79" spans="1:82" x14ac:dyDescent="0.25">
      <c r="A79" s="127" t="s">
        <v>163</v>
      </c>
      <c r="B79" s="206"/>
      <c r="C79" s="46">
        <f>Bank!D115</f>
        <v>23</v>
      </c>
      <c r="D79" s="129">
        <f>Bank!E115</f>
        <v>47.99</v>
      </c>
      <c r="E79" s="25"/>
      <c r="F79" s="199"/>
      <c r="G79" s="200">
        <f t="shared" si="96"/>
        <v>68.275908175314299</v>
      </c>
      <c r="H79" s="46">
        <f>Bank!N115</f>
        <v>142.45916666666665</v>
      </c>
      <c r="I79" s="45">
        <f t="shared" si="97"/>
        <v>0.33686845938309812</v>
      </c>
      <c r="J79" s="25"/>
      <c r="K79" s="95">
        <f>Bank!CN115</f>
        <v>0</v>
      </c>
      <c r="L79" s="41">
        <f>Bank!CO115</f>
        <v>0</v>
      </c>
      <c r="M79" s="41">
        <f>Bank!CR115</f>
        <v>6.6088965915655695</v>
      </c>
      <c r="N79" s="41">
        <f>Bank!CS115</f>
        <v>0</v>
      </c>
      <c r="O79" s="41">
        <f>Bank!CT115</f>
        <v>15.911670734151548</v>
      </c>
      <c r="P79" s="42">
        <f>Bank!CU115</f>
        <v>0</v>
      </c>
      <c r="Q79" s="95">
        <f>Bank!CV115</f>
        <v>1.346938775510204</v>
      </c>
      <c r="R79" s="41">
        <f>Bank!CW115</f>
        <v>0</v>
      </c>
      <c r="S79" s="41">
        <f>Bank!CX115</f>
        <v>0</v>
      </c>
      <c r="T79" s="42">
        <f>Bank!CY115</f>
        <v>0</v>
      </c>
      <c r="U79" s="95">
        <f>Bank!CZ115</f>
        <v>0</v>
      </c>
      <c r="V79" s="41">
        <f>Bank!DA115</f>
        <v>0</v>
      </c>
      <c r="W79" s="41">
        <f>Bank!DB115</f>
        <v>0</v>
      </c>
      <c r="X79" s="41">
        <f>Bank!DC115</f>
        <v>0</v>
      </c>
      <c r="Y79" s="41">
        <f>Bank!DD115</f>
        <v>0</v>
      </c>
      <c r="Z79" s="42">
        <f>Bank!DE115</f>
        <v>0</v>
      </c>
      <c r="AA79" s="95">
        <f>Bank!DF115</f>
        <v>0</v>
      </c>
      <c r="AB79" s="41">
        <f>Bank!DG115</f>
        <v>0</v>
      </c>
      <c r="AC79" s="41">
        <f>Bank!DH115</f>
        <v>0</v>
      </c>
      <c r="AD79" s="41">
        <f>Bank!DI115</f>
        <v>0</v>
      </c>
      <c r="AE79" s="42">
        <f>Bank!DJ115</f>
        <v>0</v>
      </c>
      <c r="AF79" s="41">
        <f>Bank!DK115</f>
        <v>0</v>
      </c>
      <c r="AG79" s="41">
        <f>Bank!DL115</f>
        <v>0</v>
      </c>
      <c r="AH79" s="41">
        <f>Bank!DM115</f>
        <v>0</v>
      </c>
      <c r="AI79" s="41">
        <f>Bank!DN115</f>
        <v>0</v>
      </c>
      <c r="AJ79" s="41">
        <f>Bank!DO115</f>
        <v>0</v>
      </c>
      <c r="AK79" s="41">
        <f>Bank!DP115</f>
        <v>0</v>
      </c>
      <c r="AL79" s="41">
        <f>Bank!DQ115</f>
        <v>0</v>
      </c>
      <c r="AM79" s="41">
        <f>Bank!DR115</f>
        <v>0</v>
      </c>
      <c r="AN79" s="41">
        <f>Bank!DS115</f>
        <v>0</v>
      </c>
      <c r="AO79" s="41">
        <f>Bank!DT115</f>
        <v>0</v>
      </c>
      <c r="AP79" s="41">
        <f>Bank!DU115</f>
        <v>0</v>
      </c>
      <c r="AQ79" s="42">
        <f>Bank!DV115</f>
        <v>0</v>
      </c>
      <c r="AS79" s="95">
        <f>Bank!P115</f>
        <v>0</v>
      </c>
      <c r="AT79" s="41">
        <f>Bank!Q115</f>
        <v>0</v>
      </c>
      <c r="AU79" s="41">
        <f>Bank!R115</f>
        <v>0</v>
      </c>
      <c r="AV79" s="41">
        <f>Bank!S115</f>
        <v>0</v>
      </c>
      <c r="AW79" s="41">
        <f>Bank!T115</f>
        <v>1</v>
      </c>
      <c r="AX79" s="41">
        <f>Bank!U115</f>
        <v>0</v>
      </c>
      <c r="AY79" s="41">
        <f>Bank!V115</f>
        <v>4</v>
      </c>
      <c r="AZ79" s="42">
        <f>Bank!W115</f>
        <v>0</v>
      </c>
      <c r="BA79" s="41">
        <f>Bank!X115</f>
        <v>1</v>
      </c>
      <c r="BB79" s="41">
        <f>Bank!Y115</f>
        <v>0</v>
      </c>
      <c r="BC79" s="41">
        <f>Bank!Z115</f>
        <v>0</v>
      </c>
      <c r="BD79" s="41">
        <f>Bank!AA115</f>
        <v>0</v>
      </c>
      <c r="BE79" s="95">
        <f>Bank!AB115</f>
        <v>0</v>
      </c>
      <c r="BF79" s="41">
        <f>Bank!AC115</f>
        <v>0</v>
      </c>
      <c r="BG79" s="41">
        <f>Bank!AD115</f>
        <v>0</v>
      </c>
      <c r="BH79" s="41">
        <f>Bank!AE115</f>
        <v>0</v>
      </c>
      <c r="BI79" s="41">
        <f>Bank!AF115</f>
        <v>0</v>
      </c>
      <c r="BJ79" s="42">
        <f>Bank!AG115</f>
        <v>0</v>
      </c>
      <c r="BK79" s="41">
        <f>Bank!AH115</f>
        <v>0</v>
      </c>
      <c r="BL79" s="41">
        <f>Bank!AI115</f>
        <v>0</v>
      </c>
      <c r="BM79" s="41">
        <f>Bank!AJ115</f>
        <v>0</v>
      </c>
      <c r="BN79" s="41">
        <f>Bank!AK115</f>
        <v>0</v>
      </c>
      <c r="BO79" s="41">
        <f>Bank!AL115</f>
        <v>0</v>
      </c>
      <c r="BP79" s="95">
        <f>Bank!AM115</f>
        <v>0</v>
      </c>
      <c r="BQ79" s="41">
        <f>Bank!AN115</f>
        <v>0</v>
      </c>
      <c r="BR79" s="41">
        <f>Bank!AO115</f>
        <v>0</v>
      </c>
      <c r="BS79" s="41">
        <f>Bank!AP115</f>
        <v>0</v>
      </c>
      <c r="BT79" s="41">
        <f>Bank!AQ115</f>
        <v>0</v>
      </c>
      <c r="BU79" s="41">
        <f>Bank!AR115</f>
        <v>0</v>
      </c>
      <c r="BV79" s="41">
        <f>Bank!AS115</f>
        <v>0</v>
      </c>
      <c r="BW79" s="41">
        <f>Bank!AT115</f>
        <v>0</v>
      </c>
      <c r="BX79" s="41">
        <f>Bank!AU115</f>
        <v>0</v>
      </c>
      <c r="BY79" s="41">
        <f>Bank!AV115</f>
        <v>0</v>
      </c>
      <c r="BZ79" s="41">
        <f>Bank!AY115</f>
        <v>0</v>
      </c>
      <c r="CA79" s="42">
        <f>Bank!AZ115</f>
        <v>0</v>
      </c>
      <c r="CC79" s="2"/>
      <c r="CD79" s="232"/>
    </row>
    <row r="80" spans="1:82" x14ac:dyDescent="0.25">
      <c r="A80" s="127" t="s">
        <v>164</v>
      </c>
      <c r="B80" s="206"/>
      <c r="C80" s="46">
        <f>Bank!D124</f>
        <v>24</v>
      </c>
      <c r="D80" s="129">
        <f>Bank!E124</f>
        <v>55.14</v>
      </c>
      <c r="E80" s="25"/>
      <c r="F80" s="199"/>
      <c r="G80" s="200">
        <f t="shared" si="96"/>
        <v>108.88828436706565</v>
      </c>
      <c r="H80" s="46">
        <f>Bank!N124</f>
        <v>250.17083333333335</v>
      </c>
      <c r="I80" s="45">
        <f t="shared" si="97"/>
        <v>0.22040938691893872</v>
      </c>
      <c r="J80" s="25"/>
      <c r="K80" s="95">
        <f>Bank!CN124</f>
        <v>0</v>
      </c>
      <c r="L80" s="41">
        <f>Bank!CO124</f>
        <v>0</v>
      </c>
      <c r="M80" s="41">
        <f>Bank!CR124</f>
        <v>0</v>
      </c>
      <c r="N80" s="41">
        <f>Bank!CS124</f>
        <v>19.065190142439722</v>
      </c>
      <c r="O80" s="41">
        <f>Bank!CT124</f>
        <v>5.849981502034777</v>
      </c>
      <c r="P80" s="42">
        <f>Bank!CU124</f>
        <v>19.396557468670061</v>
      </c>
      <c r="Q80" s="95">
        <f>Bank!CV124</f>
        <v>0</v>
      </c>
      <c r="R80" s="41">
        <f>Bank!CW124</f>
        <v>0</v>
      </c>
      <c r="S80" s="41">
        <f>Bank!CX124</f>
        <v>0</v>
      </c>
      <c r="T80" s="42">
        <f>Bank!CY124</f>
        <v>0</v>
      </c>
      <c r="U80" s="95">
        <f>Bank!CZ124</f>
        <v>0</v>
      </c>
      <c r="V80" s="41">
        <f>Bank!DA124</f>
        <v>0</v>
      </c>
      <c r="W80" s="41">
        <f>Bank!DB124</f>
        <v>0</v>
      </c>
      <c r="X80" s="41">
        <f>Bank!DC124</f>
        <v>0</v>
      </c>
      <c r="Y80" s="41">
        <f>Bank!DD124</f>
        <v>0</v>
      </c>
      <c r="Z80" s="42">
        <f>Bank!DE124</f>
        <v>0</v>
      </c>
      <c r="AA80" s="95">
        <f>Bank!DF124</f>
        <v>0</v>
      </c>
      <c r="AB80" s="41">
        <f>Bank!DG124</f>
        <v>0</v>
      </c>
      <c r="AC80" s="41">
        <f>Bank!DH124</f>
        <v>0</v>
      </c>
      <c r="AD80" s="41">
        <f>Bank!DI124</f>
        <v>0</v>
      </c>
      <c r="AE80" s="42">
        <f>Bank!DJ124</f>
        <v>0</v>
      </c>
      <c r="AF80" s="41">
        <f>Bank!DK124</f>
        <v>0</v>
      </c>
      <c r="AG80" s="41">
        <f>Bank!DL124</f>
        <v>0</v>
      </c>
      <c r="AH80" s="41">
        <f>Bank!DM124</f>
        <v>0</v>
      </c>
      <c r="AI80" s="41">
        <f>Bank!DN124</f>
        <v>0</v>
      </c>
      <c r="AJ80" s="41">
        <f>Bank!DO124</f>
        <v>0</v>
      </c>
      <c r="AK80" s="41">
        <f>Bank!DP124</f>
        <v>0</v>
      </c>
      <c r="AL80" s="41">
        <f>Bank!DQ124</f>
        <v>0</v>
      </c>
      <c r="AM80" s="41">
        <f>Bank!DR124</f>
        <v>0</v>
      </c>
      <c r="AN80" s="41">
        <f>Bank!DS124</f>
        <v>0</v>
      </c>
      <c r="AO80" s="41">
        <f>Bank!DT124</f>
        <v>0</v>
      </c>
      <c r="AP80" s="41">
        <f>Bank!DU124</f>
        <v>0</v>
      </c>
      <c r="AQ80" s="42">
        <f>Bank!DV124</f>
        <v>0</v>
      </c>
      <c r="AS80" s="95">
        <f>Bank!P124</f>
        <v>0</v>
      </c>
      <c r="AT80" s="41">
        <f>Bank!Q124</f>
        <v>0</v>
      </c>
      <c r="AU80" s="41">
        <f>Bank!R124</f>
        <v>0</v>
      </c>
      <c r="AV80" s="41">
        <f>Bank!S124</f>
        <v>0</v>
      </c>
      <c r="AW80" s="41">
        <f>Bank!T124</f>
        <v>0</v>
      </c>
      <c r="AX80" s="41">
        <f>Bank!U124</f>
        <v>5</v>
      </c>
      <c r="AY80" s="41">
        <f>Bank!V124</f>
        <v>1</v>
      </c>
      <c r="AZ80" s="42">
        <f>Bank!W124</f>
        <v>5</v>
      </c>
      <c r="BA80" s="41">
        <f>Bank!X124</f>
        <v>0</v>
      </c>
      <c r="BB80" s="41">
        <f>Bank!Y124</f>
        <v>0</v>
      </c>
      <c r="BC80" s="41">
        <f>Bank!Z124</f>
        <v>0</v>
      </c>
      <c r="BD80" s="41">
        <f>Bank!AA124</f>
        <v>0</v>
      </c>
      <c r="BE80" s="95">
        <f>Bank!AB124</f>
        <v>0</v>
      </c>
      <c r="BF80" s="41">
        <f>Bank!AC124</f>
        <v>0</v>
      </c>
      <c r="BG80" s="41">
        <f>Bank!AD124</f>
        <v>0</v>
      </c>
      <c r="BH80" s="41">
        <f>Bank!AE124</f>
        <v>0</v>
      </c>
      <c r="BI80" s="41">
        <f>Bank!AF124</f>
        <v>0</v>
      </c>
      <c r="BJ80" s="42">
        <f>Bank!AG124</f>
        <v>0</v>
      </c>
      <c r="BK80" s="41">
        <f>Bank!AH124</f>
        <v>0</v>
      </c>
      <c r="BL80" s="41">
        <f>Bank!AI124</f>
        <v>0</v>
      </c>
      <c r="BM80" s="41">
        <f>Bank!AJ124</f>
        <v>0</v>
      </c>
      <c r="BN80" s="41">
        <f>Bank!AK124</f>
        <v>0</v>
      </c>
      <c r="BO80" s="41">
        <f>Bank!AL124</f>
        <v>0</v>
      </c>
      <c r="BP80" s="95">
        <f>Bank!AM124</f>
        <v>0</v>
      </c>
      <c r="BQ80" s="41">
        <f>Bank!AN124</f>
        <v>0</v>
      </c>
      <c r="BR80" s="41">
        <f>Bank!AO124</f>
        <v>0</v>
      </c>
      <c r="BS80" s="41">
        <f>Bank!AP124</f>
        <v>0</v>
      </c>
      <c r="BT80" s="41">
        <f>Bank!AQ124</f>
        <v>0</v>
      </c>
      <c r="BU80" s="41">
        <f>Bank!AR124</f>
        <v>0</v>
      </c>
      <c r="BV80" s="41">
        <f>Bank!AS124</f>
        <v>0</v>
      </c>
      <c r="BW80" s="41">
        <f>Bank!AT124</f>
        <v>0</v>
      </c>
      <c r="BX80" s="41">
        <f>Bank!AU124</f>
        <v>0</v>
      </c>
      <c r="BY80" s="41">
        <f>Bank!AV124</f>
        <v>0</v>
      </c>
      <c r="BZ80" s="41">
        <f>Bank!AY124</f>
        <v>0</v>
      </c>
      <c r="CA80" s="42">
        <f>Bank!AZ124</f>
        <v>0</v>
      </c>
      <c r="CC80" s="2"/>
      <c r="CD80" s="232"/>
    </row>
    <row r="81" spans="1:82" x14ac:dyDescent="0.25">
      <c r="A81" s="127" t="s">
        <v>165</v>
      </c>
      <c r="B81" s="206"/>
      <c r="C81" s="46">
        <f>Bank!D133</f>
        <v>43</v>
      </c>
      <c r="D81" s="129">
        <f>Bank!E131</f>
        <v>8.89</v>
      </c>
      <c r="E81" s="25"/>
      <c r="F81" s="199"/>
      <c r="G81" s="200">
        <f t="shared" si="96"/>
        <v>130.48734533183352</v>
      </c>
      <c r="H81" s="46">
        <f>Bank!N131</f>
        <v>26.977500000000006</v>
      </c>
      <c r="I81" s="45">
        <f t="shared" si="97"/>
        <v>0.32953387081827445</v>
      </c>
      <c r="J81" s="25"/>
      <c r="K81" s="95">
        <f>Bank!CN133</f>
        <v>0</v>
      </c>
      <c r="L81" s="41">
        <f>Bank!CO133</f>
        <v>0</v>
      </c>
      <c r="M81" s="41">
        <f>Bank!CR133</f>
        <v>0</v>
      </c>
      <c r="N81" s="41">
        <f>Bank!CS133</f>
        <v>0</v>
      </c>
      <c r="O81" s="41">
        <f>Bank!CT133</f>
        <v>14.155595657908979</v>
      </c>
      <c r="P81" s="42">
        <f>Bank!CU133</f>
        <v>0</v>
      </c>
      <c r="Q81" s="95">
        <f>Bank!CV133</f>
        <v>0</v>
      </c>
      <c r="R81" s="41">
        <f>Bank!CW133</f>
        <v>0</v>
      </c>
      <c r="S81" s="41">
        <f>Bank!CX133</f>
        <v>0</v>
      </c>
      <c r="T81" s="42">
        <f>Bank!CY133</f>
        <v>0</v>
      </c>
      <c r="U81" s="95">
        <f>Bank!CZ133</f>
        <v>0</v>
      </c>
      <c r="V81" s="41">
        <f>Bank!DA133</f>
        <v>0</v>
      </c>
      <c r="W81" s="41">
        <f>Bank!DB133</f>
        <v>0</v>
      </c>
      <c r="X81" s="41">
        <f>Bank!DC133</f>
        <v>0</v>
      </c>
      <c r="Y81" s="41">
        <f>Bank!DD133</f>
        <v>0</v>
      </c>
      <c r="Z81" s="42">
        <f>Bank!DE133</f>
        <v>0</v>
      </c>
      <c r="AA81" s="95">
        <f>Bank!DF133</f>
        <v>0</v>
      </c>
      <c r="AB81" s="41">
        <f>Bank!DG133</f>
        <v>0</v>
      </c>
      <c r="AC81" s="41">
        <f>Bank!DH133</f>
        <v>0</v>
      </c>
      <c r="AD81" s="41">
        <f>Bank!DI133</f>
        <v>0</v>
      </c>
      <c r="AE81" s="42">
        <f>Bank!DJ133</f>
        <v>0</v>
      </c>
      <c r="AF81" s="41">
        <f>Bank!DK133</f>
        <v>0</v>
      </c>
      <c r="AG81" s="41">
        <f>Bank!DL133</f>
        <v>0</v>
      </c>
      <c r="AH81" s="41">
        <f>Bank!DM133</f>
        <v>0</v>
      </c>
      <c r="AI81" s="41">
        <f>Bank!DN133</f>
        <v>0</v>
      </c>
      <c r="AJ81" s="41">
        <f>Bank!DO133</f>
        <v>0</v>
      </c>
      <c r="AK81" s="41">
        <f>Bank!DP133</f>
        <v>0</v>
      </c>
      <c r="AL81" s="41">
        <f>Bank!DQ133</f>
        <v>0</v>
      </c>
      <c r="AM81" s="41">
        <f>Bank!DR133</f>
        <v>0</v>
      </c>
      <c r="AN81" s="41">
        <f>Bank!DS133</f>
        <v>0</v>
      </c>
      <c r="AO81" s="41">
        <f>Bank!DT133</f>
        <v>0</v>
      </c>
      <c r="AP81" s="41">
        <f>Bank!DU133</f>
        <v>0</v>
      </c>
      <c r="AQ81" s="42">
        <f>Bank!DV133</f>
        <v>0</v>
      </c>
      <c r="AS81" s="95">
        <f>Bank!P133</f>
        <v>3</v>
      </c>
      <c r="AT81" s="41">
        <f>Bank!Q133</f>
        <v>0</v>
      </c>
      <c r="AU81" s="41">
        <f>Bank!R133</f>
        <v>0</v>
      </c>
      <c r="AV81" s="41">
        <f>Bank!S133</f>
        <v>0</v>
      </c>
      <c r="AW81" s="41">
        <f>Bank!T133</f>
        <v>0</v>
      </c>
      <c r="AX81" s="41">
        <f>Bank!U133</f>
        <v>0</v>
      </c>
      <c r="AY81" s="41">
        <f>Bank!V133</f>
        <v>16</v>
      </c>
      <c r="AZ81" s="42">
        <f>Bank!W133</f>
        <v>0</v>
      </c>
      <c r="BA81" s="41">
        <f>Bank!X133</f>
        <v>0</v>
      </c>
      <c r="BB81" s="41">
        <f>Bank!Y133</f>
        <v>0</v>
      </c>
      <c r="BC81" s="41">
        <f>Bank!Z133</f>
        <v>0</v>
      </c>
      <c r="BD81" s="41">
        <f>Bank!AA133</f>
        <v>0</v>
      </c>
      <c r="BE81" s="95">
        <f>Bank!AB133</f>
        <v>0</v>
      </c>
      <c r="BF81" s="41">
        <f>Bank!AC133</f>
        <v>0</v>
      </c>
      <c r="BG81" s="41">
        <f>Bank!AD133</f>
        <v>0</v>
      </c>
      <c r="BH81" s="41">
        <f>Bank!AE133</f>
        <v>0</v>
      </c>
      <c r="BI81" s="41">
        <f>Bank!AF133</f>
        <v>0</v>
      </c>
      <c r="BJ81" s="42">
        <f>Bank!AG133</f>
        <v>0</v>
      </c>
      <c r="BK81" s="41">
        <f>Bank!AH133</f>
        <v>0</v>
      </c>
      <c r="BL81" s="41">
        <f>Bank!AI133</f>
        <v>0</v>
      </c>
      <c r="BM81" s="41">
        <f>Bank!AJ133</f>
        <v>0</v>
      </c>
      <c r="BN81" s="41">
        <f>Bank!AK133</f>
        <v>0</v>
      </c>
      <c r="BO81" s="41">
        <f>Bank!AL133</f>
        <v>0</v>
      </c>
      <c r="BP81" s="95">
        <f>Bank!AM133</f>
        <v>0</v>
      </c>
      <c r="BQ81" s="41">
        <f>Bank!AN133</f>
        <v>0</v>
      </c>
      <c r="BR81" s="41">
        <f>Bank!AO133</f>
        <v>0</v>
      </c>
      <c r="BS81" s="41">
        <f>Bank!AP133</f>
        <v>0</v>
      </c>
      <c r="BT81" s="41">
        <f>Bank!AQ133</f>
        <v>7</v>
      </c>
      <c r="BU81" s="41">
        <f>Bank!AR133</f>
        <v>0</v>
      </c>
      <c r="BV81" s="41">
        <f>Bank!AS133</f>
        <v>0</v>
      </c>
      <c r="BW81" s="41">
        <f>Bank!AT133</f>
        <v>0</v>
      </c>
      <c r="BX81" s="41">
        <f>Bank!AU133</f>
        <v>0</v>
      </c>
      <c r="BY81" s="41">
        <f>Bank!AV133</f>
        <v>0</v>
      </c>
      <c r="BZ81" s="41">
        <f>Bank!AY133</f>
        <v>0</v>
      </c>
      <c r="CA81" s="42">
        <f>Bank!AZ133</f>
        <v>2</v>
      </c>
      <c r="CC81" s="2"/>
      <c r="CD81" s="232"/>
    </row>
    <row r="82" spans="1:82" x14ac:dyDescent="0.25">
      <c r="A82" s="127" t="s">
        <v>166</v>
      </c>
      <c r="B82" s="206"/>
      <c r="C82" s="46">
        <f>Bank!D142</f>
        <v>23</v>
      </c>
      <c r="D82" s="362">
        <f>Bank!E142</f>
        <v>57.22</v>
      </c>
      <c r="E82" s="25"/>
      <c r="F82" s="199"/>
      <c r="G82" s="200">
        <f t="shared" ref="G82:G84" si="98">C82/I82</f>
        <v>109.55193181512651</v>
      </c>
      <c r="H82" s="46">
        <f>Bank!N142</f>
        <v>272.54615384615386</v>
      </c>
      <c r="I82" s="45">
        <f t="shared" ref="I82:I84" si="99">D82/H82</f>
        <v>0.2099460924049561</v>
      </c>
      <c r="J82" s="25"/>
      <c r="K82" s="95">
        <f>Bank!CN142</f>
        <v>21.509593679458245</v>
      </c>
      <c r="L82" s="41">
        <f>Bank!CO142</f>
        <v>0</v>
      </c>
      <c r="M82" s="41">
        <f>Bank!CP142</f>
        <v>0</v>
      </c>
      <c r="N82" s="41">
        <f>Bank!CQ142</f>
        <v>0</v>
      </c>
      <c r="O82" s="41">
        <f>Bank!CR142</f>
        <v>0</v>
      </c>
      <c r="P82" s="42">
        <f>Bank!CS142</f>
        <v>0</v>
      </c>
      <c r="Q82" s="95">
        <f>Bank!CV142</f>
        <v>0</v>
      </c>
      <c r="R82" s="41">
        <f>Bank!CW142</f>
        <v>0</v>
      </c>
      <c r="S82" s="41">
        <f>Bank!CX142</f>
        <v>0</v>
      </c>
      <c r="T82" s="42">
        <f>Bank!CY142</f>
        <v>0</v>
      </c>
      <c r="U82" s="95">
        <f>Bank!CZ142</f>
        <v>0</v>
      </c>
      <c r="V82" s="41">
        <f>Bank!DA142</f>
        <v>0</v>
      </c>
      <c r="W82" s="41">
        <f>Bank!DB142</f>
        <v>0</v>
      </c>
      <c r="X82" s="41">
        <f>Bank!DC142</f>
        <v>0</v>
      </c>
      <c r="Y82" s="41">
        <f>Bank!DD142</f>
        <v>0</v>
      </c>
      <c r="Z82" s="42">
        <f>Bank!DE142</f>
        <v>0</v>
      </c>
      <c r="AA82" s="95">
        <f>Bank!DF142</f>
        <v>0</v>
      </c>
      <c r="AB82" s="41">
        <f>Bank!DG142</f>
        <v>0</v>
      </c>
      <c r="AC82" s="41">
        <f>Bank!DH142</f>
        <v>0</v>
      </c>
      <c r="AD82" s="41">
        <f>Bank!DI142</f>
        <v>0</v>
      </c>
      <c r="AE82" s="42">
        <f>Bank!DJ142</f>
        <v>0</v>
      </c>
      <c r="AF82" s="95">
        <f>Bank!DK142</f>
        <v>0</v>
      </c>
      <c r="AG82" s="41">
        <f>Bank!DL142</f>
        <v>0</v>
      </c>
      <c r="AH82" s="41">
        <f>Bank!DM142</f>
        <v>0</v>
      </c>
      <c r="AI82" s="41">
        <f>Bank!DN142</f>
        <v>0</v>
      </c>
      <c r="AJ82" s="41">
        <f>Bank!DO142</f>
        <v>0</v>
      </c>
      <c r="AK82" s="41">
        <f>Bank!DP142</f>
        <v>0</v>
      </c>
      <c r="AL82" s="41">
        <f>Bank!DQ142</f>
        <v>0</v>
      </c>
      <c r="AM82" s="41">
        <f>Bank!DR142</f>
        <v>0</v>
      </c>
      <c r="AN82" s="41">
        <f>Bank!DS142</f>
        <v>0</v>
      </c>
      <c r="AO82" s="41">
        <f>Bank!DT142</f>
        <v>0</v>
      </c>
      <c r="AP82" s="41">
        <f>Bank!DU142</f>
        <v>0</v>
      </c>
      <c r="AQ82" s="42">
        <f>Bank!DV142</f>
        <v>0</v>
      </c>
      <c r="AS82" s="95">
        <f>Bank!P142</f>
        <v>3</v>
      </c>
      <c r="AT82" s="41">
        <f>Bank!Q142</f>
        <v>1</v>
      </c>
      <c r="AU82" s="41">
        <f>Bank!R142</f>
        <v>0</v>
      </c>
      <c r="AV82" s="41">
        <f>Bank!S142</f>
        <v>0</v>
      </c>
      <c r="AW82" s="41">
        <f>Bank!T142</f>
        <v>0</v>
      </c>
      <c r="AX82" s="41">
        <f>Bank!U142</f>
        <v>0</v>
      </c>
      <c r="AY82" s="41">
        <f>Bank!V142</f>
        <v>3</v>
      </c>
      <c r="AZ82" s="42">
        <f>Bank!W142</f>
        <v>0</v>
      </c>
      <c r="BA82" s="41">
        <f>Bank!X142</f>
        <v>0</v>
      </c>
      <c r="BB82" s="41">
        <f>Bank!Y142</f>
        <v>0</v>
      </c>
      <c r="BC82" s="41">
        <f>Bank!Z142</f>
        <v>0</v>
      </c>
      <c r="BD82" s="42">
        <f>Bank!AA142</f>
        <v>0</v>
      </c>
      <c r="BE82" s="41">
        <f>Bank!AB142</f>
        <v>0</v>
      </c>
      <c r="BF82" s="41">
        <f>Bank!AC142</f>
        <v>0</v>
      </c>
      <c r="BG82" s="41">
        <f>Bank!AD142</f>
        <v>0</v>
      </c>
      <c r="BH82" s="41">
        <f>Bank!AE142</f>
        <v>0</v>
      </c>
      <c r="BI82" s="41">
        <f>Bank!AF142</f>
        <v>0</v>
      </c>
      <c r="BJ82" s="42">
        <f>Bank!AG142</f>
        <v>0</v>
      </c>
      <c r="BK82" s="41">
        <f>Bank!AH142</f>
        <v>0</v>
      </c>
      <c r="BL82" s="41">
        <f>Bank!AI142</f>
        <v>0</v>
      </c>
      <c r="BM82" s="41">
        <f>Bank!AJ142</f>
        <v>0</v>
      </c>
      <c r="BN82" s="41">
        <f>Bank!AK142</f>
        <v>0</v>
      </c>
      <c r="BO82" s="42">
        <f>Bank!AL142</f>
        <v>0</v>
      </c>
      <c r="BP82" s="41">
        <f>Bank!AM142</f>
        <v>0</v>
      </c>
      <c r="BQ82" s="41">
        <f>Bank!AN142</f>
        <v>0</v>
      </c>
      <c r="BR82" s="41">
        <f>Bank!AO142</f>
        <v>0</v>
      </c>
      <c r="BS82" s="41">
        <f>Bank!AP142</f>
        <v>0</v>
      </c>
      <c r="BT82" s="41">
        <f>Bank!AQ142</f>
        <v>0</v>
      </c>
      <c r="BU82" s="41">
        <f>Bank!AR142</f>
        <v>0</v>
      </c>
      <c r="BV82" s="41">
        <f>Bank!AS142</f>
        <v>0</v>
      </c>
      <c r="BW82" s="41">
        <f>Bank!AT142</f>
        <v>0</v>
      </c>
      <c r="BX82" s="41">
        <f>Bank!AU142</f>
        <v>0</v>
      </c>
      <c r="BY82" s="41">
        <f>Bank!AV142</f>
        <v>0</v>
      </c>
      <c r="BZ82" s="41">
        <f>Bank!AW142</f>
        <v>0</v>
      </c>
      <c r="CA82" s="42">
        <f>Bank!AX142</f>
        <v>0</v>
      </c>
      <c r="CC82" s="2"/>
      <c r="CD82" s="232"/>
    </row>
    <row r="83" spans="1:82" x14ac:dyDescent="0.25">
      <c r="A83" s="127" t="s">
        <v>167</v>
      </c>
      <c r="B83" s="206"/>
      <c r="C83" s="46">
        <f>Bank!D151</f>
        <v>15</v>
      </c>
      <c r="D83" s="362">
        <f>Bank!E151</f>
        <v>46.73</v>
      </c>
      <c r="E83" s="25"/>
      <c r="F83" s="199"/>
      <c r="G83" s="200">
        <f t="shared" si="98"/>
        <v>45.578322276909915</v>
      </c>
      <c r="H83" s="46">
        <f>Bank!N151</f>
        <v>141.99166666666667</v>
      </c>
      <c r="I83" s="45">
        <f t="shared" si="99"/>
        <v>0.32910382064675153</v>
      </c>
      <c r="J83" s="25"/>
      <c r="K83" s="95">
        <f>Bank!CN151</f>
        <v>4.312568404054903</v>
      </c>
      <c r="L83" s="41">
        <f>Bank!CO151</f>
        <v>0</v>
      </c>
      <c r="M83" s="41">
        <f>Bank!CP151</f>
        <v>0</v>
      </c>
      <c r="N83" s="41">
        <f>Bank!CQ151</f>
        <v>0</v>
      </c>
      <c r="O83" s="41">
        <f>Bank!CR151</f>
        <v>0</v>
      </c>
      <c r="P83" s="42">
        <f>Bank!CS151</f>
        <v>0</v>
      </c>
      <c r="Q83" s="95">
        <f>Bank!CV151</f>
        <v>1.8075941289087429</v>
      </c>
      <c r="R83" s="41">
        <f>Bank!CW151</f>
        <v>0</v>
      </c>
      <c r="S83" s="41">
        <f>Bank!CX151</f>
        <v>0</v>
      </c>
      <c r="T83" s="42">
        <f>Bank!CY151</f>
        <v>0</v>
      </c>
      <c r="U83" s="95">
        <f>Bank!CZ151</f>
        <v>0</v>
      </c>
      <c r="V83" s="41">
        <f>Bank!DA151</f>
        <v>0</v>
      </c>
      <c r="W83" s="41">
        <f>Bank!DB151</f>
        <v>0</v>
      </c>
      <c r="X83" s="41">
        <f>Bank!DC151</f>
        <v>0</v>
      </c>
      <c r="Y83" s="41">
        <f>Bank!DD151</f>
        <v>0</v>
      </c>
      <c r="Z83" s="42">
        <f>Bank!DE151</f>
        <v>0</v>
      </c>
      <c r="AA83" s="95">
        <f>Bank!DF151</f>
        <v>0</v>
      </c>
      <c r="AB83" s="41">
        <f>Bank!DG151</f>
        <v>0</v>
      </c>
      <c r="AC83" s="41">
        <f>Bank!DH151</f>
        <v>0</v>
      </c>
      <c r="AD83" s="41">
        <f>Bank!DI151</f>
        <v>0</v>
      </c>
      <c r="AE83" s="42">
        <f>Bank!DJ151</f>
        <v>0</v>
      </c>
      <c r="AF83" s="95">
        <f>Bank!DK151</f>
        <v>0</v>
      </c>
      <c r="AG83" s="41">
        <f>Bank!DL151</f>
        <v>0</v>
      </c>
      <c r="AH83" s="41">
        <f>Bank!DM151</f>
        <v>0</v>
      </c>
      <c r="AI83" s="41">
        <f>Bank!DN151</f>
        <v>0</v>
      </c>
      <c r="AJ83" s="41">
        <f>Bank!DO151</f>
        <v>0</v>
      </c>
      <c r="AK83" s="41">
        <f>Bank!DP151</f>
        <v>0</v>
      </c>
      <c r="AL83" s="41">
        <f>Bank!DQ151</f>
        <v>0</v>
      </c>
      <c r="AM83" s="41">
        <f>Bank!DR151</f>
        <v>0</v>
      </c>
      <c r="AN83" s="41">
        <f>Bank!DS151</f>
        <v>0</v>
      </c>
      <c r="AO83" s="41">
        <f>Bank!DT151</f>
        <v>0</v>
      </c>
      <c r="AP83" s="41">
        <f>Bank!DU151</f>
        <v>0</v>
      </c>
      <c r="AQ83" s="42">
        <f>Bank!DV151</f>
        <v>0</v>
      </c>
      <c r="AS83" s="95">
        <f>Bank!P151</f>
        <v>2</v>
      </c>
      <c r="AT83" s="41">
        <f>Bank!Q151</f>
        <v>0</v>
      </c>
      <c r="AU83" s="41">
        <f>Bank!R151</f>
        <v>0</v>
      </c>
      <c r="AV83" s="41">
        <f>Bank!S151</f>
        <v>0</v>
      </c>
      <c r="AW83" s="41">
        <f>Bank!T151</f>
        <v>0</v>
      </c>
      <c r="AX83" s="41">
        <f>Bank!U151</f>
        <v>0</v>
      </c>
      <c r="AY83" s="41">
        <f>Bank!V151</f>
        <v>3</v>
      </c>
      <c r="AZ83" s="42">
        <f>Bank!W151</f>
        <v>0</v>
      </c>
      <c r="BA83" s="41">
        <f>Bank!X151</f>
        <v>1</v>
      </c>
      <c r="BB83" s="41">
        <f>Bank!Y151</f>
        <v>0</v>
      </c>
      <c r="BC83" s="41">
        <f>Bank!Z151</f>
        <v>0</v>
      </c>
      <c r="BD83" s="42">
        <f>Bank!AA151</f>
        <v>0</v>
      </c>
      <c r="BE83" s="41">
        <f>Bank!AB151</f>
        <v>0</v>
      </c>
      <c r="BF83" s="41">
        <f>Bank!AC151</f>
        <v>0</v>
      </c>
      <c r="BG83" s="41">
        <f>Bank!AD151</f>
        <v>0</v>
      </c>
      <c r="BH83" s="41">
        <f>Bank!AE151</f>
        <v>0</v>
      </c>
      <c r="BI83" s="41">
        <f>Bank!AF151</f>
        <v>0</v>
      </c>
      <c r="BJ83" s="42">
        <f>Bank!AG151</f>
        <v>0</v>
      </c>
      <c r="BK83" s="41">
        <f>Bank!AH151</f>
        <v>0</v>
      </c>
      <c r="BL83" s="41">
        <f>Bank!AI151</f>
        <v>0</v>
      </c>
      <c r="BM83" s="41">
        <f>Bank!AJ151</f>
        <v>0</v>
      </c>
      <c r="BN83" s="41">
        <f>Bank!AK151</f>
        <v>0</v>
      </c>
      <c r="BO83" s="42">
        <f>Bank!AL151</f>
        <v>0</v>
      </c>
      <c r="BP83" s="41">
        <f>Bank!AM151</f>
        <v>0</v>
      </c>
      <c r="BQ83" s="41">
        <f>Bank!AN151</f>
        <v>0</v>
      </c>
      <c r="BR83" s="41">
        <f>Bank!AO151</f>
        <v>0</v>
      </c>
      <c r="BS83" s="41">
        <f>Bank!AP151</f>
        <v>0</v>
      </c>
      <c r="BT83" s="41">
        <f>Bank!AQ151</f>
        <v>0</v>
      </c>
      <c r="BU83" s="41">
        <f>Bank!AR151</f>
        <v>0</v>
      </c>
      <c r="BV83" s="41">
        <f>Bank!AS151</f>
        <v>0</v>
      </c>
      <c r="BW83" s="41">
        <f>Bank!AT151</f>
        <v>0</v>
      </c>
      <c r="BX83" s="41">
        <f>Bank!AU151</f>
        <v>0</v>
      </c>
      <c r="BY83" s="41">
        <f>Bank!AV151</f>
        <v>0</v>
      </c>
      <c r="BZ83" s="41">
        <f>Bank!AW151</f>
        <v>0</v>
      </c>
      <c r="CA83" s="42">
        <f>Bank!AX151</f>
        <v>0</v>
      </c>
      <c r="CC83" s="2"/>
      <c r="CD83" s="232"/>
    </row>
    <row r="84" spans="1:82" x14ac:dyDescent="0.25">
      <c r="A84" s="127" t="s">
        <v>168</v>
      </c>
      <c r="B84" s="206"/>
      <c r="C84" s="46">
        <f>Bank!D160</f>
        <v>38</v>
      </c>
      <c r="D84" s="129">
        <f>Bank!E160</f>
        <v>112.38</v>
      </c>
      <c r="E84" s="25"/>
      <c r="F84" s="199"/>
      <c r="G84" s="200">
        <f t="shared" si="98"/>
        <v>114.43577593877916</v>
      </c>
      <c r="H84" s="46">
        <f>Bank!N160</f>
        <v>338.42875000000004</v>
      </c>
      <c r="I84" s="45">
        <f t="shared" si="99"/>
        <v>0.33206398688054717</v>
      </c>
      <c r="J84" s="25"/>
      <c r="K84" s="95"/>
      <c r="L84" s="41"/>
      <c r="M84" s="41"/>
      <c r="N84" s="41"/>
      <c r="O84" s="41"/>
      <c r="P84" s="42"/>
      <c r="Q84" s="95"/>
      <c r="R84" s="41"/>
      <c r="S84" s="41"/>
      <c r="T84" s="42"/>
      <c r="U84" s="95"/>
      <c r="V84" s="41"/>
      <c r="W84" s="41"/>
      <c r="X84" s="41"/>
      <c r="Y84" s="41"/>
      <c r="Z84" s="42"/>
      <c r="AA84" s="95"/>
      <c r="AB84" s="41"/>
      <c r="AC84" s="41"/>
      <c r="AD84" s="41"/>
      <c r="AE84" s="42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2"/>
      <c r="AS84" s="95"/>
      <c r="AT84" s="41"/>
      <c r="AU84" s="41"/>
      <c r="AV84" s="41"/>
      <c r="AW84" s="41"/>
      <c r="AX84" s="41"/>
      <c r="AY84" s="41"/>
      <c r="AZ84" s="42"/>
      <c r="BA84" s="41"/>
      <c r="BB84" s="41"/>
      <c r="BC84" s="41"/>
      <c r="BD84" s="41"/>
      <c r="BE84" s="95"/>
      <c r="BF84" s="41"/>
      <c r="BG84" s="41"/>
      <c r="BH84" s="41"/>
      <c r="BI84" s="41"/>
      <c r="BJ84" s="42"/>
      <c r="BK84" s="41"/>
      <c r="BL84" s="41"/>
      <c r="BM84" s="41"/>
      <c r="BN84" s="41"/>
      <c r="BO84" s="41"/>
      <c r="BP84" s="95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2"/>
      <c r="CC84" s="2"/>
      <c r="CD84" s="232"/>
    </row>
    <row r="85" spans="1:82" x14ac:dyDescent="0.25">
      <c r="A85" s="127" t="s">
        <v>169</v>
      </c>
      <c r="B85" s="206"/>
      <c r="C85" s="46">
        <f>Bank!D169</f>
        <v>18</v>
      </c>
      <c r="D85" s="129">
        <f>Bank!E169</f>
        <v>79.740000000000009</v>
      </c>
      <c r="E85" s="25"/>
      <c r="F85" s="199"/>
      <c r="G85" s="200">
        <f t="shared" ref="G85" si="100">C85/I85</f>
        <v>32.627539503386004</v>
      </c>
      <c r="H85" s="46">
        <f>Bank!N169</f>
        <v>144.54000000000002</v>
      </c>
      <c r="I85" s="45">
        <f t="shared" ref="I85" si="101">D85/H85</f>
        <v>0.55168119551681194</v>
      </c>
      <c r="J85" s="25"/>
      <c r="K85" s="95">
        <f>Bank!CN169</f>
        <v>1.7681826551279689</v>
      </c>
      <c r="L85" s="41">
        <f>Bank!CO169</f>
        <v>0</v>
      </c>
      <c r="M85" s="41">
        <f>Bank!CR169</f>
        <v>0</v>
      </c>
      <c r="N85" s="41">
        <f>Bank!CS169</f>
        <v>0</v>
      </c>
      <c r="O85" s="41">
        <f>Bank!CT169</f>
        <v>7.2121374266501279</v>
      </c>
      <c r="P85" s="42">
        <f>Bank!CU169</f>
        <v>0</v>
      </c>
      <c r="Q85" s="95">
        <f>Bank!CV169</f>
        <v>0</v>
      </c>
      <c r="R85" s="41">
        <f>Bank!CW169</f>
        <v>0</v>
      </c>
      <c r="S85" s="41">
        <f>Bank!CX169</f>
        <v>0</v>
      </c>
      <c r="T85" s="42">
        <f>Bank!CY169</f>
        <v>0</v>
      </c>
      <c r="U85" s="95">
        <f>Bank!CZ169</f>
        <v>0</v>
      </c>
      <c r="V85" s="41">
        <f>Bank!DA169</f>
        <v>0</v>
      </c>
      <c r="W85" s="41">
        <f>Bank!DB169</f>
        <v>0</v>
      </c>
      <c r="X85" s="41">
        <f>Bank!DC169</f>
        <v>0</v>
      </c>
      <c r="Y85" s="41">
        <f>Bank!DD169</f>
        <v>0</v>
      </c>
      <c r="Z85" s="42">
        <f>Bank!DE169</f>
        <v>0</v>
      </c>
      <c r="AA85" s="95">
        <f>Bank!DF169</f>
        <v>0</v>
      </c>
      <c r="AB85" s="41">
        <f>Bank!DG169</f>
        <v>0</v>
      </c>
      <c r="AC85" s="41">
        <f>Bank!DH169</f>
        <v>0</v>
      </c>
      <c r="AD85" s="41">
        <f>Bank!DI169</f>
        <v>0</v>
      </c>
      <c r="AE85" s="42">
        <f>Bank!DJ169</f>
        <v>0</v>
      </c>
      <c r="AF85" s="41">
        <f>Bank!DK169</f>
        <v>0</v>
      </c>
      <c r="AG85" s="41">
        <f>Bank!DL169</f>
        <v>0</v>
      </c>
      <c r="AH85" s="41">
        <f>Bank!DM169</f>
        <v>0</v>
      </c>
      <c r="AI85" s="41">
        <f>Bank!DN169</f>
        <v>0</v>
      </c>
      <c r="AJ85" s="41">
        <f>Bank!DO169</f>
        <v>0</v>
      </c>
      <c r="AK85" s="41">
        <f>Bank!DP169</f>
        <v>0</v>
      </c>
      <c r="AL85" s="41">
        <f>Bank!DQ169</f>
        <v>0</v>
      </c>
      <c r="AM85" s="41">
        <f>Bank!DR169</f>
        <v>0</v>
      </c>
      <c r="AN85" s="41">
        <f>Bank!DS169</f>
        <v>0</v>
      </c>
      <c r="AO85" s="41">
        <f>Bank!DT169</f>
        <v>0</v>
      </c>
      <c r="AP85" s="41">
        <f>Bank!DU169</f>
        <v>0</v>
      </c>
      <c r="AQ85" s="42">
        <f>Bank!DV169</f>
        <v>0</v>
      </c>
      <c r="AS85" s="95">
        <f>Bank!P169</f>
        <v>1</v>
      </c>
      <c r="AT85" s="41">
        <f>Bank!Q169</f>
        <v>0</v>
      </c>
      <c r="AU85" s="41">
        <f>Bank!R169</f>
        <v>0</v>
      </c>
      <c r="AV85" s="41">
        <f>Bank!S169</f>
        <v>0</v>
      </c>
      <c r="AW85" s="41">
        <f>Bank!T169</f>
        <v>0</v>
      </c>
      <c r="AX85" s="41">
        <f>Bank!U169</f>
        <v>0</v>
      </c>
      <c r="AY85" s="41">
        <f>Bank!V169</f>
        <v>4</v>
      </c>
      <c r="AZ85" s="42">
        <f>Bank!W169</f>
        <v>0</v>
      </c>
      <c r="BA85" s="41">
        <f>Bank!X169</f>
        <v>0</v>
      </c>
      <c r="BB85" s="41">
        <f>Bank!Y169</f>
        <v>0</v>
      </c>
      <c r="BC85" s="41">
        <f>Bank!Z169</f>
        <v>0</v>
      </c>
      <c r="BD85" s="41">
        <f>Bank!AA169</f>
        <v>0</v>
      </c>
      <c r="BE85" s="95">
        <f>Bank!AB169</f>
        <v>0</v>
      </c>
      <c r="BF85" s="41">
        <f>Bank!AC169</f>
        <v>0</v>
      </c>
      <c r="BG85" s="41">
        <f>Bank!AD169</f>
        <v>0</v>
      </c>
      <c r="BH85" s="41">
        <f>Bank!AE169</f>
        <v>0</v>
      </c>
      <c r="BI85" s="41">
        <f>Bank!AF169</f>
        <v>0</v>
      </c>
      <c r="BJ85" s="42">
        <f>Bank!AG169</f>
        <v>0</v>
      </c>
      <c r="BK85" s="41">
        <f>Bank!AH169</f>
        <v>0</v>
      </c>
      <c r="BL85" s="41">
        <f>Bank!AI169</f>
        <v>0</v>
      </c>
      <c r="BM85" s="41">
        <f>Bank!AJ169</f>
        <v>0</v>
      </c>
      <c r="BN85" s="41">
        <f>Bank!AK169</f>
        <v>0</v>
      </c>
      <c r="BO85" s="41">
        <f>Bank!AL169</f>
        <v>0</v>
      </c>
      <c r="BP85" s="95">
        <f>Bank!AM169</f>
        <v>0</v>
      </c>
      <c r="BQ85" s="41">
        <f>Bank!AN169</f>
        <v>0</v>
      </c>
      <c r="BR85" s="41">
        <f>Bank!AO169</f>
        <v>0</v>
      </c>
      <c r="BS85" s="41">
        <f>Bank!AP169</f>
        <v>0</v>
      </c>
      <c r="BT85" s="41">
        <f>Bank!AQ169</f>
        <v>0</v>
      </c>
      <c r="BU85" s="41">
        <f>Bank!AR169</f>
        <v>0</v>
      </c>
      <c r="BV85" s="41">
        <f>Bank!AS169</f>
        <v>0</v>
      </c>
      <c r="BW85" s="41">
        <f>Bank!AT169</f>
        <v>0</v>
      </c>
      <c r="BX85" s="41">
        <f>Bank!AU169</f>
        <v>0</v>
      </c>
      <c r="BY85" s="41">
        <f>Bank!AV169</f>
        <v>0</v>
      </c>
      <c r="BZ85" s="41">
        <f>Bank!AY169</f>
        <v>0</v>
      </c>
      <c r="CA85" s="42">
        <f>Bank!AZ169</f>
        <v>0</v>
      </c>
      <c r="CC85" s="2">
        <f t="shared" ref="CC85:CC87" si="102">SUM(AS85:AZ85)</f>
        <v>5</v>
      </c>
      <c r="CD85" s="232">
        <f t="shared" ref="CD85:CD87" si="103">D85/CC85</f>
        <v>15.948000000000002</v>
      </c>
    </row>
    <row r="86" spans="1:82" x14ac:dyDescent="0.25">
      <c r="A86" s="127" t="s">
        <v>170</v>
      </c>
      <c r="B86" s="206"/>
      <c r="C86" s="46">
        <f>Bank!D182</f>
        <v>0</v>
      </c>
      <c r="D86" s="129">
        <f>Bank!E182</f>
        <v>0</v>
      </c>
      <c r="E86" s="25"/>
      <c r="F86" s="199"/>
      <c r="G86" s="200" t="e">
        <f t="shared" ref="G86" si="104">C86/I86</f>
        <v>#DIV/0!</v>
      </c>
      <c r="H86" s="46">
        <f>Bank!N47</f>
        <v>0</v>
      </c>
      <c r="I86" s="45" t="e">
        <f t="shared" ref="I86" si="105">D86/H86</f>
        <v>#DIV/0!</v>
      </c>
      <c r="J86" s="25"/>
      <c r="K86" s="95" t="e">
        <f>Bank!CN182</f>
        <v>#DIV/0!</v>
      </c>
      <c r="L86" s="41" t="e">
        <f>Bank!CO182</f>
        <v>#DIV/0!</v>
      </c>
      <c r="M86" s="41" t="e">
        <f>Bank!CR182</f>
        <v>#DIV/0!</v>
      </c>
      <c r="N86" s="41" t="e">
        <f>Bank!CS182</f>
        <v>#DIV/0!</v>
      </c>
      <c r="O86" s="41" t="e">
        <f>Bank!CT182</f>
        <v>#DIV/0!</v>
      </c>
      <c r="P86" s="42" t="e">
        <f>Bank!CU182</f>
        <v>#DIV/0!</v>
      </c>
      <c r="Q86" s="95" t="e">
        <f>Bank!CV182</f>
        <v>#DIV/0!</v>
      </c>
      <c r="R86" s="41" t="e">
        <f>Bank!CW182</f>
        <v>#DIV/0!</v>
      </c>
      <c r="S86" s="41" t="e">
        <f>Bank!CX182</f>
        <v>#DIV/0!</v>
      </c>
      <c r="T86" s="42" t="e">
        <f>Bank!CY182</f>
        <v>#DIV/0!</v>
      </c>
      <c r="U86" s="95" t="e">
        <f>Bank!CZ182</f>
        <v>#DIV/0!</v>
      </c>
      <c r="V86" s="41" t="e">
        <f>Bank!DA182</f>
        <v>#DIV/0!</v>
      </c>
      <c r="W86" s="41" t="e">
        <f>Bank!DB182</f>
        <v>#DIV/0!</v>
      </c>
      <c r="X86" s="41" t="e">
        <f>Bank!DC182</f>
        <v>#DIV/0!</v>
      </c>
      <c r="Y86" s="41" t="e">
        <f>Bank!DD182</f>
        <v>#DIV/0!</v>
      </c>
      <c r="Z86" s="42" t="e">
        <f>Bank!DE182</f>
        <v>#DIV/0!</v>
      </c>
      <c r="AA86" s="95" t="e">
        <f>Bank!DF182</f>
        <v>#DIV/0!</v>
      </c>
      <c r="AB86" s="41" t="e">
        <f>Bank!DG182</f>
        <v>#DIV/0!</v>
      </c>
      <c r="AC86" s="41" t="e">
        <f>Bank!DH182</f>
        <v>#DIV/0!</v>
      </c>
      <c r="AD86" s="41" t="e">
        <f>Bank!DI182</f>
        <v>#DIV/0!</v>
      </c>
      <c r="AE86" s="42" t="e">
        <f>Bank!DJ182</f>
        <v>#DIV/0!</v>
      </c>
      <c r="AF86" s="41" t="e">
        <f>Bank!DK182</f>
        <v>#DIV/0!</v>
      </c>
      <c r="AG86" s="41" t="e">
        <f>Bank!DL182</f>
        <v>#DIV/0!</v>
      </c>
      <c r="AH86" s="41" t="e">
        <f>Bank!DM182</f>
        <v>#DIV/0!</v>
      </c>
      <c r="AI86" s="41" t="e">
        <f>Bank!DN182</f>
        <v>#DIV/0!</v>
      </c>
      <c r="AJ86" s="41" t="e">
        <f>Bank!DO182</f>
        <v>#DIV/0!</v>
      </c>
      <c r="AK86" s="41" t="e">
        <f>Bank!DP182</f>
        <v>#DIV/0!</v>
      </c>
      <c r="AL86" s="41" t="e">
        <f>Bank!DQ182</f>
        <v>#DIV/0!</v>
      </c>
      <c r="AM86" s="41" t="e">
        <f>Bank!DR182</f>
        <v>#DIV/0!</v>
      </c>
      <c r="AN86" s="41" t="e">
        <f>Bank!DS182</f>
        <v>#DIV/0!</v>
      </c>
      <c r="AO86" s="41" t="e">
        <f>Bank!DT182</f>
        <v>#DIV/0!</v>
      </c>
      <c r="AP86" s="41" t="e">
        <f>Bank!DU182</f>
        <v>#DIV/0!</v>
      </c>
      <c r="AQ86" s="42" t="e">
        <f>Bank!DV182</f>
        <v>#DIV/0!</v>
      </c>
      <c r="AS86" s="95">
        <f>Bank!P182</f>
        <v>0</v>
      </c>
      <c r="AT86" s="41">
        <f>Bank!Q182</f>
        <v>0</v>
      </c>
      <c r="AU86" s="41">
        <f>Bank!R182</f>
        <v>0</v>
      </c>
      <c r="AV86" s="41">
        <f>Bank!S182</f>
        <v>0</v>
      </c>
      <c r="AW86" s="41">
        <f>Bank!T182</f>
        <v>0</v>
      </c>
      <c r="AX86" s="41">
        <f>Bank!U182</f>
        <v>0</v>
      </c>
      <c r="AY86" s="41">
        <f>Bank!V182</f>
        <v>0</v>
      </c>
      <c r="AZ86" s="42">
        <f>Bank!W182</f>
        <v>0</v>
      </c>
      <c r="BA86" s="41">
        <f>Bank!X182</f>
        <v>0</v>
      </c>
      <c r="BB86" s="41">
        <f>Bank!Y182</f>
        <v>0</v>
      </c>
      <c r="BC86" s="41">
        <f>Bank!Z182</f>
        <v>0</v>
      </c>
      <c r="BD86" s="41">
        <f>Bank!AA182</f>
        <v>0</v>
      </c>
      <c r="BE86" s="95">
        <f>Bank!AB182</f>
        <v>0</v>
      </c>
      <c r="BF86" s="41">
        <f>Bank!AC182</f>
        <v>0</v>
      </c>
      <c r="BG86" s="41">
        <f>Bank!AD182</f>
        <v>0</v>
      </c>
      <c r="BH86" s="41">
        <f>Bank!AE182</f>
        <v>0</v>
      </c>
      <c r="BI86" s="41">
        <f>Bank!AF182</f>
        <v>0</v>
      </c>
      <c r="BJ86" s="42">
        <f>Bank!AG182</f>
        <v>0</v>
      </c>
      <c r="BK86" s="41">
        <f>Bank!AH182</f>
        <v>0</v>
      </c>
      <c r="BL86" s="41">
        <f>Bank!AI182</f>
        <v>0</v>
      </c>
      <c r="BM86" s="41">
        <f>Bank!AJ182</f>
        <v>0</v>
      </c>
      <c r="BN86" s="41">
        <f>Bank!AK182</f>
        <v>0</v>
      </c>
      <c r="BO86" s="41">
        <f>Bank!AL182</f>
        <v>0</v>
      </c>
      <c r="BP86" s="95">
        <f>Bank!AM182</f>
        <v>0</v>
      </c>
      <c r="BQ86" s="41">
        <f>Bank!AN182</f>
        <v>0</v>
      </c>
      <c r="BR86" s="41">
        <f>Bank!AO182</f>
        <v>0</v>
      </c>
      <c r="BS86" s="41">
        <f>Bank!AP182</f>
        <v>0</v>
      </c>
      <c r="BT86" s="41">
        <f>Bank!AQ182</f>
        <v>0</v>
      </c>
      <c r="BU86" s="41">
        <f>Bank!AR182</f>
        <v>0</v>
      </c>
      <c r="BV86" s="41">
        <f>Bank!AS182</f>
        <v>0</v>
      </c>
      <c r="BW86" s="41">
        <f>Bank!AT182</f>
        <v>0</v>
      </c>
      <c r="BX86" s="41">
        <f>Bank!AU182</f>
        <v>0</v>
      </c>
      <c r="BY86" s="41">
        <f>Bank!AV182</f>
        <v>0</v>
      </c>
      <c r="BZ86" s="41">
        <f>Bank!AY182</f>
        <v>0</v>
      </c>
      <c r="CA86" s="42">
        <f>Bank!AZ182</f>
        <v>0</v>
      </c>
      <c r="CC86" s="2">
        <f t="shared" si="102"/>
        <v>0</v>
      </c>
      <c r="CD86" s="232" t="e">
        <f t="shared" si="103"/>
        <v>#DIV/0!</v>
      </c>
    </row>
    <row r="87" spans="1:82" x14ac:dyDescent="0.25">
      <c r="A87" s="127" t="s">
        <v>101</v>
      </c>
      <c r="B87" s="206"/>
      <c r="C87" s="46">
        <f>Bank!D194</f>
        <v>0</v>
      </c>
      <c r="D87" s="129">
        <f>Bank!E194</f>
        <v>0</v>
      </c>
      <c r="E87" s="25"/>
      <c r="F87" s="199"/>
      <c r="G87" s="200" t="e">
        <f t="shared" ref="G87" si="106">C87/I87</f>
        <v>#DIV/0!</v>
      </c>
      <c r="H87" s="46" t="e">
        <f>Bank!N40</f>
        <v>#DIV/0!</v>
      </c>
      <c r="I87" s="45" t="e">
        <f t="shared" ref="I87" si="107">D87/H87</f>
        <v>#DIV/0!</v>
      </c>
      <c r="J87" s="25"/>
      <c r="K87" s="95" t="e">
        <f>Bank!CN194</f>
        <v>#DIV/0!</v>
      </c>
      <c r="L87" s="41" t="e">
        <f>Bank!CO194</f>
        <v>#DIV/0!</v>
      </c>
      <c r="M87" s="41" t="e">
        <f>Bank!CR194</f>
        <v>#DIV/0!</v>
      </c>
      <c r="N87" s="41" t="e">
        <f>Bank!CS194</f>
        <v>#DIV/0!</v>
      </c>
      <c r="O87" s="41" t="e">
        <f>Bank!CT194</f>
        <v>#DIV/0!</v>
      </c>
      <c r="P87" s="42" t="e">
        <f>Bank!CU194</f>
        <v>#DIV/0!</v>
      </c>
      <c r="Q87" s="95" t="e">
        <f>Bank!CV194</f>
        <v>#DIV/0!</v>
      </c>
      <c r="R87" s="41" t="e">
        <f>Bank!CW194</f>
        <v>#DIV/0!</v>
      </c>
      <c r="S87" s="41" t="e">
        <f>Bank!CX194</f>
        <v>#DIV/0!</v>
      </c>
      <c r="T87" s="42" t="e">
        <f>Bank!CY194</f>
        <v>#DIV/0!</v>
      </c>
      <c r="U87" s="95" t="e">
        <f>Bank!CZ194</f>
        <v>#DIV/0!</v>
      </c>
      <c r="V87" s="41" t="e">
        <f>Bank!DA194</f>
        <v>#DIV/0!</v>
      </c>
      <c r="W87" s="41" t="e">
        <f>Bank!DB194</f>
        <v>#DIV/0!</v>
      </c>
      <c r="X87" s="41" t="e">
        <f>Bank!DC194</f>
        <v>#DIV/0!</v>
      </c>
      <c r="Y87" s="41" t="e">
        <f>Bank!DD194</f>
        <v>#DIV/0!</v>
      </c>
      <c r="Z87" s="42" t="e">
        <f>Bank!DE194</f>
        <v>#DIV/0!</v>
      </c>
      <c r="AA87" s="95" t="e">
        <f>Bank!DF194</f>
        <v>#DIV/0!</v>
      </c>
      <c r="AB87" s="41" t="e">
        <f>Bank!DG194</f>
        <v>#DIV/0!</v>
      </c>
      <c r="AC87" s="41" t="e">
        <f>Bank!DH194</f>
        <v>#DIV/0!</v>
      </c>
      <c r="AD87" s="41" t="e">
        <f>Bank!DI194</f>
        <v>#DIV/0!</v>
      </c>
      <c r="AE87" s="42" t="e">
        <f>Bank!DJ194</f>
        <v>#DIV/0!</v>
      </c>
      <c r="AF87" s="41" t="e">
        <f>Bank!DK194</f>
        <v>#DIV/0!</v>
      </c>
      <c r="AG87" s="41" t="e">
        <f>Bank!DL194</f>
        <v>#DIV/0!</v>
      </c>
      <c r="AH87" s="41" t="e">
        <f>Bank!DM194</f>
        <v>#DIV/0!</v>
      </c>
      <c r="AI87" s="41" t="e">
        <f>Bank!DN194</f>
        <v>#DIV/0!</v>
      </c>
      <c r="AJ87" s="41" t="e">
        <f>Bank!DO194</f>
        <v>#DIV/0!</v>
      </c>
      <c r="AK87" s="41" t="e">
        <f>Bank!DP194</f>
        <v>#DIV/0!</v>
      </c>
      <c r="AL87" s="41" t="e">
        <f>Bank!DQ194</f>
        <v>#DIV/0!</v>
      </c>
      <c r="AM87" s="41" t="e">
        <f>Bank!DR194</f>
        <v>#DIV/0!</v>
      </c>
      <c r="AN87" s="41" t="e">
        <f>Bank!DS194</f>
        <v>#DIV/0!</v>
      </c>
      <c r="AO87" s="41" t="e">
        <f>Bank!DT194</f>
        <v>#DIV/0!</v>
      </c>
      <c r="AP87" s="41" t="e">
        <f>Bank!DU194</f>
        <v>#DIV/0!</v>
      </c>
      <c r="AQ87" s="42" t="e">
        <f>Bank!DV194</f>
        <v>#DIV/0!</v>
      </c>
      <c r="AS87" s="95">
        <f>Bank!P194</f>
        <v>0</v>
      </c>
      <c r="AT87" s="41">
        <f>Bank!Q194</f>
        <v>0</v>
      </c>
      <c r="AU87" s="41">
        <f>Bank!R194</f>
        <v>0</v>
      </c>
      <c r="AV87" s="41">
        <f>Bank!S194</f>
        <v>0</v>
      </c>
      <c r="AW87" s="41">
        <f>Bank!T194</f>
        <v>0</v>
      </c>
      <c r="AX87" s="41">
        <f>Bank!U194</f>
        <v>0</v>
      </c>
      <c r="AY87" s="41">
        <f>Bank!V194</f>
        <v>0</v>
      </c>
      <c r="AZ87" s="42">
        <f>Bank!W194</f>
        <v>0</v>
      </c>
      <c r="BA87" s="41">
        <f>Bank!X194</f>
        <v>0</v>
      </c>
      <c r="BB87" s="41">
        <f>Bank!Y194</f>
        <v>0</v>
      </c>
      <c r="BC87" s="41">
        <f>Bank!Z194</f>
        <v>0</v>
      </c>
      <c r="BD87" s="41">
        <f>Bank!AA194</f>
        <v>0</v>
      </c>
      <c r="BE87" s="95">
        <f>Bank!AB194</f>
        <v>0</v>
      </c>
      <c r="BF87" s="41">
        <f>Bank!AC194</f>
        <v>0</v>
      </c>
      <c r="BG87" s="41">
        <f>Bank!AD194</f>
        <v>0</v>
      </c>
      <c r="BH87" s="41">
        <f>Bank!AE194</f>
        <v>0</v>
      </c>
      <c r="BI87" s="41">
        <f>Bank!AF194</f>
        <v>0</v>
      </c>
      <c r="BJ87" s="42">
        <f>Bank!AG194</f>
        <v>0</v>
      </c>
      <c r="BK87" s="41">
        <f>Bank!AH194</f>
        <v>0</v>
      </c>
      <c r="BL87" s="41">
        <f>Bank!AI194</f>
        <v>0</v>
      </c>
      <c r="BM87" s="41">
        <f>Bank!AJ194</f>
        <v>0</v>
      </c>
      <c r="BN87" s="41">
        <f>Bank!AK194</f>
        <v>0</v>
      </c>
      <c r="BO87" s="41">
        <f>Bank!AL194</f>
        <v>0</v>
      </c>
      <c r="BP87" s="95">
        <f>Bank!AM194</f>
        <v>0</v>
      </c>
      <c r="BQ87" s="41">
        <f>Bank!AN194</f>
        <v>0</v>
      </c>
      <c r="BR87" s="41">
        <f>Bank!AO194</f>
        <v>0</v>
      </c>
      <c r="BS87" s="41">
        <f>Bank!AP194</f>
        <v>0</v>
      </c>
      <c r="BT87" s="41">
        <f>Bank!AQ194</f>
        <v>0</v>
      </c>
      <c r="BU87" s="41">
        <f>Bank!AR194</f>
        <v>0</v>
      </c>
      <c r="BV87" s="41">
        <f>Bank!AS194</f>
        <v>0</v>
      </c>
      <c r="BW87" s="41">
        <f>Bank!AT194</f>
        <v>0</v>
      </c>
      <c r="BX87" s="41">
        <f>Bank!AU194</f>
        <v>0</v>
      </c>
      <c r="BY87" s="41">
        <f>Bank!AV194</f>
        <v>0</v>
      </c>
      <c r="BZ87" s="41">
        <f>Bank!AY194</f>
        <v>0</v>
      </c>
      <c r="CA87" s="42">
        <f>Bank!AZ194</f>
        <v>0</v>
      </c>
      <c r="CC87" s="2">
        <f t="shared" si="102"/>
        <v>0</v>
      </c>
      <c r="CD87" s="232" t="e">
        <f t="shared" si="103"/>
        <v>#DIV/0!</v>
      </c>
    </row>
    <row r="88" spans="1:82" x14ac:dyDescent="0.25">
      <c r="A88" s="127" t="s">
        <v>102</v>
      </c>
      <c r="B88" s="206"/>
      <c r="C88" s="46">
        <f>Bank!D204</f>
        <v>0</v>
      </c>
      <c r="D88" s="129">
        <f>Bank!E204</f>
        <v>0</v>
      </c>
      <c r="E88" s="25"/>
      <c r="F88" s="199"/>
      <c r="G88" s="200" t="e">
        <f t="shared" ref="G88" si="108">C88/I88</f>
        <v>#DIV/0!</v>
      </c>
      <c r="H88" s="46" t="e">
        <f>Bank!N49</f>
        <v>#DIV/0!</v>
      </c>
      <c r="I88" s="45" t="e">
        <f t="shared" ref="I88" si="109">D88/H88</f>
        <v>#DIV/0!</v>
      </c>
      <c r="J88" s="25"/>
      <c r="K88" s="95" t="e">
        <f>Bank!CN204</f>
        <v>#DIV/0!</v>
      </c>
      <c r="L88" s="41" t="e">
        <f>Bank!CO204</f>
        <v>#DIV/0!</v>
      </c>
      <c r="M88" s="41" t="e">
        <f>Bank!CR204</f>
        <v>#DIV/0!</v>
      </c>
      <c r="N88" s="41" t="e">
        <f>Bank!CS204</f>
        <v>#DIV/0!</v>
      </c>
      <c r="O88" s="41" t="e">
        <f>Bank!CT204</f>
        <v>#DIV/0!</v>
      </c>
      <c r="P88" s="42" t="e">
        <f>Bank!CU204</f>
        <v>#DIV/0!</v>
      </c>
      <c r="Q88" s="95" t="e">
        <f>Bank!CV204</f>
        <v>#DIV/0!</v>
      </c>
      <c r="R88" s="41" t="e">
        <f>Bank!CW204</f>
        <v>#DIV/0!</v>
      </c>
      <c r="S88" s="41" t="e">
        <f>Bank!CX204</f>
        <v>#DIV/0!</v>
      </c>
      <c r="T88" s="42" t="e">
        <f>Bank!CY204</f>
        <v>#DIV/0!</v>
      </c>
      <c r="U88" s="95" t="e">
        <f>Bank!CZ204</f>
        <v>#DIV/0!</v>
      </c>
      <c r="V88" s="41" t="e">
        <f>Bank!DA204</f>
        <v>#DIV/0!</v>
      </c>
      <c r="W88" s="41" t="e">
        <f>Bank!DB204</f>
        <v>#DIV/0!</v>
      </c>
      <c r="X88" s="41" t="e">
        <f>Bank!DC204</f>
        <v>#DIV/0!</v>
      </c>
      <c r="Y88" s="41" t="e">
        <f>Bank!DD204</f>
        <v>#DIV/0!</v>
      </c>
      <c r="Z88" s="42" t="e">
        <f>Bank!DE204</f>
        <v>#DIV/0!</v>
      </c>
      <c r="AA88" s="95" t="e">
        <f>Bank!DF204</f>
        <v>#DIV/0!</v>
      </c>
      <c r="AB88" s="41" t="e">
        <f>Bank!DG204</f>
        <v>#DIV/0!</v>
      </c>
      <c r="AC88" s="41" t="e">
        <f>Bank!DH204</f>
        <v>#DIV/0!</v>
      </c>
      <c r="AD88" s="41" t="e">
        <f>Bank!DI204</f>
        <v>#DIV/0!</v>
      </c>
      <c r="AE88" s="42" t="e">
        <f>Bank!DJ204</f>
        <v>#DIV/0!</v>
      </c>
      <c r="AF88" s="41" t="e">
        <f>Bank!DK204</f>
        <v>#DIV/0!</v>
      </c>
      <c r="AG88" s="41" t="e">
        <f>Bank!DL204</f>
        <v>#DIV/0!</v>
      </c>
      <c r="AH88" s="41" t="e">
        <f>Bank!DM204</f>
        <v>#DIV/0!</v>
      </c>
      <c r="AI88" s="41" t="e">
        <f>Bank!DN204</f>
        <v>#DIV/0!</v>
      </c>
      <c r="AJ88" s="41" t="e">
        <f>Bank!DO204</f>
        <v>#DIV/0!</v>
      </c>
      <c r="AK88" s="41" t="e">
        <f>Bank!DP204</f>
        <v>#DIV/0!</v>
      </c>
      <c r="AL88" s="41" t="e">
        <f>Bank!DQ204</f>
        <v>#DIV/0!</v>
      </c>
      <c r="AM88" s="41" t="e">
        <f>Bank!DR204</f>
        <v>#DIV/0!</v>
      </c>
      <c r="AN88" s="41" t="e">
        <f>Bank!DS204</f>
        <v>#DIV/0!</v>
      </c>
      <c r="AO88" s="41" t="e">
        <f>Bank!DT204</f>
        <v>#DIV/0!</v>
      </c>
      <c r="AP88" s="41" t="e">
        <f>Bank!DU204</f>
        <v>#DIV/0!</v>
      </c>
      <c r="AQ88" s="42" t="e">
        <f>Bank!DV204</f>
        <v>#DIV/0!</v>
      </c>
      <c r="AS88" s="95">
        <f>Bank!P204</f>
        <v>0</v>
      </c>
      <c r="AT88" s="41">
        <f>Bank!Q204</f>
        <v>0</v>
      </c>
      <c r="AU88" s="41">
        <f>Bank!R204</f>
        <v>0</v>
      </c>
      <c r="AV88" s="41">
        <f>Bank!S204</f>
        <v>0</v>
      </c>
      <c r="AW88" s="41">
        <f>Bank!T204</f>
        <v>0</v>
      </c>
      <c r="AX88" s="41">
        <f>Bank!U204</f>
        <v>0</v>
      </c>
      <c r="AY88" s="41">
        <f>Bank!V204</f>
        <v>0</v>
      </c>
      <c r="AZ88" s="42">
        <f>Bank!W204</f>
        <v>0</v>
      </c>
      <c r="BA88" s="41">
        <f>Bank!X204</f>
        <v>0</v>
      </c>
      <c r="BB88" s="41">
        <f>Bank!Y204</f>
        <v>0</v>
      </c>
      <c r="BC88" s="41">
        <f>Bank!Z204</f>
        <v>0</v>
      </c>
      <c r="BD88" s="41">
        <f>Bank!AA204</f>
        <v>0</v>
      </c>
      <c r="BE88" s="95">
        <f>Bank!AB204</f>
        <v>0</v>
      </c>
      <c r="BF88" s="41">
        <f>Bank!AC204</f>
        <v>0</v>
      </c>
      <c r="BG88" s="41">
        <f>Bank!AD204</f>
        <v>0</v>
      </c>
      <c r="BH88" s="41">
        <f>Bank!AE204</f>
        <v>0</v>
      </c>
      <c r="BI88" s="41">
        <f>Bank!AF204</f>
        <v>0</v>
      </c>
      <c r="BJ88" s="42">
        <f>Bank!AG204</f>
        <v>0</v>
      </c>
      <c r="BK88" s="41">
        <f>Bank!AH204</f>
        <v>0</v>
      </c>
      <c r="BL88" s="41">
        <f>Bank!AI204</f>
        <v>0</v>
      </c>
      <c r="BM88" s="41">
        <f>Bank!AJ204</f>
        <v>0</v>
      </c>
      <c r="BN88" s="41">
        <f>Bank!AK204</f>
        <v>0</v>
      </c>
      <c r="BO88" s="41">
        <f>Bank!AL204</f>
        <v>0</v>
      </c>
      <c r="BP88" s="95">
        <f>Bank!AM204</f>
        <v>0</v>
      </c>
      <c r="BQ88" s="41">
        <f>Bank!AN204</f>
        <v>0</v>
      </c>
      <c r="BR88" s="41">
        <f>Bank!AO204</f>
        <v>0</v>
      </c>
      <c r="BS88" s="41">
        <f>Bank!AP204</f>
        <v>0</v>
      </c>
      <c r="BT88" s="41">
        <f>Bank!AQ204</f>
        <v>0</v>
      </c>
      <c r="BU88" s="41">
        <f>Bank!AR204</f>
        <v>0</v>
      </c>
      <c r="BV88" s="41">
        <f>Bank!AS204</f>
        <v>0</v>
      </c>
      <c r="BW88" s="41">
        <f>Bank!AT204</f>
        <v>0</v>
      </c>
      <c r="BX88" s="41">
        <f>Bank!AU204</f>
        <v>0</v>
      </c>
      <c r="BY88" s="41">
        <f>Bank!AV204</f>
        <v>0</v>
      </c>
      <c r="BZ88" s="41">
        <f>Bank!AY204</f>
        <v>0</v>
      </c>
      <c r="CA88" s="42">
        <f>Bank!AZ204</f>
        <v>0</v>
      </c>
      <c r="CC88" s="2">
        <f t="shared" ref="CC88" si="110">SUM(AS88:AZ88)</f>
        <v>0</v>
      </c>
      <c r="CD88" s="232" t="e">
        <f t="shared" ref="CD88" si="111">D88/CC88</f>
        <v>#DIV/0!</v>
      </c>
    </row>
    <row r="89" spans="1:82" ht="16.5" thickBot="1" x14ac:dyDescent="0.3">
      <c r="A89" s="192" t="s">
        <v>104</v>
      </c>
      <c r="B89" s="207"/>
      <c r="C89" s="75">
        <f>Bank!D215</f>
        <v>0</v>
      </c>
      <c r="D89" s="131">
        <f>Bank!E215</f>
        <v>0</v>
      </c>
      <c r="E89" s="25"/>
      <c r="F89" s="201"/>
      <c r="G89" s="202" t="e">
        <f t="shared" ref="G89" si="112">C89/I89</f>
        <v>#DIV/0!</v>
      </c>
      <c r="H89" s="46" t="e">
        <f>Bank!N42</f>
        <v>#DIV/0!</v>
      </c>
      <c r="I89" s="250" t="e">
        <f t="shared" ref="I89" si="113">D89/H89</f>
        <v>#DIV/0!</v>
      </c>
      <c r="J89" s="25"/>
      <c r="K89" s="96" t="e">
        <f>Bank!CN215</f>
        <v>#DIV/0!</v>
      </c>
      <c r="L89" s="76" t="e">
        <f>Bank!CO215</f>
        <v>#DIV/0!</v>
      </c>
      <c r="M89" s="76" t="e">
        <f>Bank!CR215</f>
        <v>#DIV/0!</v>
      </c>
      <c r="N89" s="76" t="e">
        <f>Bank!CS215</f>
        <v>#DIV/0!</v>
      </c>
      <c r="O89" s="76" t="e">
        <f>Bank!CT215</f>
        <v>#DIV/0!</v>
      </c>
      <c r="P89" s="77" t="e">
        <f>Bank!CU215</f>
        <v>#DIV/0!</v>
      </c>
      <c r="Q89" s="96" t="e">
        <f>Bank!CV215</f>
        <v>#DIV/0!</v>
      </c>
      <c r="R89" s="76" t="e">
        <f>Bank!CW215</f>
        <v>#DIV/0!</v>
      </c>
      <c r="S89" s="76" t="e">
        <f>Bank!CX215</f>
        <v>#DIV/0!</v>
      </c>
      <c r="T89" s="77" t="e">
        <f>Bank!CY215</f>
        <v>#DIV/0!</v>
      </c>
      <c r="U89" s="96" t="e">
        <f>Bank!CZ215</f>
        <v>#DIV/0!</v>
      </c>
      <c r="V89" s="76" t="e">
        <f>Bank!DA215</f>
        <v>#DIV/0!</v>
      </c>
      <c r="W89" s="76" t="e">
        <f>Bank!DB215</f>
        <v>#DIV/0!</v>
      </c>
      <c r="X89" s="76" t="e">
        <f>Bank!DC215</f>
        <v>#DIV/0!</v>
      </c>
      <c r="Y89" s="76" t="e">
        <f>Bank!DD215</f>
        <v>#DIV/0!</v>
      </c>
      <c r="Z89" s="77" t="e">
        <f>Bank!DE215</f>
        <v>#DIV/0!</v>
      </c>
      <c r="AA89" s="96" t="e">
        <f>Bank!DF215</f>
        <v>#DIV/0!</v>
      </c>
      <c r="AB89" s="76" t="e">
        <f>Bank!DG215</f>
        <v>#DIV/0!</v>
      </c>
      <c r="AC89" s="76" t="e">
        <f>Bank!DH215</f>
        <v>#DIV/0!</v>
      </c>
      <c r="AD89" s="76" t="e">
        <f>Bank!DI215</f>
        <v>#DIV/0!</v>
      </c>
      <c r="AE89" s="77" t="e">
        <f>Bank!DJ215</f>
        <v>#DIV/0!</v>
      </c>
      <c r="AF89" s="76" t="e">
        <f>Bank!DK215</f>
        <v>#DIV/0!</v>
      </c>
      <c r="AG89" s="76" t="e">
        <f>Bank!DL215</f>
        <v>#DIV/0!</v>
      </c>
      <c r="AH89" s="76" t="e">
        <f>Bank!DM215</f>
        <v>#DIV/0!</v>
      </c>
      <c r="AI89" s="76" t="e">
        <f>Bank!DN215</f>
        <v>#DIV/0!</v>
      </c>
      <c r="AJ89" s="76" t="e">
        <f>Bank!DO215</f>
        <v>#DIV/0!</v>
      </c>
      <c r="AK89" s="76" t="e">
        <f>Bank!DP215</f>
        <v>#DIV/0!</v>
      </c>
      <c r="AL89" s="76" t="e">
        <f>Bank!DQ215</f>
        <v>#DIV/0!</v>
      </c>
      <c r="AM89" s="76" t="e">
        <f>Bank!DR215</f>
        <v>#DIV/0!</v>
      </c>
      <c r="AN89" s="76" t="e">
        <f>Bank!DS215</f>
        <v>#DIV/0!</v>
      </c>
      <c r="AO89" s="76" t="e">
        <f>Bank!DT215</f>
        <v>#DIV/0!</v>
      </c>
      <c r="AP89" s="76" t="e">
        <f>Bank!DU215</f>
        <v>#DIV/0!</v>
      </c>
      <c r="AQ89" s="77" t="e">
        <f>Bank!DV215</f>
        <v>#DIV/0!</v>
      </c>
      <c r="AS89" s="96">
        <f>Bank!P215</f>
        <v>0</v>
      </c>
      <c r="AT89" s="76">
        <f>Bank!Q215</f>
        <v>0</v>
      </c>
      <c r="AU89" s="76">
        <f>Bank!R215</f>
        <v>0</v>
      </c>
      <c r="AV89" s="76">
        <f>Bank!S215</f>
        <v>0</v>
      </c>
      <c r="AW89" s="76">
        <f>Bank!T215</f>
        <v>0</v>
      </c>
      <c r="AX89" s="76">
        <f>Bank!U215</f>
        <v>0</v>
      </c>
      <c r="AY89" s="76">
        <f>Bank!V215</f>
        <v>0</v>
      </c>
      <c r="AZ89" s="77">
        <f>Bank!W215</f>
        <v>0</v>
      </c>
      <c r="BA89" s="76">
        <f>Bank!X215</f>
        <v>0</v>
      </c>
      <c r="BB89" s="76">
        <f>Bank!Y215</f>
        <v>0</v>
      </c>
      <c r="BC89" s="76">
        <f>Bank!Z215</f>
        <v>0</v>
      </c>
      <c r="BD89" s="76">
        <f>Bank!AA215</f>
        <v>0</v>
      </c>
      <c r="BE89" s="96">
        <f>Bank!AB215</f>
        <v>0</v>
      </c>
      <c r="BF89" s="76">
        <f>Bank!AC215</f>
        <v>0</v>
      </c>
      <c r="BG89" s="76">
        <f>Bank!AD215</f>
        <v>0</v>
      </c>
      <c r="BH89" s="76">
        <f>Bank!AE215</f>
        <v>0</v>
      </c>
      <c r="BI89" s="76">
        <f>Bank!AF215</f>
        <v>0</v>
      </c>
      <c r="BJ89" s="77">
        <f>Bank!AG215</f>
        <v>0</v>
      </c>
      <c r="BK89" s="76">
        <f>Bank!AH215</f>
        <v>0</v>
      </c>
      <c r="BL89" s="76">
        <f>Bank!AI215</f>
        <v>0</v>
      </c>
      <c r="BM89" s="76">
        <f>Bank!AJ215</f>
        <v>0</v>
      </c>
      <c r="BN89" s="76">
        <f>Bank!AK215</f>
        <v>0</v>
      </c>
      <c r="BO89" s="76">
        <f>Bank!AL215</f>
        <v>0</v>
      </c>
      <c r="BP89" s="96">
        <f>Bank!AM215</f>
        <v>0</v>
      </c>
      <c r="BQ89" s="76">
        <f>Bank!AN215</f>
        <v>0</v>
      </c>
      <c r="BR89" s="76">
        <f>Bank!AO215</f>
        <v>0</v>
      </c>
      <c r="BS89" s="76">
        <f>Bank!AP215</f>
        <v>0</v>
      </c>
      <c r="BT89" s="76">
        <f>Bank!AQ215</f>
        <v>0</v>
      </c>
      <c r="BU89" s="76">
        <f>Bank!AR215</f>
        <v>0</v>
      </c>
      <c r="BV89" s="76">
        <f>Bank!AS215</f>
        <v>0</v>
      </c>
      <c r="BW89" s="76">
        <f>Bank!AT215</f>
        <v>0</v>
      </c>
      <c r="BX89" s="76">
        <f>Bank!AU215</f>
        <v>0</v>
      </c>
      <c r="BY89" s="76">
        <f>Bank!AV215</f>
        <v>0</v>
      </c>
      <c r="BZ89" s="76">
        <f>Bank!AY215</f>
        <v>0</v>
      </c>
      <c r="CA89" s="77">
        <f>Bank!AZ215</f>
        <v>0</v>
      </c>
      <c r="CC89" s="2">
        <f t="shared" ref="CC89" si="114">SUM(AS89:AZ89)</f>
        <v>0</v>
      </c>
      <c r="CD89" s="232" t="e">
        <f t="shared" ref="CD89" si="115">D89/CC89</f>
        <v>#DIV/0!</v>
      </c>
    </row>
    <row r="90" spans="1:82" ht="17.25" thickTop="1" thickBot="1" x14ac:dyDescent="0.3">
      <c r="A90" s="111"/>
      <c r="B90" s="204">
        <f>SUM(B68:B89)</f>
        <v>0</v>
      </c>
      <c r="C90" s="204">
        <f>SUM(C68:C89)</f>
        <v>329</v>
      </c>
      <c r="D90" s="191">
        <f>SUM(D68:D89)</f>
        <v>641.67000000000007</v>
      </c>
      <c r="F90" s="203">
        <f>SUM(F68:F89)</f>
        <v>0</v>
      </c>
      <c r="G90" s="204" t="e">
        <f>SUM(G68:G89)</f>
        <v>#DIV/0!</v>
      </c>
      <c r="H90" s="337" t="e">
        <f>SUM(H68:H89)</f>
        <v>#DIV/0!</v>
      </c>
      <c r="I90" s="198" t="e">
        <f>C90/G90</f>
        <v>#DIV/0!</v>
      </c>
      <c r="K90" s="217" t="e">
        <f t="shared" ref="K90:BT90" si="116">SUM(K68:K89)</f>
        <v>#DIV/0!</v>
      </c>
      <c r="L90" s="218" t="e">
        <f t="shared" si="116"/>
        <v>#DIV/0!</v>
      </c>
      <c r="M90" s="218" t="e">
        <f t="shared" si="116"/>
        <v>#DIV/0!</v>
      </c>
      <c r="N90" s="218" t="e">
        <f t="shared" si="116"/>
        <v>#DIV/0!</v>
      </c>
      <c r="O90" s="218" t="e">
        <f t="shared" si="116"/>
        <v>#DIV/0!</v>
      </c>
      <c r="P90" s="219" t="e">
        <f t="shared" si="116"/>
        <v>#DIV/0!</v>
      </c>
      <c r="Q90" s="217" t="e">
        <f t="shared" si="116"/>
        <v>#DIV/0!</v>
      </c>
      <c r="R90" s="218" t="e">
        <f t="shared" si="116"/>
        <v>#DIV/0!</v>
      </c>
      <c r="S90" s="218" t="e">
        <f t="shared" si="116"/>
        <v>#DIV/0!</v>
      </c>
      <c r="T90" s="219" t="e">
        <f t="shared" si="116"/>
        <v>#DIV/0!</v>
      </c>
      <c r="U90" s="217" t="e">
        <f t="shared" si="116"/>
        <v>#DIV/0!</v>
      </c>
      <c r="V90" s="218" t="e">
        <f t="shared" si="116"/>
        <v>#DIV/0!</v>
      </c>
      <c r="W90" s="218" t="e">
        <f t="shared" si="116"/>
        <v>#DIV/0!</v>
      </c>
      <c r="X90" s="218" t="e">
        <f t="shared" si="116"/>
        <v>#DIV/0!</v>
      </c>
      <c r="Y90" s="218" t="e">
        <f t="shared" si="116"/>
        <v>#DIV/0!</v>
      </c>
      <c r="Z90" s="219" t="e">
        <f t="shared" si="116"/>
        <v>#DIV/0!</v>
      </c>
      <c r="AA90" s="217" t="e">
        <f t="shared" si="116"/>
        <v>#DIV/0!</v>
      </c>
      <c r="AB90" s="218" t="e">
        <f t="shared" si="116"/>
        <v>#DIV/0!</v>
      </c>
      <c r="AC90" s="218" t="e">
        <f t="shared" si="116"/>
        <v>#DIV/0!</v>
      </c>
      <c r="AD90" s="218" t="e">
        <f t="shared" si="116"/>
        <v>#DIV/0!</v>
      </c>
      <c r="AE90" s="219" t="e">
        <f t="shared" si="116"/>
        <v>#DIV/0!</v>
      </c>
      <c r="AF90" s="218" t="e">
        <f t="shared" si="116"/>
        <v>#DIV/0!</v>
      </c>
      <c r="AG90" s="218" t="e">
        <f t="shared" si="116"/>
        <v>#DIV/0!</v>
      </c>
      <c r="AH90" s="218" t="e">
        <f t="shared" si="116"/>
        <v>#DIV/0!</v>
      </c>
      <c r="AI90" s="218" t="e">
        <f t="shared" si="116"/>
        <v>#DIV/0!</v>
      </c>
      <c r="AJ90" s="218" t="e">
        <f t="shared" si="116"/>
        <v>#DIV/0!</v>
      </c>
      <c r="AK90" s="218" t="e">
        <f t="shared" si="116"/>
        <v>#DIV/0!</v>
      </c>
      <c r="AL90" s="218" t="e">
        <f t="shared" si="116"/>
        <v>#DIV/0!</v>
      </c>
      <c r="AM90" s="218" t="e">
        <f t="shared" si="116"/>
        <v>#DIV/0!</v>
      </c>
      <c r="AN90" s="218" t="e">
        <f t="shared" si="116"/>
        <v>#DIV/0!</v>
      </c>
      <c r="AO90" s="218" t="e">
        <f t="shared" si="116"/>
        <v>#DIV/0!</v>
      </c>
      <c r="AP90" s="218" t="e">
        <f t="shared" si="116"/>
        <v>#DIV/0!</v>
      </c>
      <c r="AQ90" s="218" t="e">
        <f t="shared" si="116"/>
        <v>#DIV/0!</v>
      </c>
      <c r="AR90" s="220"/>
      <c r="AS90" s="217">
        <f t="shared" si="116"/>
        <v>9</v>
      </c>
      <c r="AT90" s="218">
        <f t="shared" si="116"/>
        <v>1</v>
      </c>
      <c r="AU90" s="218">
        <f t="shared" si="116"/>
        <v>0</v>
      </c>
      <c r="AV90" s="218">
        <f t="shared" si="116"/>
        <v>0</v>
      </c>
      <c r="AW90" s="218">
        <f t="shared" si="116"/>
        <v>2</v>
      </c>
      <c r="AX90" s="218">
        <f t="shared" si="116"/>
        <v>5</v>
      </c>
      <c r="AY90" s="218">
        <f t="shared" si="116"/>
        <v>34</v>
      </c>
      <c r="AZ90" s="219">
        <f t="shared" si="116"/>
        <v>5</v>
      </c>
      <c r="BA90" s="218">
        <f t="shared" si="116"/>
        <v>2</v>
      </c>
      <c r="BB90" s="218">
        <f t="shared" si="116"/>
        <v>0</v>
      </c>
      <c r="BC90" s="218">
        <f t="shared" si="116"/>
        <v>0</v>
      </c>
      <c r="BD90" s="218">
        <f t="shared" si="116"/>
        <v>0</v>
      </c>
      <c r="BE90" s="217">
        <f t="shared" si="116"/>
        <v>0</v>
      </c>
      <c r="BF90" s="218">
        <f t="shared" si="116"/>
        <v>0</v>
      </c>
      <c r="BG90" s="218">
        <f t="shared" si="116"/>
        <v>0</v>
      </c>
      <c r="BH90" s="218">
        <f t="shared" si="116"/>
        <v>0</v>
      </c>
      <c r="BI90" s="218">
        <f t="shared" si="116"/>
        <v>0</v>
      </c>
      <c r="BJ90" s="219">
        <f t="shared" si="116"/>
        <v>0</v>
      </c>
      <c r="BK90" s="218">
        <f t="shared" si="116"/>
        <v>0</v>
      </c>
      <c r="BL90" s="218">
        <f t="shared" si="116"/>
        <v>0</v>
      </c>
      <c r="BM90" s="218">
        <f t="shared" si="116"/>
        <v>0</v>
      </c>
      <c r="BN90" s="218">
        <f t="shared" si="116"/>
        <v>0</v>
      </c>
      <c r="BO90" s="218">
        <f t="shared" si="116"/>
        <v>0</v>
      </c>
      <c r="BP90" s="217">
        <f t="shared" si="116"/>
        <v>0</v>
      </c>
      <c r="BQ90" s="218">
        <f t="shared" si="116"/>
        <v>0</v>
      </c>
      <c r="BR90" s="218">
        <f t="shared" si="116"/>
        <v>0</v>
      </c>
      <c r="BS90" s="218">
        <f t="shared" si="116"/>
        <v>0</v>
      </c>
      <c r="BT90" s="218">
        <f t="shared" si="116"/>
        <v>7</v>
      </c>
      <c r="BU90" s="218">
        <f t="shared" ref="BU90:CA90" si="117">SUM(BU68:BU89)</f>
        <v>3</v>
      </c>
      <c r="BV90" s="218">
        <f t="shared" si="117"/>
        <v>0</v>
      </c>
      <c r="BW90" s="218">
        <f t="shared" si="117"/>
        <v>0</v>
      </c>
      <c r="BX90" s="218">
        <f t="shared" si="117"/>
        <v>0</v>
      </c>
      <c r="BY90" s="218">
        <f t="shared" si="117"/>
        <v>0</v>
      </c>
      <c r="BZ90" s="218">
        <f t="shared" si="117"/>
        <v>0</v>
      </c>
      <c r="CA90" s="219">
        <f t="shared" si="117"/>
        <v>13</v>
      </c>
    </row>
  </sheetData>
  <mergeCells count="146">
    <mergeCell ref="BV66:BW66"/>
    <mergeCell ref="AW65:AZ65"/>
    <mergeCell ref="BE65:BH65"/>
    <mergeCell ref="BI65:BJ65"/>
    <mergeCell ref="AW66:AX66"/>
    <mergeCell ref="AY66:AZ66"/>
    <mergeCell ref="BX66:BY66"/>
    <mergeCell ref="BZ66:CA66"/>
    <mergeCell ref="BE66:BF66"/>
    <mergeCell ref="BG66:BH66"/>
    <mergeCell ref="BL66:BM66"/>
    <mergeCell ref="BP66:BQ66"/>
    <mergeCell ref="BR66:BS66"/>
    <mergeCell ref="BA66:BB66"/>
    <mergeCell ref="BC66:BD66"/>
    <mergeCell ref="B66:D66"/>
    <mergeCell ref="F66:H66"/>
    <mergeCell ref="K66:L66"/>
    <mergeCell ref="M66:N66"/>
    <mergeCell ref="O66:P66"/>
    <mergeCell ref="Q66:R66"/>
    <mergeCell ref="S66:T66"/>
    <mergeCell ref="U66:V66"/>
    <mergeCell ref="BT66:BU66"/>
    <mergeCell ref="W66:X66"/>
    <mergeCell ref="AB66:AC66"/>
    <mergeCell ref="AF66:AG66"/>
    <mergeCell ref="AH66:AI66"/>
    <mergeCell ref="K65:L65"/>
    <mergeCell ref="M65:P65"/>
    <mergeCell ref="U65:X65"/>
    <mergeCell ref="Y65:Z65"/>
    <mergeCell ref="AS65:AV65"/>
    <mergeCell ref="AU66:AV66"/>
    <mergeCell ref="AJ66:AK66"/>
    <mergeCell ref="AL66:AM66"/>
    <mergeCell ref="AN66:AO66"/>
    <mergeCell ref="AP66:AQ66"/>
    <mergeCell ref="AS66:AT66"/>
    <mergeCell ref="BT37:BU37"/>
    <mergeCell ref="BV37:BW37"/>
    <mergeCell ref="BX37:BY37"/>
    <mergeCell ref="BZ37:CA37"/>
    <mergeCell ref="K64:P64"/>
    <mergeCell ref="Q64:T64"/>
    <mergeCell ref="U64:Z64"/>
    <mergeCell ref="AA64:AE64"/>
    <mergeCell ref="AS64:AZ64"/>
    <mergeCell ref="BA64:BD64"/>
    <mergeCell ref="BE64:BJ64"/>
    <mergeCell ref="BK64:BO64"/>
    <mergeCell ref="BE37:BF37"/>
    <mergeCell ref="BG37:BH37"/>
    <mergeCell ref="BL37:BM37"/>
    <mergeCell ref="BP37:BQ37"/>
    <mergeCell ref="BR37:BS37"/>
    <mergeCell ref="AU37:AV37"/>
    <mergeCell ref="AW37:AX37"/>
    <mergeCell ref="AY37:AZ37"/>
    <mergeCell ref="BA37:BB37"/>
    <mergeCell ref="BC37:BD37"/>
    <mergeCell ref="AJ37:AK37"/>
    <mergeCell ref="AL37:AM37"/>
    <mergeCell ref="AN37:AO37"/>
    <mergeCell ref="AP37:AQ37"/>
    <mergeCell ref="AS37:AT37"/>
    <mergeCell ref="U37:V37"/>
    <mergeCell ref="W37:X37"/>
    <mergeCell ref="AB37:AC37"/>
    <mergeCell ref="AF37:AG37"/>
    <mergeCell ref="AH37:AI37"/>
    <mergeCell ref="BK35:BO35"/>
    <mergeCell ref="U36:X36"/>
    <mergeCell ref="Y36:Z36"/>
    <mergeCell ref="AS36:AV36"/>
    <mergeCell ref="AW36:AZ36"/>
    <mergeCell ref="BE36:BH36"/>
    <mergeCell ref="BI36:BJ36"/>
    <mergeCell ref="U35:Z35"/>
    <mergeCell ref="AA35:AE35"/>
    <mergeCell ref="AS35:AZ35"/>
    <mergeCell ref="BA35:BD35"/>
    <mergeCell ref="BE35:BJ35"/>
    <mergeCell ref="BR8:BS8"/>
    <mergeCell ref="BT8:BU8"/>
    <mergeCell ref="BV8:BW8"/>
    <mergeCell ref="BX8:BY8"/>
    <mergeCell ref="BZ8:CA8"/>
    <mergeCell ref="BC8:BD8"/>
    <mergeCell ref="BE8:BF8"/>
    <mergeCell ref="BG8:BH8"/>
    <mergeCell ref="BL8:BM8"/>
    <mergeCell ref="BP8:BQ8"/>
    <mergeCell ref="AS8:AT8"/>
    <mergeCell ref="AU8:AV8"/>
    <mergeCell ref="AW8:AX8"/>
    <mergeCell ref="AY8:AZ8"/>
    <mergeCell ref="BA8:BB8"/>
    <mergeCell ref="AH8:AI8"/>
    <mergeCell ref="AJ8:AK8"/>
    <mergeCell ref="AL8:AM8"/>
    <mergeCell ref="AN8:AO8"/>
    <mergeCell ref="AP8:AQ8"/>
    <mergeCell ref="AS5:CA5"/>
    <mergeCell ref="AS6:AZ6"/>
    <mergeCell ref="BA6:BD6"/>
    <mergeCell ref="BE6:BJ6"/>
    <mergeCell ref="BK6:BO6"/>
    <mergeCell ref="AS7:AV7"/>
    <mergeCell ref="AW7:AZ7"/>
    <mergeCell ref="BE7:BH7"/>
    <mergeCell ref="BI7:BJ7"/>
    <mergeCell ref="U6:Z6"/>
    <mergeCell ref="AB8:AC8"/>
    <mergeCell ref="AF8:AG8"/>
    <mergeCell ref="K8:L8"/>
    <mergeCell ref="M8:N8"/>
    <mergeCell ref="O8:P8"/>
    <mergeCell ref="Q8:R8"/>
    <mergeCell ref="AA6:AE6"/>
    <mergeCell ref="K7:L7"/>
    <mergeCell ref="M7:P7"/>
    <mergeCell ref="U7:X7"/>
    <mergeCell ref="Y7:Z7"/>
    <mergeCell ref="S8:T8"/>
    <mergeCell ref="U8:V8"/>
    <mergeCell ref="W8:X8"/>
    <mergeCell ref="K5:P5"/>
    <mergeCell ref="B37:D37"/>
    <mergeCell ref="F37:H37"/>
    <mergeCell ref="K37:L37"/>
    <mergeCell ref="M37:N37"/>
    <mergeCell ref="O37:P37"/>
    <mergeCell ref="Q37:R37"/>
    <mergeCell ref="S37:T37"/>
    <mergeCell ref="B6:C6"/>
    <mergeCell ref="K6:P6"/>
    <mergeCell ref="Q6:T6"/>
    <mergeCell ref="B8:D8"/>
    <mergeCell ref="F8:H8"/>
    <mergeCell ref="K36:L36"/>
    <mergeCell ref="M36:P36"/>
    <mergeCell ref="K35:P35"/>
    <mergeCell ref="Q35:T35"/>
    <mergeCell ref="M33:P33"/>
    <mergeCell ref="K33:L33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E899-818C-47A4-AD15-B1A526D3035A}">
  <dimension ref="A1:Z22"/>
  <sheetViews>
    <sheetView tabSelected="1" workbookViewId="0">
      <selection activeCell="F3" sqref="F3"/>
    </sheetView>
  </sheetViews>
  <sheetFormatPr defaultRowHeight="15.75" x14ac:dyDescent="0.25"/>
  <cols>
    <col min="1" max="1" width="13" customWidth="1"/>
    <col min="2" max="2" width="7.5" bestFit="1" customWidth="1"/>
    <col min="3" max="3" width="6.625" bestFit="1" customWidth="1"/>
    <col min="4" max="4" width="5.5" bestFit="1" customWidth="1"/>
    <col min="5" max="5" width="3.75" customWidth="1"/>
    <col min="6" max="6" width="8.25" bestFit="1" customWidth="1"/>
    <col min="7" max="7" width="7.375" bestFit="1" customWidth="1"/>
    <col min="8" max="8" width="7.625" customWidth="1"/>
    <col min="9" max="9" width="8" bestFit="1" customWidth="1"/>
    <col min="10" max="10" width="3" customWidth="1"/>
    <col min="11" max="11" width="5.875" customWidth="1"/>
    <col min="12" max="12" width="4" bestFit="1" customWidth="1"/>
    <col min="13" max="13" width="5.5" customWidth="1"/>
    <col min="14" max="14" width="4" bestFit="1" customWidth="1"/>
    <col min="15" max="15" width="4.5" bestFit="1" customWidth="1"/>
    <col min="16" max="16" width="4" bestFit="1" customWidth="1"/>
    <col min="17" max="21" width="7.375" bestFit="1" customWidth="1"/>
    <col min="22" max="22" width="3.625" bestFit="1" customWidth="1"/>
    <col min="23" max="23" width="4.375" bestFit="1" customWidth="1"/>
    <col min="24" max="24" width="3.625" bestFit="1" customWidth="1"/>
    <col min="25" max="25" width="8.5" bestFit="1" customWidth="1"/>
    <col min="26" max="26" width="4.375" bestFit="1" customWidth="1"/>
  </cols>
  <sheetData>
    <row r="1" spans="1:26" ht="20.25" customHeight="1" x14ac:dyDescent="0.25">
      <c r="A1" s="21" t="s">
        <v>180</v>
      </c>
    </row>
    <row r="2" spans="1:26" ht="16.5" thickBot="1" x14ac:dyDescent="0.3"/>
    <row r="3" spans="1:26" ht="16.5" thickBot="1" x14ac:dyDescent="0.3">
      <c r="K3" s="312" t="s">
        <v>44</v>
      </c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30"/>
    </row>
    <row r="4" spans="1:26" ht="16.5" thickBot="1" x14ac:dyDescent="0.3">
      <c r="K4" s="313" t="s">
        <v>12</v>
      </c>
      <c r="L4" s="252"/>
      <c r="Q4" s="315" t="s">
        <v>65</v>
      </c>
      <c r="U4" s="314" t="s">
        <v>66</v>
      </c>
      <c r="V4" s="314"/>
      <c r="Z4" s="236"/>
    </row>
    <row r="5" spans="1:26" ht="16.5" thickBot="1" x14ac:dyDescent="0.3">
      <c r="A5" s="252" t="s">
        <v>74</v>
      </c>
      <c r="B5" s="252"/>
      <c r="C5" s="252"/>
      <c r="K5" s="38" t="s">
        <v>51</v>
      </c>
      <c r="L5" s="92"/>
      <c r="M5" s="92" t="s">
        <v>68</v>
      </c>
      <c r="N5" s="92"/>
      <c r="O5" s="92"/>
      <c r="P5" s="311"/>
      <c r="Q5" s="312"/>
      <c r="R5" s="229"/>
      <c r="S5" s="229"/>
      <c r="T5" s="230"/>
      <c r="U5" s="312" t="s">
        <v>51</v>
      </c>
      <c r="V5" s="229"/>
      <c r="W5" s="229"/>
      <c r="X5" s="229"/>
      <c r="Y5" s="229" t="s">
        <v>70</v>
      </c>
      <c r="Z5" s="230"/>
    </row>
    <row r="6" spans="1:26" ht="16.5" thickBot="1" x14ac:dyDescent="0.3">
      <c r="A6" s="312"/>
      <c r="B6" s="229" t="s">
        <v>50</v>
      </c>
      <c r="C6" s="229"/>
      <c r="D6" s="230"/>
      <c r="F6" s="38" t="s">
        <v>34</v>
      </c>
      <c r="G6" s="92"/>
      <c r="H6" s="92"/>
      <c r="I6" s="311" t="s">
        <v>30</v>
      </c>
      <c r="K6" s="316" t="s">
        <v>67</v>
      </c>
      <c r="L6" s="317"/>
      <c r="M6" s="317" t="s">
        <v>67</v>
      </c>
      <c r="N6" s="317"/>
      <c r="O6" s="317" t="s">
        <v>9</v>
      </c>
      <c r="P6" s="318"/>
      <c r="Q6" s="312" t="s">
        <v>51</v>
      </c>
      <c r="R6" s="229"/>
      <c r="S6" s="229" t="s">
        <v>70</v>
      </c>
      <c r="T6" s="230"/>
      <c r="U6" s="312" t="s">
        <v>7</v>
      </c>
      <c r="V6" s="229"/>
      <c r="W6" s="229" t="s">
        <v>8</v>
      </c>
      <c r="X6" s="229"/>
      <c r="Y6" s="229"/>
      <c r="Z6" s="230"/>
    </row>
    <row r="7" spans="1:26" ht="16.5" thickBot="1" x14ac:dyDescent="0.3">
      <c r="A7" s="111" t="s">
        <v>18</v>
      </c>
      <c r="B7" s="15" t="s">
        <v>23</v>
      </c>
      <c r="C7" s="15" t="s">
        <v>30</v>
      </c>
      <c r="D7" s="191" t="s">
        <v>32</v>
      </c>
      <c r="F7" s="312" t="s">
        <v>47</v>
      </c>
      <c r="G7" s="229" t="s">
        <v>30</v>
      </c>
      <c r="H7" s="229" t="s">
        <v>32</v>
      </c>
      <c r="I7" s="230" t="s">
        <v>50</v>
      </c>
      <c r="K7" s="316" t="s">
        <v>94</v>
      </c>
      <c r="L7" s="317" t="s">
        <v>93</v>
      </c>
      <c r="M7" s="317" t="s">
        <v>94</v>
      </c>
      <c r="N7" s="317" t="s">
        <v>93</v>
      </c>
      <c r="O7" s="317" t="s">
        <v>94</v>
      </c>
      <c r="P7" s="318" t="s">
        <v>93</v>
      </c>
      <c r="Q7" s="316" t="s">
        <v>69</v>
      </c>
      <c r="R7" s="317" t="s">
        <v>67</v>
      </c>
      <c r="S7" s="317" t="s">
        <v>69</v>
      </c>
      <c r="T7" s="318" t="s">
        <v>67</v>
      </c>
      <c r="U7" s="319" t="s">
        <v>69</v>
      </c>
      <c r="V7" s="320" t="s">
        <v>67</v>
      </c>
      <c r="W7" s="320" t="s">
        <v>69</v>
      </c>
      <c r="X7" s="320" t="s">
        <v>67</v>
      </c>
      <c r="Y7" s="320" t="s">
        <v>7</v>
      </c>
      <c r="Z7" s="321" t="s">
        <v>8</v>
      </c>
    </row>
    <row r="8" spans="1:26" x14ac:dyDescent="0.25">
      <c r="A8" s="333" t="s">
        <v>158</v>
      </c>
      <c r="B8" s="336">
        <f>Summary!B15</f>
        <v>33</v>
      </c>
      <c r="C8" s="46">
        <f>Summary!C15</f>
        <v>102</v>
      </c>
      <c r="D8" s="129">
        <f>Summary!D15</f>
        <v>351.68999999999994</v>
      </c>
      <c r="F8" s="322">
        <f>Summary!F15</f>
        <v>58.222700000000003</v>
      </c>
      <c r="G8" s="325">
        <f>Summary!G15</f>
        <v>352.76783873374097</v>
      </c>
      <c r="H8" s="325">
        <f>Summary!H15</f>
        <v>743.86236455011658</v>
      </c>
      <c r="I8" s="326">
        <f t="shared" ref="I8:I9" si="0">C8/G8</f>
        <v>0.28914200445859428</v>
      </c>
      <c r="K8" s="322">
        <f>Summary!AS15</f>
        <v>0</v>
      </c>
      <c r="L8" s="323">
        <f>Summary!AT15</f>
        <v>0</v>
      </c>
      <c r="M8" s="323">
        <f>Summary!AW15</f>
        <v>2</v>
      </c>
      <c r="N8" s="323">
        <f>Summary!AV15</f>
        <v>0</v>
      </c>
      <c r="O8" s="323">
        <f>Summary!AY15</f>
        <v>3</v>
      </c>
      <c r="P8" s="324">
        <f>Summary!AX15</f>
        <v>0</v>
      </c>
      <c r="Q8" s="322">
        <f>Summary!Q15</f>
        <v>0</v>
      </c>
      <c r="R8" s="323">
        <f>Summary!R15</f>
        <v>0</v>
      </c>
      <c r="S8" s="323">
        <f>Summary!S15</f>
        <v>0</v>
      </c>
      <c r="T8" s="324">
        <f>Summary!T15</f>
        <v>0</v>
      </c>
      <c r="U8" s="322">
        <f>Summary!U15</f>
        <v>3.5286484848484849</v>
      </c>
      <c r="V8" s="323">
        <f>Summary!V15</f>
        <v>3.5286484848484849</v>
      </c>
      <c r="W8" s="323">
        <f>Summary!W15</f>
        <v>0</v>
      </c>
      <c r="X8" s="323">
        <f>Summary!X15</f>
        <v>0</v>
      </c>
      <c r="Y8" s="323">
        <f>Summary!Y15</f>
        <v>0</v>
      </c>
      <c r="Z8" s="324">
        <f>Summary!Z15</f>
        <v>0</v>
      </c>
    </row>
    <row r="9" spans="1:26" x14ac:dyDescent="0.25">
      <c r="A9" s="333" t="s">
        <v>159</v>
      </c>
      <c r="B9" s="336">
        <f>Summary!B16</f>
        <v>34</v>
      </c>
      <c r="C9" s="46">
        <f>Summary!C16</f>
        <v>105</v>
      </c>
      <c r="D9" s="129">
        <f>Summary!D16</f>
        <v>340.66</v>
      </c>
      <c r="F9" s="322">
        <f>Summary!F16</f>
        <v>86.223500000000001</v>
      </c>
      <c r="G9" s="322">
        <f>Summary!G16</f>
        <v>281.63322379094586</v>
      </c>
      <c r="H9" s="322">
        <f>Summary!H16</f>
        <v>894.34317985294138</v>
      </c>
      <c r="I9" s="338">
        <f t="shared" si="0"/>
        <v>0.37282533142446533</v>
      </c>
      <c r="K9" s="322">
        <f>Summary!AS16</f>
        <v>0</v>
      </c>
      <c r="L9" s="323">
        <f>Summary!AT16</f>
        <v>0</v>
      </c>
      <c r="M9" s="323">
        <f>Summary!AW16</f>
        <v>0</v>
      </c>
      <c r="N9" s="323">
        <f>Summary!AV16</f>
        <v>0</v>
      </c>
      <c r="O9" s="323">
        <f>Summary!AY16</f>
        <v>0</v>
      </c>
      <c r="P9" s="324">
        <f>Summary!AX16</f>
        <v>0</v>
      </c>
      <c r="Q9" s="322">
        <f>Summary!Q16</f>
        <v>0</v>
      </c>
      <c r="R9" s="323">
        <f>Summary!R16</f>
        <v>0</v>
      </c>
      <c r="S9" s="323">
        <f>Summary!S16</f>
        <v>0</v>
      </c>
      <c r="T9" s="324">
        <f>Summary!T16</f>
        <v>0</v>
      </c>
      <c r="U9" s="322">
        <f>Summary!U16</f>
        <v>0</v>
      </c>
      <c r="V9" s="323">
        <f>Summary!V16</f>
        <v>0</v>
      </c>
      <c r="W9" s="323">
        <f>Summary!W16</f>
        <v>0</v>
      </c>
      <c r="X9" s="323">
        <f>Summary!X16</f>
        <v>0</v>
      </c>
      <c r="Y9" s="323">
        <f>Summary!Y16</f>
        <v>0</v>
      </c>
      <c r="Z9" s="324">
        <f>Summary!Z16</f>
        <v>0</v>
      </c>
    </row>
    <row r="10" spans="1:26" x14ac:dyDescent="0.25">
      <c r="A10" s="333" t="s">
        <v>172</v>
      </c>
      <c r="B10" s="336">
        <f>Summary!B17</f>
        <v>29</v>
      </c>
      <c r="C10" s="46">
        <f>Summary!C17</f>
        <v>58</v>
      </c>
      <c r="D10" s="129">
        <f>Summary!D17</f>
        <v>256.52000000000004</v>
      </c>
      <c r="E10" s="327"/>
      <c r="F10" s="322">
        <f>Summary!F17</f>
        <v>59.1265</v>
      </c>
      <c r="G10" s="322">
        <f>Summary!G17</f>
        <v>161.1426008214961</v>
      </c>
      <c r="H10" s="322">
        <f>Summary!H17</f>
        <v>621.22166105363988</v>
      </c>
      <c r="I10" s="338">
        <f t="shared" ref="I10" si="1">C10/G10</f>
        <v>0.35992965053511111</v>
      </c>
      <c r="J10" s="37"/>
      <c r="K10" s="322">
        <f>Summary!AS17</f>
        <v>0</v>
      </c>
      <c r="L10" s="323">
        <f>Summary!AT17</f>
        <v>0</v>
      </c>
      <c r="M10" s="323">
        <f>Summary!AW17</f>
        <v>0</v>
      </c>
      <c r="N10" s="323">
        <f>Summary!AV17</f>
        <v>0</v>
      </c>
      <c r="O10" s="323">
        <f>Summary!AY17</f>
        <v>1</v>
      </c>
      <c r="P10" s="324">
        <f>Summary!AX17</f>
        <v>0</v>
      </c>
      <c r="Q10" s="322">
        <f>Summary!Q17</f>
        <v>0</v>
      </c>
      <c r="R10" s="323">
        <f>Summary!R17</f>
        <v>0</v>
      </c>
      <c r="S10" s="323">
        <f>Summary!S17</f>
        <v>0</v>
      </c>
      <c r="T10" s="324">
        <f>Summary!T17</f>
        <v>0</v>
      </c>
      <c r="U10" s="322">
        <f>Summary!U17</f>
        <v>0</v>
      </c>
      <c r="V10" s="323">
        <f>Summary!V17</f>
        <v>4.0776896551724136</v>
      </c>
      <c r="W10" s="323">
        <f>Summary!W17</f>
        <v>0</v>
      </c>
      <c r="X10" s="323">
        <f>Summary!X17</f>
        <v>2.0388448275862068</v>
      </c>
      <c r="Y10" s="323">
        <f>Summary!Y17</f>
        <v>0</v>
      </c>
      <c r="Z10" s="324">
        <f>Summary!Z17</f>
        <v>0</v>
      </c>
    </row>
    <row r="11" spans="1:26" x14ac:dyDescent="0.25">
      <c r="A11" s="32" t="s">
        <v>160</v>
      </c>
      <c r="B11" s="336">
        <f>Summary!B18</f>
        <v>29</v>
      </c>
      <c r="C11" s="46">
        <f>Summary!C18</f>
        <v>76</v>
      </c>
      <c r="D11" s="129">
        <f>Summary!D18</f>
        <v>289.31000000000006</v>
      </c>
      <c r="E11" s="327"/>
      <c r="F11" s="322">
        <f>Summary!F18</f>
        <v>57.953499999999998</v>
      </c>
      <c r="G11" s="322">
        <f>Summary!G18</f>
        <v>177.77077527001768</v>
      </c>
      <c r="H11" s="322">
        <f>Summary!H18</f>
        <v>628.42481229885061</v>
      </c>
      <c r="I11" s="338">
        <f t="shared" ref="I11" si="2">C11/G11</f>
        <v>0.42751683950617247</v>
      </c>
      <c r="J11" s="37"/>
      <c r="K11" s="322">
        <f>Summary!AS18</f>
        <v>0</v>
      </c>
      <c r="L11" s="323">
        <f>Summary!AT18</f>
        <v>0</v>
      </c>
      <c r="M11" s="323">
        <f>Summary!AW18</f>
        <v>0</v>
      </c>
      <c r="N11" s="323">
        <f>Summary!AV18</f>
        <v>0</v>
      </c>
      <c r="O11" s="323">
        <f>Summary!AY18</f>
        <v>0</v>
      </c>
      <c r="P11" s="324">
        <f>Summary!AX18</f>
        <v>0</v>
      </c>
      <c r="Q11" s="322">
        <f>Summary!Q18</f>
        <v>0</v>
      </c>
      <c r="R11" s="323">
        <f>Summary!R18</f>
        <v>0</v>
      </c>
      <c r="S11" s="323">
        <f>Summary!S18</f>
        <v>0</v>
      </c>
      <c r="T11" s="324">
        <f>Summary!T18</f>
        <v>1.998396551724138</v>
      </c>
      <c r="U11" s="322">
        <f>Summary!U18</f>
        <v>1.998396551724138</v>
      </c>
      <c r="V11" s="323">
        <f>Summary!V18</f>
        <v>0</v>
      </c>
      <c r="W11" s="323">
        <f>Summary!W18</f>
        <v>1.998396551724138</v>
      </c>
      <c r="X11" s="323">
        <f>Summary!X18</f>
        <v>0</v>
      </c>
      <c r="Y11" s="323">
        <f>Summary!Y18</f>
        <v>0</v>
      </c>
      <c r="Z11" s="324">
        <f>Summary!Z18</f>
        <v>1.998396551724138</v>
      </c>
    </row>
    <row r="12" spans="1:26" x14ac:dyDescent="0.25">
      <c r="A12" s="32" t="s">
        <v>161</v>
      </c>
      <c r="B12" s="336">
        <f>Summary!B19</f>
        <v>17</v>
      </c>
      <c r="C12" s="46">
        <f>Summary!C19</f>
        <v>43</v>
      </c>
      <c r="D12" s="129">
        <f>Summary!D19</f>
        <v>177.01000000000002</v>
      </c>
      <c r="E12" s="327"/>
      <c r="F12" s="322">
        <f>Summary!F19</f>
        <v>43.818500000000007</v>
      </c>
      <c r="G12" s="322">
        <f>Summary!G19</f>
        <v>122.30280855403083</v>
      </c>
      <c r="H12" s="322">
        <f>Summary!H19</f>
        <v>491.33466627450991</v>
      </c>
      <c r="I12" s="338">
        <f t="shared" ref="I12" si="3">C12/G12</f>
        <v>0.3515863659091974</v>
      </c>
      <c r="J12" s="37"/>
      <c r="K12" s="322">
        <f>Summary!AS19</f>
        <v>0</v>
      </c>
      <c r="L12" s="323">
        <f>Summary!AT19</f>
        <v>0</v>
      </c>
      <c r="M12" s="323">
        <f>Summary!AW19</f>
        <v>0</v>
      </c>
      <c r="N12" s="323">
        <f>Summary!AV19</f>
        <v>0</v>
      </c>
      <c r="O12" s="323">
        <f>Summary!AY19</f>
        <v>2</v>
      </c>
      <c r="P12" s="324">
        <f>Summary!AX19</f>
        <v>0</v>
      </c>
      <c r="Q12" s="322">
        <f>Summary!Q19</f>
        <v>0</v>
      </c>
      <c r="R12" s="323">
        <f>Summary!R19</f>
        <v>0</v>
      </c>
      <c r="S12" s="323">
        <f>Summary!S19</f>
        <v>0</v>
      </c>
      <c r="T12" s="324">
        <f>Summary!T19</f>
        <v>0</v>
      </c>
      <c r="U12" s="322">
        <f>Summary!U19</f>
        <v>0</v>
      </c>
      <c r="V12" s="323">
        <f>Summary!V19</f>
        <v>0</v>
      </c>
      <c r="W12" s="323">
        <f>Summary!W19</f>
        <v>2.577558823529412</v>
      </c>
      <c r="X12" s="323">
        <f>Summary!X19</f>
        <v>2.577558823529412</v>
      </c>
      <c r="Y12" s="323">
        <f>Summary!Y19</f>
        <v>0</v>
      </c>
      <c r="Z12" s="324">
        <f>Summary!Z19</f>
        <v>0</v>
      </c>
    </row>
    <row r="13" spans="1:26" x14ac:dyDescent="0.25">
      <c r="A13" s="32" t="s">
        <v>173</v>
      </c>
      <c r="B13" s="336">
        <f>Summary!B20</f>
        <v>26</v>
      </c>
      <c r="C13" s="46">
        <f>Summary!C20</f>
        <v>95</v>
      </c>
      <c r="D13" s="129">
        <f>Summary!D20</f>
        <v>364.02</v>
      </c>
      <c r="E13" s="327"/>
      <c r="F13" s="322">
        <f>Summary!F20</f>
        <v>37.5991</v>
      </c>
      <c r="G13" s="322">
        <f>Summary!G20</f>
        <v>187.19568940079529</v>
      </c>
      <c r="H13" s="322">
        <f>Summary!H20</f>
        <v>605.23797132051288</v>
      </c>
      <c r="I13" s="338">
        <f t="shared" ref="I13" si="4">C13/G13</f>
        <v>0.5074903183085604</v>
      </c>
      <c r="J13" s="37"/>
      <c r="K13" s="322">
        <f>Summary!AS20</f>
        <v>1</v>
      </c>
      <c r="L13" s="323">
        <f>Summary!AT20</f>
        <v>0</v>
      </c>
      <c r="M13" s="323">
        <f>Summary!AW20</f>
        <v>0</v>
      </c>
      <c r="N13" s="323">
        <f>Summary!AV20</f>
        <v>0</v>
      </c>
      <c r="O13" s="323">
        <f>Summary!AY20</f>
        <v>5</v>
      </c>
      <c r="P13" s="324">
        <f>Summary!AX20</f>
        <v>0</v>
      </c>
      <c r="Q13" s="322">
        <f>Summary!Q20</f>
        <v>1.4461192307692308</v>
      </c>
      <c r="R13" s="323">
        <f>Summary!R20</f>
        <v>1.4461192307692308</v>
      </c>
      <c r="S13" s="323">
        <f>Summary!S20</f>
        <v>0</v>
      </c>
      <c r="T13" s="324">
        <f>Summary!T20</f>
        <v>0</v>
      </c>
      <c r="U13" s="322">
        <f>Summary!U20</f>
        <v>4.3383576923076923</v>
      </c>
      <c r="V13" s="323">
        <f>Summary!V20</f>
        <v>1.4461192307692308</v>
      </c>
      <c r="W13" s="323">
        <f>Summary!W20</f>
        <v>1.4461192307692308</v>
      </c>
      <c r="X13" s="323">
        <f>Summary!X20</f>
        <v>2.8922384615384615</v>
      </c>
      <c r="Y13" s="323">
        <f>Summary!Y20</f>
        <v>0</v>
      </c>
      <c r="Z13" s="324">
        <f>Summary!Z20</f>
        <v>1.4461192307692308</v>
      </c>
    </row>
    <row r="14" spans="1:26" x14ac:dyDescent="0.25">
      <c r="A14" s="32" t="s">
        <v>174</v>
      </c>
      <c r="B14" s="336">
        <f>Summary!B21</f>
        <v>14</v>
      </c>
      <c r="C14" s="46">
        <f>Summary!C21</f>
        <v>48</v>
      </c>
      <c r="D14" s="129">
        <f>Summary!D21</f>
        <v>148.23000000000002</v>
      </c>
      <c r="E14" s="327"/>
      <c r="F14" s="322">
        <f>Summary!F21</f>
        <v>42.405000000000001</v>
      </c>
      <c r="G14" s="322">
        <f>Summary!G21</f>
        <v>143.99912246102861</v>
      </c>
      <c r="H14" s="322">
        <f>Summary!H21</f>
        <v>446.07896666666664</v>
      </c>
      <c r="I14" s="338">
        <f t="shared" ref="I14" si="5">C14/G14</f>
        <v>0.33333536468592401</v>
      </c>
      <c r="J14" s="37"/>
      <c r="K14" s="322">
        <f>Summary!AS21</f>
        <v>0</v>
      </c>
      <c r="L14" s="323">
        <f>Summary!AT21</f>
        <v>0</v>
      </c>
      <c r="M14" s="323">
        <f>Summary!AW21</f>
        <v>3</v>
      </c>
      <c r="N14" s="323">
        <f>Summary!AV21</f>
        <v>0</v>
      </c>
      <c r="O14" s="323">
        <f>Summary!AY21</f>
        <v>5</v>
      </c>
      <c r="P14" s="324">
        <f>Summary!AX21</f>
        <v>0</v>
      </c>
      <c r="Q14" s="322">
        <f>Summary!Q21</f>
        <v>7.4047959183673466</v>
      </c>
      <c r="R14" s="323">
        <f>Summary!R21</f>
        <v>3.0289285714285712</v>
      </c>
      <c r="S14" s="323">
        <f>Summary!S21</f>
        <v>0</v>
      </c>
      <c r="T14" s="324">
        <f>Summary!T21</f>
        <v>0</v>
      </c>
      <c r="U14" s="322">
        <f>Summary!U21</f>
        <v>0</v>
      </c>
      <c r="V14" s="323">
        <f>Summary!V21</f>
        <v>3.0289285714285712</v>
      </c>
      <c r="W14" s="323">
        <f>Summary!W21</f>
        <v>0</v>
      </c>
      <c r="X14" s="323">
        <f>Summary!X21</f>
        <v>0</v>
      </c>
      <c r="Y14" s="323">
        <f>Summary!Y21</f>
        <v>0</v>
      </c>
      <c r="Z14" s="324">
        <f>Summary!Z21</f>
        <v>0</v>
      </c>
    </row>
    <row r="15" spans="1:26" x14ac:dyDescent="0.25">
      <c r="A15" s="32" t="s">
        <v>175</v>
      </c>
      <c r="B15" s="336">
        <f>Summary!B22</f>
        <v>4</v>
      </c>
      <c r="C15" s="46">
        <f>Summary!C22</f>
        <v>28</v>
      </c>
      <c r="D15" s="129">
        <f>Summary!D22</f>
        <v>72.009999999999991</v>
      </c>
      <c r="E15" s="327"/>
      <c r="F15" s="322">
        <f>Summary!F22</f>
        <v>14.894500000000001</v>
      </c>
      <c r="G15" s="322">
        <f>Summary!G22</f>
        <v>123.78278436706566</v>
      </c>
      <c r="H15" s="322">
        <f>Summary!H22</f>
        <v>312.98838708333335</v>
      </c>
      <c r="I15" s="338">
        <f t="shared" ref="I15" si="6">C15/G15</f>
        <v>0.22620269969827755</v>
      </c>
      <c r="J15" s="37"/>
      <c r="K15" s="322">
        <f>Summary!AS22</f>
        <v>0</v>
      </c>
      <c r="L15" s="323">
        <f>Summary!AT22</f>
        <v>0</v>
      </c>
      <c r="M15" s="323">
        <f>Summary!AW22</f>
        <v>0</v>
      </c>
      <c r="N15" s="323">
        <f>Summary!AV22</f>
        <v>0</v>
      </c>
      <c r="O15" s="323">
        <f>Summary!AY22</f>
        <v>1</v>
      </c>
      <c r="P15" s="324">
        <f>Summary!AX22</f>
        <v>5</v>
      </c>
      <c r="Q15" s="322">
        <f>Summary!Q22</f>
        <v>7.4472500000000004</v>
      </c>
      <c r="R15" s="323">
        <f>Summary!R22</f>
        <v>3.7236250000000002</v>
      </c>
      <c r="S15" s="323">
        <f>Summary!S22</f>
        <v>0</v>
      </c>
      <c r="T15" s="324">
        <f>Summary!T22</f>
        <v>0</v>
      </c>
      <c r="U15" s="322">
        <f>Summary!U22</f>
        <v>3.7236250000000002</v>
      </c>
      <c r="V15" s="323">
        <f>Summary!V22</f>
        <v>0</v>
      </c>
      <c r="W15" s="323">
        <f>Summary!W22</f>
        <v>0</v>
      </c>
      <c r="X15" s="323">
        <f>Summary!X22</f>
        <v>0</v>
      </c>
      <c r="Y15" s="323">
        <f>Summary!Y22</f>
        <v>0</v>
      </c>
      <c r="Z15" s="324">
        <f>Summary!Z22</f>
        <v>3.7236250000000002</v>
      </c>
    </row>
    <row r="16" spans="1:26" x14ac:dyDescent="0.25">
      <c r="A16" s="32" t="s">
        <v>176</v>
      </c>
      <c r="B16" s="336">
        <f>Summary!B23</f>
        <v>10</v>
      </c>
      <c r="C16" s="46">
        <f>Summary!C23</f>
        <v>61</v>
      </c>
      <c r="D16" s="129">
        <f>Summary!D23</f>
        <v>95.5</v>
      </c>
      <c r="E16" s="327"/>
      <c r="F16" s="322">
        <f>Summary!F23</f>
        <v>24.158285555555555</v>
      </c>
      <c r="G16" s="322">
        <f>Summary!G23</f>
        <v>173.97225933183353</v>
      </c>
      <c r="H16" s="322">
        <f>Summary!H23</f>
        <v>236.21241119666666</v>
      </c>
      <c r="I16" s="338">
        <f t="shared" ref="I16" si="7">C16/G16</f>
        <v>0.35063061337640622</v>
      </c>
      <c r="J16" s="37"/>
      <c r="K16" s="322">
        <f>Summary!AS23</f>
        <v>10</v>
      </c>
      <c r="L16" s="323">
        <f>Summary!AT23</f>
        <v>5</v>
      </c>
      <c r="M16" s="323">
        <f>Summary!AW23</f>
        <v>0</v>
      </c>
      <c r="N16" s="323">
        <f>Summary!AV23</f>
        <v>0</v>
      </c>
      <c r="O16" s="323">
        <f>Summary!AY23</f>
        <v>63</v>
      </c>
      <c r="P16" s="324">
        <f>Summary!AX23</f>
        <v>0</v>
      </c>
      <c r="Q16" s="322">
        <f>Summary!Q23</f>
        <v>4.8316571111111113</v>
      </c>
      <c r="R16" s="323">
        <f>Summary!R23</f>
        <v>0</v>
      </c>
      <c r="S16" s="323">
        <f>Summary!S23</f>
        <v>0</v>
      </c>
      <c r="T16" s="324">
        <f>Summary!T23</f>
        <v>0</v>
      </c>
      <c r="U16" s="322">
        <f>Summary!U23</f>
        <v>2.4158285555555556</v>
      </c>
      <c r="V16" s="323">
        <f>Summary!V23</f>
        <v>0</v>
      </c>
      <c r="W16" s="323">
        <f>Summary!W23</f>
        <v>0</v>
      </c>
      <c r="X16" s="323">
        <f>Summary!X23</f>
        <v>0</v>
      </c>
      <c r="Y16" s="323">
        <f>Summary!Y23</f>
        <v>0</v>
      </c>
      <c r="Z16" s="324">
        <f>Summary!Z23</f>
        <v>0</v>
      </c>
    </row>
    <row r="17" spans="1:26" x14ac:dyDescent="0.25">
      <c r="A17" s="32" t="s">
        <v>177</v>
      </c>
      <c r="B17" s="336">
        <f>Summary!B24</f>
        <v>26</v>
      </c>
      <c r="C17" s="46">
        <f>Summary!C24</f>
        <v>76</v>
      </c>
      <c r="D17" s="129">
        <f>Summary!D24</f>
        <v>267.57000000000005</v>
      </c>
      <c r="E17" s="327"/>
      <c r="F17" s="322">
        <f>Summary!F24</f>
        <v>183.42599999999999</v>
      </c>
      <c r="G17" s="322">
        <f>Summary!G24</f>
        <v>483.4587779689727</v>
      </c>
      <c r="H17" s="322">
        <f>Summary!H24</f>
        <v>1756.5330423076925</v>
      </c>
      <c r="I17" s="338">
        <f t="shared" ref="I17:I18" si="8">C17/G17</f>
        <v>0.15720057937365139</v>
      </c>
      <c r="J17" s="37"/>
      <c r="K17" s="322">
        <f>Summary!AS24</f>
        <v>4</v>
      </c>
      <c r="L17" s="323">
        <f>Summary!AT24</f>
        <v>1</v>
      </c>
      <c r="M17" s="323">
        <f>Summary!AW24</f>
        <v>0</v>
      </c>
      <c r="N17" s="323">
        <f>Summary!AV24</f>
        <v>0</v>
      </c>
      <c r="O17" s="323">
        <f>Summary!AY24</f>
        <v>16</v>
      </c>
      <c r="P17" s="324">
        <f>Summary!AX24</f>
        <v>0</v>
      </c>
      <c r="Q17" s="322">
        <f>Summary!Q24</f>
        <v>0</v>
      </c>
      <c r="R17" s="323">
        <f>Summary!R24</f>
        <v>0</v>
      </c>
      <c r="S17" s="323">
        <f>Summary!S24</f>
        <v>0</v>
      </c>
      <c r="T17" s="324">
        <f>Summary!T24</f>
        <v>0</v>
      </c>
      <c r="U17" s="322">
        <f>Summary!U24</f>
        <v>3.5286484848484849</v>
      </c>
      <c r="V17" s="323">
        <f>Summary!V24</f>
        <v>3.5286484848484849</v>
      </c>
      <c r="W17" s="323">
        <f>Summary!W24</f>
        <v>0</v>
      </c>
      <c r="X17" s="323">
        <f>Summary!X24</f>
        <v>0</v>
      </c>
      <c r="Y17" s="323">
        <f>Summary!Y24</f>
        <v>0</v>
      </c>
      <c r="Z17" s="324">
        <f>Summary!Z24</f>
        <v>0</v>
      </c>
    </row>
    <row r="18" spans="1:26" x14ac:dyDescent="0.25">
      <c r="A18" s="32" t="s">
        <v>167</v>
      </c>
      <c r="B18" s="336">
        <f>Summary!B25</f>
        <v>4</v>
      </c>
      <c r="C18" s="46">
        <f>Summary!C25</f>
        <v>20</v>
      </c>
      <c r="D18" s="129">
        <f>Summary!D25</f>
        <v>70.45</v>
      </c>
      <c r="E18" s="327"/>
      <c r="F18" s="322">
        <f>Summary!F25</f>
        <v>52.375500000000002</v>
      </c>
      <c r="G18" s="322">
        <f>Summary!G25</f>
        <v>111.04769727690991</v>
      </c>
      <c r="H18" s="322">
        <f>Summary!H25</f>
        <v>452.5783816666667</v>
      </c>
      <c r="I18" s="338">
        <f t="shared" si="8"/>
        <v>0.18010278907565055</v>
      </c>
      <c r="J18" s="37"/>
      <c r="K18" s="322">
        <f>Summary!AS25</f>
        <v>2</v>
      </c>
      <c r="L18" s="323">
        <f>Summary!AT25</f>
        <v>0</v>
      </c>
      <c r="M18" s="323">
        <f>Summary!AW25</f>
        <v>0</v>
      </c>
      <c r="N18" s="323">
        <f>Summary!AV25</f>
        <v>0</v>
      </c>
      <c r="O18" s="323">
        <f>Summary!AY25</f>
        <v>7</v>
      </c>
      <c r="P18" s="324">
        <f>Summary!AX25</f>
        <v>0</v>
      </c>
      <c r="Q18" s="322">
        <f>Summary!Q25</f>
        <v>1.8075941289087429</v>
      </c>
      <c r="R18" s="323">
        <f>Summary!R25</f>
        <v>0</v>
      </c>
      <c r="S18" s="323">
        <f>Summary!S25</f>
        <v>0</v>
      </c>
      <c r="T18" s="324">
        <f>Summary!T25</f>
        <v>0</v>
      </c>
      <c r="U18" s="322">
        <f>Summary!U25</f>
        <v>0</v>
      </c>
      <c r="V18" s="323">
        <f>Summary!V25</f>
        <v>0</v>
      </c>
      <c r="W18" s="323">
        <f>Summary!W25</f>
        <v>0</v>
      </c>
      <c r="X18" s="323">
        <f>Summary!X25</f>
        <v>0</v>
      </c>
      <c r="Y18" s="323">
        <f>Summary!Y25</f>
        <v>0</v>
      </c>
      <c r="Z18" s="324">
        <f>Summary!Z25</f>
        <v>0</v>
      </c>
    </row>
    <row r="19" spans="1:26" x14ac:dyDescent="0.25">
      <c r="A19" s="32" t="s">
        <v>178</v>
      </c>
      <c r="B19" s="336">
        <f>Summary!B26</f>
        <v>15</v>
      </c>
      <c r="C19" s="46">
        <f>Summary!C26</f>
        <v>63</v>
      </c>
      <c r="D19" s="129">
        <f>Summary!D26</f>
        <v>213.39</v>
      </c>
      <c r="E19" s="327"/>
      <c r="F19" s="322">
        <f>Summary!F26</f>
        <v>62.405000000000001</v>
      </c>
      <c r="G19" s="322">
        <f>Summary!G26</f>
        <v>218.44410927211248</v>
      </c>
      <c r="H19" s="322">
        <f>Summary!H26</f>
        <v>758.66401999999994</v>
      </c>
      <c r="I19" s="338">
        <f t="shared" ref="I19:I20" si="9">C19/G19</f>
        <v>0.28840329093755446</v>
      </c>
      <c r="J19" s="37"/>
      <c r="K19" s="322">
        <f>Summary!AS26</f>
        <v>0</v>
      </c>
      <c r="L19" s="323">
        <f>Summary!AT26</f>
        <v>0</v>
      </c>
      <c r="M19" s="323">
        <f>Summary!AW26</f>
        <v>0</v>
      </c>
      <c r="N19" s="323">
        <f>Summary!AV26</f>
        <v>0</v>
      </c>
      <c r="O19" s="323">
        <f>Summary!AY26</f>
        <v>0</v>
      </c>
      <c r="P19" s="324">
        <f>Summary!AX26</f>
        <v>0</v>
      </c>
      <c r="Q19" s="322">
        <f>Summary!Q26</f>
        <v>49.923999999999999</v>
      </c>
      <c r="R19" s="323">
        <f>Summary!R26</f>
        <v>0</v>
      </c>
      <c r="S19" s="323">
        <f>Summary!S26</f>
        <v>0</v>
      </c>
      <c r="T19" s="324">
        <f>Summary!T26</f>
        <v>0</v>
      </c>
      <c r="U19" s="322">
        <f>Summary!U26</f>
        <v>0</v>
      </c>
      <c r="V19" s="323">
        <f>Summary!V26</f>
        <v>4.0776896551724136</v>
      </c>
      <c r="W19" s="323">
        <f>Summary!W26</f>
        <v>0</v>
      </c>
      <c r="X19" s="323">
        <f>Summary!X26</f>
        <v>2.0388448275862068</v>
      </c>
      <c r="Y19" s="323">
        <f>Summary!Y26</f>
        <v>0</v>
      </c>
      <c r="Z19" s="324">
        <f>Summary!Z26</f>
        <v>0</v>
      </c>
    </row>
    <row r="20" spans="1:26" x14ac:dyDescent="0.25">
      <c r="A20" s="32" t="s">
        <v>179</v>
      </c>
      <c r="B20" s="336">
        <f>Summary!B27</f>
        <v>19</v>
      </c>
      <c r="C20" s="46">
        <f>Summary!C27</f>
        <v>57</v>
      </c>
      <c r="D20" s="129">
        <f>Summary!D27</f>
        <v>287.3</v>
      </c>
      <c r="E20" s="327"/>
      <c r="F20" s="322">
        <f>Summary!F27</f>
        <v>95.991500000000002</v>
      </c>
      <c r="G20" s="322">
        <f>Summary!G27</f>
        <v>229.66272371391233</v>
      </c>
      <c r="H20" s="322">
        <f>Summary!H27</f>
        <v>1193.171354736842</v>
      </c>
      <c r="I20" s="338">
        <f t="shared" si="9"/>
        <v>0.24819003745250409</v>
      </c>
      <c r="J20" s="37"/>
      <c r="K20" s="322">
        <f>Summary!AS27</f>
        <v>1</v>
      </c>
      <c r="L20" s="323">
        <f>Summary!AT27</f>
        <v>0</v>
      </c>
      <c r="M20" s="323">
        <f>Summary!AW27</f>
        <v>0</v>
      </c>
      <c r="N20" s="323">
        <f>Summary!AV27</f>
        <v>0</v>
      </c>
      <c r="O20" s="323">
        <f>Summary!AY27</f>
        <v>4</v>
      </c>
      <c r="P20" s="324">
        <f>Summary!AX27</f>
        <v>0</v>
      </c>
      <c r="Q20" s="322">
        <f>Summary!Q27</f>
        <v>0</v>
      </c>
      <c r="R20" s="323">
        <f>Summary!R27</f>
        <v>0</v>
      </c>
      <c r="S20" s="323">
        <f>Summary!S27</f>
        <v>0</v>
      </c>
      <c r="T20" s="324">
        <f>Summary!T27</f>
        <v>0</v>
      </c>
      <c r="U20" s="322">
        <f>Summary!U27</f>
        <v>0</v>
      </c>
      <c r="V20" s="323">
        <f>Summary!V27</f>
        <v>0</v>
      </c>
      <c r="W20" s="323">
        <f>Summary!W27</f>
        <v>0</v>
      </c>
      <c r="X20" s="323">
        <f>Summary!X27</f>
        <v>0</v>
      </c>
      <c r="Y20" s="323">
        <f>Summary!Y27</f>
        <v>0</v>
      </c>
      <c r="Z20" s="324">
        <f>Summary!Z27</f>
        <v>0</v>
      </c>
    </row>
    <row r="21" spans="1:26" ht="16.5" thickBot="1" x14ac:dyDescent="0.3">
      <c r="A21" s="345"/>
      <c r="B21" s="223"/>
      <c r="C21" s="223"/>
      <c r="D21" s="346"/>
      <c r="E21" s="327"/>
      <c r="F21" s="347"/>
      <c r="G21" s="348"/>
      <c r="H21" s="223"/>
      <c r="I21" s="346"/>
      <c r="J21" s="37"/>
      <c r="K21" s="349"/>
      <c r="L21" s="223"/>
      <c r="M21" s="223"/>
      <c r="N21" s="223"/>
      <c r="O21" s="223"/>
      <c r="P21" s="346"/>
      <c r="Q21" s="37"/>
      <c r="T21" s="236"/>
      <c r="U21" s="349"/>
      <c r="V21" s="223"/>
      <c r="W21" s="223"/>
      <c r="X21" s="223"/>
      <c r="Y21" s="223"/>
      <c r="Z21" s="346"/>
    </row>
    <row r="22" spans="1:26" ht="17.25" thickTop="1" thickBot="1" x14ac:dyDescent="0.3">
      <c r="A22" s="244" t="s">
        <v>17</v>
      </c>
      <c r="B22" s="218">
        <f>SUM(B8:B13)</f>
        <v>168</v>
      </c>
      <c r="C22" s="218">
        <f t="shared" ref="C22:D22" si="10">SUM(C8:C13)</f>
        <v>479</v>
      </c>
      <c r="D22" s="218">
        <f t="shared" si="10"/>
        <v>1779.2099999999998</v>
      </c>
      <c r="E22" s="328"/>
      <c r="F22" s="356">
        <f>SUM(F8:F13)</f>
        <v>342.94380000000007</v>
      </c>
      <c r="G22" s="357">
        <f t="shared" ref="G22:H22" si="11">SUM(G8:G13)</f>
        <v>1282.8129365710267</v>
      </c>
      <c r="H22" s="357">
        <f t="shared" si="11"/>
        <v>3984.4246553505709</v>
      </c>
      <c r="I22" s="329">
        <f>C22/G22</f>
        <v>0.37339816768637546</v>
      </c>
      <c r="J22" s="328"/>
      <c r="K22" s="330">
        <f>SUM(K8:K21)</f>
        <v>18</v>
      </c>
      <c r="L22" s="331">
        <f t="shared" ref="L22:P22" si="12">SUM(L8:L21)</f>
        <v>6</v>
      </c>
      <c r="M22" s="331">
        <f t="shared" si="12"/>
        <v>5</v>
      </c>
      <c r="N22" s="331">
        <f t="shared" si="12"/>
        <v>0</v>
      </c>
      <c r="O22" s="331">
        <f t="shared" si="12"/>
        <v>107</v>
      </c>
      <c r="P22" s="332">
        <f t="shared" si="12"/>
        <v>5</v>
      </c>
      <c r="Q22" s="330">
        <f>SUM(Q8:Q21)</f>
        <v>72.861416389156432</v>
      </c>
      <c r="R22" s="331">
        <f>SUM(R8:R21)</f>
        <v>8.1986728021978017</v>
      </c>
      <c r="S22" s="331">
        <f t="shared" ref="S22:T22" si="13">SUM(S8:S21)</f>
        <v>0</v>
      </c>
      <c r="T22" s="331">
        <f t="shared" si="13"/>
        <v>1.998396551724138</v>
      </c>
      <c r="U22" s="68">
        <f>SUM(U8:U21)</f>
        <v>19.533504769284356</v>
      </c>
      <c r="V22" s="65">
        <f>SUM(V8:V21)</f>
        <v>19.687724082239598</v>
      </c>
      <c r="W22" s="65">
        <f t="shared" ref="W22:Z22" si="14">SUM(W8:W21)</f>
        <v>6.0220746060227803</v>
      </c>
      <c r="X22" s="65">
        <f t="shared" si="14"/>
        <v>9.5474869402402867</v>
      </c>
      <c r="Y22" s="65">
        <f t="shared" si="14"/>
        <v>0</v>
      </c>
      <c r="Z22" s="332">
        <f t="shared" si="14"/>
        <v>7.1681407824933689</v>
      </c>
    </row>
  </sheetData>
  <phoneticPr fontId="9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AN3"/>
  <sheetViews>
    <sheetView zoomScale="75" workbookViewId="0">
      <pane ySplit="3" topLeftCell="A4" activePane="bottomLeft" state="frozen"/>
      <selection pane="bottomLeft" activeCell="D21" sqref="D21"/>
    </sheetView>
  </sheetViews>
  <sheetFormatPr defaultRowHeight="15.75" x14ac:dyDescent="0.25"/>
  <cols>
    <col min="1" max="2" width="8.75" style="67" customWidth="1"/>
    <col min="3" max="6" width="8.75" style="5" customWidth="1"/>
    <col min="7" max="7" width="10.25" style="5" customWidth="1"/>
  </cols>
  <sheetData>
    <row r="3" spans="1:40" x14ac:dyDescent="0.25">
      <c r="A3" s="67" t="s">
        <v>105</v>
      </c>
      <c r="B3" t="s">
        <v>106</v>
      </c>
      <c r="C3" t="s">
        <v>107</v>
      </c>
      <c r="D3" t="s">
        <v>108</v>
      </c>
      <c r="E3" t="s">
        <v>109</v>
      </c>
      <c r="F3" t="s">
        <v>110</v>
      </c>
      <c r="G3" t="s">
        <v>111</v>
      </c>
      <c r="H3" t="s">
        <v>112</v>
      </c>
      <c r="I3" t="s">
        <v>113</v>
      </c>
      <c r="J3" t="s">
        <v>114</v>
      </c>
      <c r="K3" t="s">
        <v>115</v>
      </c>
      <c r="L3" t="s">
        <v>116</v>
      </c>
      <c r="M3" t="s">
        <v>117</v>
      </c>
      <c r="N3" t="s">
        <v>118</v>
      </c>
      <c r="O3" t="s">
        <v>119</v>
      </c>
      <c r="P3" t="s">
        <v>120</v>
      </c>
      <c r="Q3" t="s">
        <v>121</v>
      </c>
      <c r="R3" t="s">
        <v>122</v>
      </c>
      <c r="S3" t="s">
        <v>123</v>
      </c>
      <c r="T3" t="s">
        <v>124</v>
      </c>
      <c r="U3" t="s">
        <v>125</v>
      </c>
      <c r="V3" t="s">
        <v>126</v>
      </c>
      <c r="W3" t="s">
        <v>127</v>
      </c>
      <c r="X3" t="s">
        <v>128</v>
      </c>
      <c r="Y3" t="s">
        <v>129</v>
      </c>
      <c r="Z3" t="s">
        <v>130</v>
      </c>
      <c r="AA3" t="s">
        <v>131</v>
      </c>
      <c r="AB3" t="s">
        <v>132</v>
      </c>
      <c r="AC3" t="s">
        <v>133</v>
      </c>
      <c r="AD3" t="s">
        <v>134</v>
      </c>
      <c r="AE3" t="s">
        <v>135</v>
      </c>
      <c r="AF3" t="s">
        <v>136</v>
      </c>
      <c r="AG3" t="s">
        <v>137</v>
      </c>
      <c r="AH3" t="s">
        <v>138</v>
      </c>
      <c r="AI3" t="s">
        <v>139</v>
      </c>
      <c r="AJ3" t="s">
        <v>140</v>
      </c>
      <c r="AK3" t="s">
        <v>141</v>
      </c>
      <c r="AL3" t="s">
        <v>142</v>
      </c>
      <c r="AM3" t="s">
        <v>143</v>
      </c>
      <c r="AN3" t="s">
        <v>144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Schedule</vt:lpstr>
      <vt:lpstr>Boat Expansion</vt:lpstr>
      <vt:lpstr>Boat</vt:lpstr>
      <vt:lpstr>Bank</vt:lpstr>
      <vt:lpstr>Summary</vt:lpstr>
      <vt:lpstr>Print</vt:lpstr>
      <vt:lpstr>ScaleCards</vt:lpstr>
      <vt:lpstr>Schedule!Print_Area</vt:lpstr>
    </vt:vector>
  </TitlesOfParts>
  <Company>DIS Leased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Miller, Todd L (DFW)</cp:lastModifiedBy>
  <cp:lastPrinted>2018-01-30T21:58:25Z</cp:lastPrinted>
  <dcterms:created xsi:type="dcterms:W3CDTF">2009-04-14T17:00:10Z</dcterms:created>
  <dcterms:modified xsi:type="dcterms:W3CDTF">2025-01-30T15:16:22Z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2023-08-29T19:41:52Z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4fcca0d2-d5d6-4fb8-bef3-872e91b8f73a</vt:lpwstr>
  </property>
  <property fmtid="{D5CDD505-2E9C-101B-9397-08002B2CF9AE}" pid="8" name="MSIP_Label_45011977-b912-4387-97a4-f4c94a801377_ContentBits">
    <vt:lpwstr>0</vt:lpwstr>
  </property>
</Properties>
</file>